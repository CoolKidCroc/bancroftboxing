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onthly" sheetId="2" state="visible" r:id="rId4"/>
    <sheet name="Categories" sheetId="3" state="visible" r:id="rId5"/>
    <sheet name="Transactions" sheetId="4" state="visible" r:id="rId6"/>
    <sheet name="Rules" sheetId="5" state="visible" r:id="rId7"/>
    <sheet name="Lists" sheetId="6" state="hidden" r:id="rId8"/>
  </sheets>
  <definedNames>
    <definedName function="false" hidden="true" localSheetId="3" name="_xlnm._FilterDatabase" vbProcedure="false">Transactions!$A$4:$M$3004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<sst xmlns="http://schemas.openxmlformats.org/spreadsheetml/2006/main" count="312" uniqueCount="160">
  <si>
    <t xml:space="preserve">BBG &amp; CCCL MONEY SUMMARY</t>
  </si>
  <si>
    <t xml:space="preserve">Paste what the bank, Eventbrite and Gymdesk export. Each line sorts itself by business and category, and the Monthly tab adds it up.</t>
  </si>
  <si>
    <t xml:space="preserve">1</t>
  </si>
  <si>
    <t xml:space="preserve">Export</t>
  </si>
  <si>
    <t xml:space="preserve">Once a month, download the transactions as a CSV from the business bank account (and the credit card), plus the Eventbrite payout report and the Gymdesk payments report if you want the detail.</t>
  </si>
  <si>
    <t xml:space="preserve">2</t>
  </si>
  <si>
    <t xml:space="preserve">Delete account numbers first</t>
  </si>
  <si>
    <t xml:space="preserve">Bank CSVs often include the account or card number in a column. Delete that column before pasting. Never paste account numbers, card numbers or anyone's banking details into this sheet.</t>
  </si>
  <si>
    <t xml:space="preserve">3</t>
  </si>
  <si>
    <t xml:space="preserve">Paste</t>
  </si>
  <si>
    <t xml:space="preserve">On the Transactions tab, paste the date, description and amount into the yellow columns (money in is positive, money out is negative). Pick where it came from.</t>
  </si>
  <si>
    <t xml:space="preserve">4</t>
  </si>
  <si>
    <t xml:space="preserve">Let the rules sort it</t>
  </si>
  <si>
    <t xml:space="preserve">Business and Category fill in from the Rules tab (the first keyword found in the description wins). Anything marked Check needs a quick decision: type it in the Override columns.</t>
  </si>
  <si>
    <t xml:space="preserve">5</t>
  </si>
  <si>
    <t xml:space="preserve">Read the Monthly tab</t>
  </si>
  <si>
    <t xml:space="preserve">Income, spending and what's left for BBG and CCCL each month, plus shared costs. The Categories tab shows where the money goes over the year.</t>
  </si>
  <si>
    <t xml:space="preserve">6</t>
  </si>
  <si>
    <t xml:space="preserve">Keep the rules growing</t>
  </si>
  <si>
    <t xml:space="preserve">When the same kind of line keeps showing up as Check, add a keyword for it on the Rules tab. After a couple of months almost everything sorts itself.</t>
  </si>
  <si>
    <t xml:space="preserve">7</t>
  </si>
  <si>
    <t xml:space="preserve">Second Chance</t>
  </si>
  <si>
    <t xml:space="preserve">Second Chance is a separate nonprofit: give it its own bank account and its own copy of this sheet. Never mix its money with BBG or CCCL.</t>
  </si>
  <si>
    <t xml:space="preserve">8</t>
  </si>
  <si>
    <t xml:space="preserve">What this is (and isn't)</t>
  </si>
  <si>
    <t xml:space="preserve">A clear monthly picture, built from what actually went through the bank (so only money that was paid counts). It isn't bookkeeping or tax advice: your accountant still does the books and HST.</t>
  </si>
  <si>
    <t xml:space="preserve">Business choices</t>
  </si>
  <si>
    <t xml:space="preserve">BBG</t>
  </si>
  <si>
    <t xml:space="preserve">The gym</t>
  </si>
  <si>
    <t xml:space="preserve">CCCL</t>
  </si>
  <si>
    <t xml:space="preserve">The fight league and its shows</t>
  </si>
  <si>
    <t xml:space="preserve">Shared</t>
  </si>
  <si>
    <t xml:space="preserve">Costs that serve both (phone, software, fuel, bank fees). Shown separately on the Monthly tab.</t>
  </si>
  <si>
    <t xml:space="preserve">Exclude</t>
  </si>
  <si>
    <t xml:space="preserve">Not income or spending: moving money between your own accounts, owner money in or out, personal</t>
  </si>
  <si>
    <t xml:space="preserve">Check</t>
  </si>
  <si>
    <t xml:space="preserve">The rules couldn't tell: decide and type it in Override</t>
  </si>
  <si>
    <t xml:space="preserve">Colours</t>
  </si>
  <si>
    <t xml:space="preserve">Yellow, blue text</t>
  </si>
  <si>
    <t xml:space="preserve">You type or paste here</t>
  </si>
  <si>
    <t xml:space="preserve">Black, bold</t>
  </si>
  <si>
    <t xml:space="preserve">Calculated: don't type over it</t>
  </si>
  <si>
    <t xml:space="preserve">MONTHLY</t>
  </si>
  <si>
    <t xml:space="preserve">Money in, money out and what's left, by business. Excludes transfers, owner money and personal. Shared costs (phone, software, fuel, bank fees) are shown on their own.</t>
  </si>
  <si>
    <t xml:space="preserve">Year</t>
  </si>
  <si>
    <t xml:space="preserve">Change the year to see a different one.</t>
  </si>
  <si>
    <t xml:space="preserve">Month</t>
  </si>
  <si>
    <t xml:space="preserve">BBG in</t>
  </si>
  <si>
    <t xml:space="preserve">BBG out</t>
  </si>
  <si>
    <t xml:space="preserve">BBG left</t>
  </si>
  <si>
    <t xml:space="preserve">CCCL in</t>
  </si>
  <si>
    <t xml:space="preserve">CCCL out</t>
  </si>
  <si>
    <t xml:space="preserve">CCCL left</t>
  </si>
  <si>
    <t xml:space="preserve">Shared costs (net)</t>
  </si>
  <si>
    <t xml:space="preserve">All left</t>
  </si>
  <si>
    <t xml:space="preserve">Lines to check</t>
  </si>
  <si>
    <t xml:space="preserve">Good to know</t>
  </si>
  <si>
    <t xml:space="preserve">'Left' is money in minus money out for the month. It isn't profit for tax purposes (no HST, depreciation or owner pay adjustments).</t>
  </si>
  <si>
    <t xml:space="preserve">A show's money lands in the months it moved: sponsor payments when they paid, Eventbrite when it paid out, costs when they were paid.</t>
  </si>
  <si>
    <t xml:space="preserve">Lines to check: rows still marked Check. Sort them on the Transactions tab and the totals update.</t>
  </si>
  <si>
    <t xml:space="preserve">CATEGORIES</t>
  </si>
  <si>
    <t xml:space="preserve">Where the money comes from and goes, for the year on the Monthly tab.</t>
  </si>
  <si>
    <t xml:space="preserve">Category</t>
  </si>
  <si>
    <t xml:space="preserve">Type</t>
  </si>
  <si>
    <t xml:space="preserve">Total</t>
  </si>
  <si>
    <t xml:space="preserve">Memberships and classes</t>
  </si>
  <si>
    <t xml:space="preserve">Income</t>
  </si>
  <si>
    <t xml:space="preserve">Drop-ins and trials</t>
  </si>
  <si>
    <t xml:space="preserve">Personal training</t>
  </si>
  <si>
    <t xml:space="preserve">Parties and camps</t>
  </si>
  <si>
    <t xml:space="preserve">Ticket sales</t>
  </si>
  <si>
    <t xml:space="preserve">Sponsorship</t>
  </si>
  <si>
    <t xml:space="preserve">Merch</t>
  </si>
  <si>
    <t xml:space="preserve">Livestream</t>
  </si>
  <si>
    <t xml:space="preserve">Grants</t>
  </si>
  <si>
    <t xml:space="preserve">Other income</t>
  </si>
  <si>
    <t xml:space="preserve">Rent</t>
  </si>
  <si>
    <t xml:space="preserve">Expense</t>
  </si>
  <si>
    <t xml:space="preserve">Utilities</t>
  </si>
  <si>
    <t xml:space="preserve">Phone and internet</t>
  </si>
  <si>
    <t xml:space="preserve">Insurance</t>
  </si>
  <si>
    <t xml:space="preserve">Equipment</t>
  </si>
  <si>
    <t xml:space="preserve">Software and subscriptions</t>
  </si>
  <si>
    <t xml:space="preserve">Marketing and ads</t>
  </si>
  <si>
    <t xml:space="preserve">Venue</t>
  </si>
  <si>
    <t xml:space="preserve">Officials and medical</t>
  </si>
  <si>
    <t xml:space="preserve">Permits and fees</t>
  </si>
  <si>
    <t xml:space="preserve">Event production</t>
  </si>
  <si>
    <t xml:space="preserve">Coach and staff pay</t>
  </si>
  <si>
    <t xml:space="preserve">Supplies</t>
  </si>
  <si>
    <t xml:space="preserve">Travel</t>
  </si>
  <si>
    <t xml:space="preserve">Bank and payment fees</t>
  </si>
  <si>
    <t xml:space="preserve">Other expense</t>
  </si>
  <si>
    <t xml:space="preserve">Income total</t>
  </si>
  <si>
    <t xml:space="preserve">Spending total</t>
  </si>
  <si>
    <t xml:space="preserve">Spending shows as negative numbers. Uncategorized lines (Check) and Exclude lines aren't counted here.</t>
  </si>
  <si>
    <t xml:space="preserve">TRANSACTIONS</t>
  </si>
  <si>
    <t xml:space="preserve">Paste date, description and amount into the yellow columns. Business and Category come from the Rules tab; type in Override to change one.</t>
  </si>
  <si>
    <t xml:space="preserve">Date</t>
  </si>
  <si>
    <t xml:space="preserve">Description (from the bank)</t>
  </si>
  <si>
    <t xml:space="preserve">Amount (+ in, - out)</t>
  </si>
  <si>
    <t xml:space="preserve">From</t>
  </si>
  <si>
    <t xml:space="preserve">Rule business</t>
  </si>
  <si>
    <t xml:space="preserve">Rule category</t>
  </si>
  <si>
    <t xml:space="preserve">Override business</t>
  </si>
  <si>
    <t xml:space="preserve">Override category</t>
  </si>
  <si>
    <t xml:space="preserve">Business</t>
  </si>
  <si>
    <t xml:space="preserve">Note</t>
  </si>
  <si>
    <t xml:space="preserve">Rule row</t>
  </si>
  <si>
    <t xml:space="preserve">RULES</t>
  </si>
  <si>
    <t xml:space="preserve">If a transaction's description contains the keyword (capitals don't matter), it gets this business and category. The first rule that matches wins, so put specific keywords above general ones.</t>
  </si>
  <si>
    <t xml:space="preserve">Keyword in the description</t>
  </si>
  <si>
    <t xml:space="preserve">Notes</t>
  </si>
  <si>
    <t xml:space="preserve">EVENTBRITE</t>
  </si>
  <si>
    <t xml:space="preserve">Eventbrite payouts (already after Eventbrite's fees)</t>
  </si>
  <si>
    <t xml:space="preserve">GYMDESK</t>
  </si>
  <si>
    <t xml:space="preserve">Gymdesk payouts; check the wording on your statement</t>
  </si>
  <si>
    <t xml:space="preserve">ONTARIO ATHLETICS</t>
  </si>
  <si>
    <t xml:space="preserve">Athletics Commission permit</t>
  </si>
  <si>
    <t xml:space="preserve">FACEBK</t>
  </si>
  <si>
    <t xml:space="preserve">Meta ads: pick BBG or CCCL for each one</t>
  </si>
  <si>
    <t xml:space="preserve">META </t>
  </si>
  <si>
    <t xml:space="preserve">Meta ads: pick BBG or CCCL</t>
  </si>
  <si>
    <t xml:space="preserve">CANVA</t>
  </si>
  <si>
    <t xml:space="preserve">GOOGLE</t>
  </si>
  <si>
    <t xml:space="preserve">Google Workspace or storage</t>
  </si>
  <si>
    <t xml:space="preserve">ANTHROPIC</t>
  </si>
  <si>
    <t xml:space="preserve">Claude subscription</t>
  </si>
  <si>
    <t xml:space="preserve">CLAUDE.AI</t>
  </si>
  <si>
    <t xml:space="preserve">HYDRO</t>
  </si>
  <si>
    <t xml:space="preserve">Gym hydro</t>
  </si>
  <si>
    <t xml:space="preserve">ENBRIDGE</t>
  </si>
  <si>
    <t xml:space="preserve">Gas</t>
  </si>
  <si>
    <t xml:space="preserve">BELL </t>
  </si>
  <si>
    <t xml:space="preserve">ROGERS</t>
  </si>
  <si>
    <t xml:space="preserve">INSURANCE</t>
  </si>
  <si>
    <t xml:space="preserve">Gym or event insurance: pick the business</t>
  </si>
  <si>
    <t xml:space="preserve">SERVICE CHARGE</t>
  </si>
  <si>
    <t xml:space="preserve">MONTHLY FEE</t>
  </si>
  <si>
    <t xml:space="preserve">E-TRANSFER</t>
  </si>
  <si>
    <t xml:space="preserve">Interac e-Transfers: could be a member, a sponsor or a transfer. Pick each one</t>
  </si>
  <si>
    <t xml:space="preserve">ETRANSFER</t>
  </si>
  <si>
    <t xml:space="preserve">Same as above</t>
  </si>
  <si>
    <t xml:space="preserve">TRANSFER TO</t>
  </si>
  <si>
    <t xml:space="preserve">Transfer</t>
  </si>
  <si>
    <t xml:space="preserve">Moving money between your own accounts isn't income or spending</t>
  </si>
  <si>
    <t xml:space="preserve">TRANSFER FROM</t>
  </si>
  <si>
    <t xml:space="preserve">AMAZON</t>
  </si>
  <si>
    <t xml:space="preserve">Pick the business</t>
  </si>
  <si>
    <t xml:space="preserve">CANADIAN TIRE</t>
  </si>
  <si>
    <t xml:space="preserve">HOME DEPOT</t>
  </si>
  <si>
    <t xml:space="preserve">STAPLES</t>
  </si>
  <si>
    <t xml:space="preserve">Printing, office</t>
  </si>
  <si>
    <t xml:space="preserve">ESSO</t>
  </si>
  <si>
    <t xml:space="preserve">Fuel</t>
  </si>
  <si>
    <t xml:space="preserve">PETRO</t>
  </si>
  <si>
    <t xml:space="preserve">SHELL</t>
  </si>
  <si>
    <t xml:space="preserve">Other</t>
  </si>
  <si>
    <t xml:space="preserve">Owner money in or out</t>
  </si>
  <si>
    <t xml:space="preserve">Personal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</si>
</sst>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mmm\ yyyy"/>
    <numFmt numFmtId="167" formatCode="\$#,##0;[RED]&quot;-$&quot;#,##0;\-"/>
    <numFmt numFmtId="168" formatCode="yyyy\-mm\-dd"/>
    <numFmt numFmtId="169" formatCode="\$#,##0.00;[RED]&quot;-$&quot;#,##0.0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AA959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EAA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81C2B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1C2B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BEBD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081C2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color rgb="FF80808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BD3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EAA959"/>
      <rgbColor rgb="FFFF6600"/>
      <rgbColor rgb="FF555555"/>
      <rgbColor rgb="FF969696"/>
      <rgbColor rgb="FF003366"/>
      <rgbColor rgb="FF339966"/>
      <rgbColor rgb="FF081C2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1.5" hidden="false" customHeight="true" outlineLevel="0" collapsed="false">
      <c r="A2" s="2" t="s">
        <v>1</v>
      </c>
      <c r="B2" s="2"/>
      <c r="C2" s="2"/>
    </row>
    <row r="4" customFormat="false" ht="33.75" hidden="false" customHeight="true" outlineLevel="0" collapsed="false">
      <c r="A4" s="3" t="s">
        <v>2</v>
      </c>
      <c r="B4" s="4" t="s">
        <v>3</v>
      </c>
      <c r="C4" s="5" t="s">
        <v>4</v>
      </c>
    </row>
    <row r="5" customFormat="false" ht="33.75" hidden="false" customHeight="true" outlineLevel="0" collapsed="false">
      <c r="A5" s="3" t="s">
        <v>5</v>
      </c>
      <c r="B5" s="4" t="s">
        <v>6</v>
      </c>
      <c r="C5" s="5" t="s">
        <v>7</v>
      </c>
    </row>
    <row r="6" customFormat="false" ht="33.75" hidden="false" customHeight="true" outlineLevel="0" collapsed="false">
      <c r="A6" s="3" t="s">
        <v>8</v>
      </c>
      <c r="B6" s="4" t="s">
        <v>9</v>
      </c>
      <c r="C6" s="5" t="s">
        <v>10</v>
      </c>
    </row>
    <row r="7" customFormat="false" ht="33.75" hidden="false" customHeight="true" outlineLevel="0" collapsed="false">
      <c r="A7" s="3" t="s">
        <v>11</v>
      </c>
      <c r="B7" s="4" t="s">
        <v>12</v>
      </c>
      <c r="C7" s="5" t="s">
        <v>13</v>
      </c>
    </row>
    <row r="8" customFormat="false" ht="33.75" hidden="false" customHeight="true" outlineLevel="0" collapsed="false">
      <c r="A8" s="3" t="s">
        <v>14</v>
      </c>
      <c r="B8" s="4" t="s">
        <v>15</v>
      </c>
      <c r="C8" s="5" t="s">
        <v>16</v>
      </c>
    </row>
    <row r="9" customFormat="false" ht="33.75" hidden="false" customHeight="true" outlineLevel="0" collapsed="false">
      <c r="A9" s="3" t="s">
        <v>17</v>
      </c>
      <c r="B9" s="4" t="s">
        <v>18</v>
      </c>
      <c r="C9" s="5" t="s">
        <v>19</v>
      </c>
    </row>
    <row r="10" customFormat="false" ht="33.75" hidden="false" customHeight="true" outlineLevel="0" collapsed="false">
      <c r="A10" s="3" t="s">
        <v>20</v>
      </c>
      <c r="B10" s="4" t="s">
        <v>21</v>
      </c>
      <c r="C10" s="5" t="s">
        <v>22</v>
      </c>
    </row>
    <row r="11" customFormat="false" ht="33.75" hidden="false" customHeight="true" outlineLevel="0" collapsed="false">
      <c r="A11" s="3" t="s">
        <v>23</v>
      </c>
      <c r="B11" s="4" t="s">
        <v>24</v>
      </c>
      <c r="C11" s="5" t="s">
        <v>25</v>
      </c>
    </row>
    <row r="13" customFormat="false" ht="15" hidden="false" customHeight="false" outlineLevel="0" collapsed="false">
      <c r="B13" s="6" t="s">
        <v>26</v>
      </c>
    </row>
    <row r="14" customFormat="false" ht="15" hidden="false" customHeight="false" outlineLevel="0" collapsed="false">
      <c r="B14" s="7" t="s">
        <v>27</v>
      </c>
      <c r="C14" s="5" t="s">
        <v>28</v>
      </c>
    </row>
    <row r="15" customFormat="false" ht="15" hidden="false" customHeight="false" outlineLevel="0" collapsed="false">
      <c r="B15" s="7" t="s">
        <v>29</v>
      </c>
      <c r="C15" s="5" t="s">
        <v>30</v>
      </c>
    </row>
    <row r="16" customFormat="false" ht="15" hidden="false" customHeight="false" outlineLevel="0" collapsed="false">
      <c r="B16" s="7" t="s">
        <v>31</v>
      </c>
      <c r="C16" s="5" t="s">
        <v>32</v>
      </c>
    </row>
    <row r="17" customFormat="false" ht="15" hidden="false" customHeight="false" outlineLevel="0" collapsed="false">
      <c r="B17" s="7" t="s">
        <v>33</v>
      </c>
      <c r="C17" s="5" t="s">
        <v>34</v>
      </c>
    </row>
    <row r="18" customFormat="false" ht="15" hidden="false" customHeight="false" outlineLevel="0" collapsed="false">
      <c r="B18" s="7" t="s">
        <v>35</v>
      </c>
      <c r="C18" s="5" t="s">
        <v>36</v>
      </c>
    </row>
    <row r="20" customFormat="false" ht="15" hidden="false" customHeight="false" outlineLevel="0" collapsed="false">
      <c r="B20" s="6" t="s">
        <v>37</v>
      </c>
    </row>
    <row r="21" customFormat="false" ht="15" hidden="false" customHeight="false" outlineLevel="0" collapsed="false">
      <c r="B21" s="8" t="s">
        <v>38</v>
      </c>
      <c r="C21" s="9" t="s">
        <v>39</v>
      </c>
    </row>
    <row r="22" customFormat="false" ht="15" hidden="false" customHeight="false" outlineLevel="0" collapsed="false">
      <c r="B22" s="9" t="s">
        <v>40</v>
      </c>
      <c r="C22" s="9" t="s">
        <v>41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7" t="s">
        <v>44</v>
      </c>
      <c r="B3" s="10" t="n">
        <v>2026</v>
      </c>
      <c r="C3" s="11" t="s">
        <v>45</v>
      </c>
    </row>
    <row r="4" customFormat="false" ht="30" hidden="false" customHeight="true" outlineLevel="0" collapsed="false">
      <c r="A4" s="12" t="s">
        <v>46</v>
      </c>
      <c r="B4" s="12" t="s">
        <v>47</v>
      </c>
      <c r="C4" s="12" t="s">
        <v>48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54</v>
      </c>
      <c r="J4" s="12" t="s">
        <v>55</v>
      </c>
    </row>
    <row r="5" customFormat="false" ht="15" hidden="false" customHeight="false" outlineLevel="0" collapsed="false">
      <c r="A5" s="13" t="n">
        <f aca="false">DATE($B$3,1,1)</f>
        <v>46023</v>
      </c>
      <c r="B5" s="14" t="n">
        <f aca="false">SUMIFS(Transactions!$C$5:$C$3004,Transactions!$I$5:$I$3004,"BBG",Transactions!$K$5:$K$3004,$A5,Transactions!$C$5:$C$3004,"&gt;0")</f>
        <v>0</v>
      </c>
      <c r="C5" s="14" t="n">
        <f aca="false">-SUMIFS(Transactions!$C$5:$C$3004,Transactions!$I$5:$I$3004,"BBG",Transactions!$K$5:$K$3004,$A5,Transactions!$C$5:$C$3004,"&lt;0")</f>
        <v>-0</v>
      </c>
      <c r="D5" s="14" t="n">
        <f aca="false">B5-C5</f>
        <v>0</v>
      </c>
      <c r="E5" s="14" t="n">
        <f aca="false">SUMIFS(Transactions!$C$5:$C$3004,Transactions!$I$5:$I$3004,"CCCL",Transactions!$K$5:$K$3004,$A5,Transactions!$C$5:$C$3004,"&gt;0")</f>
        <v>0</v>
      </c>
      <c r="F5" s="14" t="n">
        <f aca="false">-SUMIFS(Transactions!$C$5:$C$3004,Transactions!$I$5:$I$3004,"CCCL",Transactions!$K$5:$K$3004,$A5,Transactions!$C$5:$C$3004,"&lt;0")</f>
        <v>-0</v>
      </c>
      <c r="G5" s="14" t="n">
        <f aca="false">E5-F5</f>
        <v>0</v>
      </c>
      <c r="H5" s="14" t="n">
        <f aca="false">-SUMIFS(Transactions!$C$5:$C$3004,Transactions!$I$5:$I$3004,"Shared",Transactions!$K$5:$K$3004,$A5)</f>
        <v>-0</v>
      </c>
      <c r="I5" s="14" t="n">
        <f aca="false">D5+G5-H5</f>
        <v>0</v>
      </c>
      <c r="J5" s="15" t="n">
        <f aca="false">COUNTIFS(Transactions!$I$5:$I$3004,"Check",Transactions!$K$5:$K$3004,$A5)</f>
        <v>0</v>
      </c>
    </row>
    <row r="6" customFormat="false" ht="15" hidden="false" customHeight="false" outlineLevel="0" collapsed="false">
      <c r="A6" s="13" t="n">
        <f aca="false">DATE($B$3,2,1)</f>
        <v>46054</v>
      </c>
      <c r="B6" s="14" t="n">
        <f aca="false">SUMIFS(Transactions!$C$5:$C$3004,Transactions!$I$5:$I$3004,"BBG",Transactions!$K$5:$K$3004,$A6,Transactions!$C$5:$C$3004,"&gt;0")</f>
        <v>0</v>
      </c>
      <c r="C6" s="14" t="n">
        <f aca="false">-SUMIFS(Transactions!$C$5:$C$3004,Transactions!$I$5:$I$3004,"BBG",Transactions!$K$5:$K$3004,$A6,Transactions!$C$5:$C$3004,"&lt;0")</f>
        <v>-0</v>
      </c>
      <c r="D6" s="14" t="n">
        <f aca="false">B6-C6</f>
        <v>0</v>
      </c>
      <c r="E6" s="14" t="n">
        <f aca="false">SUMIFS(Transactions!$C$5:$C$3004,Transactions!$I$5:$I$3004,"CCCL",Transactions!$K$5:$K$3004,$A6,Transactions!$C$5:$C$3004,"&gt;0")</f>
        <v>0</v>
      </c>
      <c r="F6" s="14" t="n">
        <f aca="false">-SUMIFS(Transactions!$C$5:$C$3004,Transactions!$I$5:$I$3004,"CCCL",Transactions!$K$5:$K$3004,$A6,Transactions!$C$5:$C$3004,"&lt;0")</f>
        <v>-0</v>
      </c>
      <c r="G6" s="14" t="n">
        <f aca="false">E6-F6</f>
        <v>0</v>
      </c>
      <c r="H6" s="14" t="n">
        <f aca="false">-SUMIFS(Transactions!$C$5:$C$3004,Transactions!$I$5:$I$3004,"Shared",Transactions!$K$5:$K$3004,$A6)</f>
        <v>-0</v>
      </c>
      <c r="I6" s="14" t="n">
        <f aca="false">D6+G6-H6</f>
        <v>0</v>
      </c>
      <c r="J6" s="15" t="n">
        <f aca="false">COUNTIFS(Transactions!$I$5:$I$3004,"Check",Transactions!$K$5:$K$3004,$A6)</f>
        <v>0</v>
      </c>
    </row>
    <row r="7" customFormat="false" ht="15" hidden="false" customHeight="false" outlineLevel="0" collapsed="false">
      <c r="A7" s="13" t="n">
        <f aca="false">DATE($B$3,3,1)</f>
        <v>46082</v>
      </c>
      <c r="B7" s="14" t="n">
        <f aca="false">SUMIFS(Transactions!$C$5:$C$3004,Transactions!$I$5:$I$3004,"BBG",Transactions!$K$5:$K$3004,$A7,Transactions!$C$5:$C$3004,"&gt;0")</f>
        <v>0</v>
      </c>
      <c r="C7" s="14" t="n">
        <f aca="false">-SUMIFS(Transactions!$C$5:$C$3004,Transactions!$I$5:$I$3004,"BBG",Transactions!$K$5:$K$3004,$A7,Transactions!$C$5:$C$3004,"&lt;0")</f>
        <v>-0</v>
      </c>
      <c r="D7" s="14" t="n">
        <f aca="false">B7-C7</f>
        <v>0</v>
      </c>
      <c r="E7" s="14" t="n">
        <f aca="false">SUMIFS(Transactions!$C$5:$C$3004,Transactions!$I$5:$I$3004,"CCCL",Transactions!$K$5:$K$3004,$A7,Transactions!$C$5:$C$3004,"&gt;0")</f>
        <v>0</v>
      </c>
      <c r="F7" s="14" t="n">
        <f aca="false">-SUMIFS(Transactions!$C$5:$C$3004,Transactions!$I$5:$I$3004,"CCCL",Transactions!$K$5:$K$3004,$A7,Transactions!$C$5:$C$3004,"&lt;0")</f>
        <v>-0</v>
      </c>
      <c r="G7" s="14" t="n">
        <f aca="false">E7-F7</f>
        <v>0</v>
      </c>
      <c r="H7" s="14" t="n">
        <f aca="false">-SUMIFS(Transactions!$C$5:$C$3004,Transactions!$I$5:$I$3004,"Shared",Transactions!$K$5:$K$3004,$A7)</f>
        <v>-0</v>
      </c>
      <c r="I7" s="14" t="n">
        <f aca="false">D7+G7-H7</f>
        <v>0</v>
      </c>
      <c r="J7" s="15" t="n">
        <f aca="false">COUNTIFS(Transactions!$I$5:$I$3004,"Check",Transactions!$K$5:$K$3004,$A7)</f>
        <v>0</v>
      </c>
    </row>
    <row r="8" customFormat="false" ht="15" hidden="false" customHeight="false" outlineLevel="0" collapsed="false">
      <c r="A8" s="13" t="n">
        <f aca="false">DATE($B$3,4,1)</f>
        <v>46113</v>
      </c>
      <c r="B8" s="14" t="n">
        <f aca="false">SUMIFS(Transactions!$C$5:$C$3004,Transactions!$I$5:$I$3004,"BBG",Transactions!$K$5:$K$3004,$A8,Transactions!$C$5:$C$3004,"&gt;0")</f>
        <v>0</v>
      </c>
      <c r="C8" s="14" t="n">
        <f aca="false">-SUMIFS(Transactions!$C$5:$C$3004,Transactions!$I$5:$I$3004,"BBG",Transactions!$K$5:$K$3004,$A8,Transactions!$C$5:$C$3004,"&lt;0")</f>
        <v>-0</v>
      </c>
      <c r="D8" s="14" t="n">
        <f aca="false">B8-C8</f>
        <v>0</v>
      </c>
      <c r="E8" s="14" t="n">
        <f aca="false">SUMIFS(Transactions!$C$5:$C$3004,Transactions!$I$5:$I$3004,"CCCL",Transactions!$K$5:$K$3004,$A8,Transactions!$C$5:$C$3004,"&gt;0")</f>
        <v>0</v>
      </c>
      <c r="F8" s="14" t="n">
        <f aca="false">-SUMIFS(Transactions!$C$5:$C$3004,Transactions!$I$5:$I$3004,"CCCL",Transactions!$K$5:$K$3004,$A8,Transactions!$C$5:$C$3004,"&lt;0")</f>
        <v>-0</v>
      </c>
      <c r="G8" s="14" t="n">
        <f aca="false">E8-F8</f>
        <v>0</v>
      </c>
      <c r="H8" s="14" t="n">
        <f aca="false">-SUMIFS(Transactions!$C$5:$C$3004,Transactions!$I$5:$I$3004,"Shared",Transactions!$K$5:$K$3004,$A8)</f>
        <v>-0</v>
      </c>
      <c r="I8" s="14" t="n">
        <f aca="false">D8+G8-H8</f>
        <v>0</v>
      </c>
      <c r="J8" s="15" t="n">
        <f aca="false">COUNTIFS(Transactions!$I$5:$I$3004,"Check",Transactions!$K$5:$K$3004,$A8)</f>
        <v>0</v>
      </c>
    </row>
    <row r="9" customFormat="false" ht="15" hidden="false" customHeight="false" outlineLevel="0" collapsed="false">
      <c r="A9" s="13" t="n">
        <f aca="false">DATE($B$3,5,1)</f>
        <v>46143</v>
      </c>
      <c r="B9" s="14" t="n">
        <f aca="false">SUMIFS(Transactions!$C$5:$C$3004,Transactions!$I$5:$I$3004,"BBG",Transactions!$K$5:$K$3004,$A9,Transactions!$C$5:$C$3004,"&gt;0")</f>
        <v>0</v>
      </c>
      <c r="C9" s="14" t="n">
        <f aca="false">-SUMIFS(Transactions!$C$5:$C$3004,Transactions!$I$5:$I$3004,"BBG",Transactions!$K$5:$K$3004,$A9,Transactions!$C$5:$C$3004,"&lt;0")</f>
        <v>-0</v>
      </c>
      <c r="D9" s="14" t="n">
        <f aca="false">B9-C9</f>
        <v>0</v>
      </c>
      <c r="E9" s="14" t="n">
        <f aca="false">SUMIFS(Transactions!$C$5:$C$3004,Transactions!$I$5:$I$3004,"CCCL",Transactions!$K$5:$K$3004,$A9,Transactions!$C$5:$C$3004,"&gt;0")</f>
        <v>0</v>
      </c>
      <c r="F9" s="14" t="n">
        <f aca="false">-SUMIFS(Transactions!$C$5:$C$3004,Transactions!$I$5:$I$3004,"CCCL",Transactions!$K$5:$K$3004,$A9,Transactions!$C$5:$C$3004,"&lt;0")</f>
        <v>-0</v>
      </c>
      <c r="G9" s="14" t="n">
        <f aca="false">E9-F9</f>
        <v>0</v>
      </c>
      <c r="H9" s="14" t="n">
        <f aca="false">-SUMIFS(Transactions!$C$5:$C$3004,Transactions!$I$5:$I$3004,"Shared",Transactions!$K$5:$K$3004,$A9)</f>
        <v>-0</v>
      </c>
      <c r="I9" s="14" t="n">
        <f aca="false">D9+G9-H9</f>
        <v>0</v>
      </c>
      <c r="J9" s="15" t="n">
        <f aca="false">COUNTIFS(Transactions!$I$5:$I$3004,"Check",Transactions!$K$5:$K$3004,$A9)</f>
        <v>0</v>
      </c>
    </row>
    <row r="10" customFormat="false" ht="15" hidden="false" customHeight="false" outlineLevel="0" collapsed="false">
      <c r="A10" s="13" t="n">
        <f aca="false">DATE($B$3,6,1)</f>
        <v>46174</v>
      </c>
      <c r="B10" s="14" t="n">
        <f aca="false">SUMIFS(Transactions!$C$5:$C$3004,Transactions!$I$5:$I$3004,"BBG",Transactions!$K$5:$K$3004,$A10,Transactions!$C$5:$C$3004,"&gt;0")</f>
        <v>0</v>
      </c>
      <c r="C10" s="14" t="n">
        <f aca="false">-SUMIFS(Transactions!$C$5:$C$3004,Transactions!$I$5:$I$3004,"BBG",Transactions!$K$5:$K$3004,$A10,Transactions!$C$5:$C$3004,"&lt;0")</f>
        <v>-0</v>
      </c>
      <c r="D10" s="14" t="n">
        <f aca="false">B10-C10</f>
        <v>0</v>
      </c>
      <c r="E10" s="14" t="n">
        <f aca="false">SUMIFS(Transactions!$C$5:$C$3004,Transactions!$I$5:$I$3004,"CCCL",Transactions!$K$5:$K$3004,$A10,Transactions!$C$5:$C$3004,"&gt;0")</f>
        <v>0</v>
      </c>
      <c r="F10" s="14" t="n">
        <f aca="false">-SUMIFS(Transactions!$C$5:$C$3004,Transactions!$I$5:$I$3004,"CCCL",Transactions!$K$5:$K$3004,$A10,Transactions!$C$5:$C$3004,"&lt;0")</f>
        <v>-0</v>
      </c>
      <c r="G10" s="14" t="n">
        <f aca="false">E10-F10</f>
        <v>0</v>
      </c>
      <c r="H10" s="14" t="n">
        <f aca="false">-SUMIFS(Transactions!$C$5:$C$3004,Transactions!$I$5:$I$3004,"Shared",Transactions!$K$5:$K$3004,$A10)</f>
        <v>-0</v>
      </c>
      <c r="I10" s="14" t="n">
        <f aca="false">D10+G10-H10</f>
        <v>0</v>
      </c>
      <c r="J10" s="15" t="n">
        <f aca="false">COUNTIFS(Transactions!$I$5:$I$3004,"Check",Transactions!$K$5:$K$3004,$A10)</f>
        <v>0</v>
      </c>
    </row>
    <row r="11" customFormat="false" ht="15" hidden="false" customHeight="false" outlineLevel="0" collapsed="false">
      <c r="A11" s="13" t="n">
        <f aca="false">DATE($B$3,7,1)</f>
        <v>46204</v>
      </c>
      <c r="B11" s="14" t="n">
        <f aca="false">SUMIFS(Transactions!$C$5:$C$3004,Transactions!$I$5:$I$3004,"BBG",Transactions!$K$5:$K$3004,$A11,Transactions!$C$5:$C$3004,"&gt;0")</f>
        <v>0</v>
      </c>
      <c r="C11" s="14" t="n">
        <f aca="false">-SUMIFS(Transactions!$C$5:$C$3004,Transactions!$I$5:$I$3004,"BBG",Transactions!$K$5:$K$3004,$A11,Transactions!$C$5:$C$3004,"&lt;0")</f>
        <v>-0</v>
      </c>
      <c r="D11" s="14" t="n">
        <f aca="false">B11-C11</f>
        <v>0</v>
      </c>
      <c r="E11" s="14" t="n">
        <f aca="false">SUMIFS(Transactions!$C$5:$C$3004,Transactions!$I$5:$I$3004,"CCCL",Transactions!$K$5:$K$3004,$A11,Transactions!$C$5:$C$3004,"&gt;0")</f>
        <v>0</v>
      </c>
      <c r="F11" s="14" t="n">
        <f aca="false">-SUMIFS(Transactions!$C$5:$C$3004,Transactions!$I$5:$I$3004,"CCCL",Transactions!$K$5:$K$3004,$A11,Transactions!$C$5:$C$3004,"&lt;0")</f>
        <v>-0</v>
      </c>
      <c r="G11" s="14" t="n">
        <f aca="false">E11-F11</f>
        <v>0</v>
      </c>
      <c r="H11" s="14" t="n">
        <f aca="false">-SUMIFS(Transactions!$C$5:$C$3004,Transactions!$I$5:$I$3004,"Shared",Transactions!$K$5:$K$3004,$A11)</f>
        <v>-0</v>
      </c>
      <c r="I11" s="14" t="n">
        <f aca="false">D11+G11-H11</f>
        <v>0</v>
      </c>
      <c r="J11" s="15" t="n">
        <f aca="false">COUNTIFS(Transactions!$I$5:$I$3004,"Check",Transactions!$K$5:$K$3004,$A11)</f>
        <v>0</v>
      </c>
    </row>
    <row r="12" customFormat="false" ht="15" hidden="false" customHeight="false" outlineLevel="0" collapsed="false">
      <c r="A12" s="13" t="n">
        <f aca="false">DATE($B$3,8,1)</f>
        <v>46235</v>
      </c>
      <c r="B12" s="14" t="n">
        <f aca="false">SUMIFS(Transactions!$C$5:$C$3004,Transactions!$I$5:$I$3004,"BBG",Transactions!$K$5:$K$3004,$A12,Transactions!$C$5:$C$3004,"&gt;0")</f>
        <v>0</v>
      </c>
      <c r="C12" s="14" t="n">
        <f aca="false">-SUMIFS(Transactions!$C$5:$C$3004,Transactions!$I$5:$I$3004,"BBG",Transactions!$K$5:$K$3004,$A12,Transactions!$C$5:$C$3004,"&lt;0")</f>
        <v>-0</v>
      </c>
      <c r="D12" s="14" t="n">
        <f aca="false">B12-C12</f>
        <v>0</v>
      </c>
      <c r="E12" s="14" t="n">
        <f aca="false">SUMIFS(Transactions!$C$5:$C$3004,Transactions!$I$5:$I$3004,"CCCL",Transactions!$K$5:$K$3004,$A12,Transactions!$C$5:$C$3004,"&gt;0")</f>
        <v>0</v>
      </c>
      <c r="F12" s="14" t="n">
        <f aca="false">-SUMIFS(Transactions!$C$5:$C$3004,Transactions!$I$5:$I$3004,"CCCL",Transactions!$K$5:$K$3004,$A12,Transactions!$C$5:$C$3004,"&lt;0")</f>
        <v>-0</v>
      </c>
      <c r="G12" s="14" t="n">
        <f aca="false">E12-F12</f>
        <v>0</v>
      </c>
      <c r="H12" s="14" t="n">
        <f aca="false">-SUMIFS(Transactions!$C$5:$C$3004,Transactions!$I$5:$I$3004,"Shared",Transactions!$K$5:$K$3004,$A12)</f>
        <v>-0</v>
      </c>
      <c r="I12" s="14" t="n">
        <f aca="false">D12+G12-H12</f>
        <v>0</v>
      </c>
      <c r="J12" s="15" t="n">
        <f aca="false">COUNTIFS(Transactions!$I$5:$I$3004,"Check",Transactions!$K$5:$K$3004,$A12)</f>
        <v>0</v>
      </c>
    </row>
    <row r="13" customFormat="false" ht="15" hidden="false" customHeight="false" outlineLevel="0" collapsed="false">
      <c r="A13" s="13" t="n">
        <f aca="false">DATE($B$3,9,1)</f>
        <v>46266</v>
      </c>
      <c r="B13" s="14" t="n">
        <f aca="false">SUMIFS(Transactions!$C$5:$C$3004,Transactions!$I$5:$I$3004,"BBG",Transactions!$K$5:$K$3004,$A13,Transactions!$C$5:$C$3004,"&gt;0")</f>
        <v>0</v>
      </c>
      <c r="C13" s="14" t="n">
        <f aca="false">-SUMIFS(Transactions!$C$5:$C$3004,Transactions!$I$5:$I$3004,"BBG",Transactions!$K$5:$K$3004,$A13,Transactions!$C$5:$C$3004,"&lt;0")</f>
        <v>-0</v>
      </c>
      <c r="D13" s="14" t="n">
        <f aca="false">B13-C13</f>
        <v>0</v>
      </c>
      <c r="E13" s="14" t="n">
        <f aca="false">SUMIFS(Transactions!$C$5:$C$3004,Transactions!$I$5:$I$3004,"CCCL",Transactions!$K$5:$K$3004,$A13,Transactions!$C$5:$C$3004,"&gt;0")</f>
        <v>0</v>
      </c>
      <c r="F13" s="14" t="n">
        <f aca="false">-SUMIFS(Transactions!$C$5:$C$3004,Transactions!$I$5:$I$3004,"CCCL",Transactions!$K$5:$K$3004,$A13,Transactions!$C$5:$C$3004,"&lt;0")</f>
        <v>-0</v>
      </c>
      <c r="G13" s="14" t="n">
        <f aca="false">E13-F13</f>
        <v>0</v>
      </c>
      <c r="H13" s="14" t="n">
        <f aca="false">-SUMIFS(Transactions!$C$5:$C$3004,Transactions!$I$5:$I$3004,"Shared",Transactions!$K$5:$K$3004,$A13)</f>
        <v>-0</v>
      </c>
      <c r="I13" s="14" t="n">
        <f aca="false">D13+G13-H13</f>
        <v>0</v>
      </c>
      <c r="J13" s="15" t="n">
        <f aca="false">COUNTIFS(Transactions!$I$5:$I$3004,"Check",Transactions!$K$5:$K$3004,$A13)</f>
        <v>0</v>
      </c>
    </row>
    <row r="14" customFormat="false" ht="15" hidden="false" customHeight="false" outlineLevel="0" collapsed="false">
      <c r="A14" s="13" t="n">
        <f aca="false">DATE($B$3,10,1)</f>
        <v>46296</v>
      </c>
      <c r="B14" s="14" t="n">
        <f aca="false">SUMIFS(Transactions!$C$5:$C$3004,Transactions!$I$5:$I$3004,"BBG",Transactions!$K$5:$K$3004,$A14,Transactions!$C$5:$C$3004,"&gt;0")</f>
        <v>0</v>
      </c>
      <c r="C14" s="14" t="n">
        <f aca="false">-SUMIFS(Transactions!$C$5:$C$3004,Transactions!$I$5:$I$3004,"BBG",Transactions!$K$5:$K$3004,$A14,Transactions!$C$5:$C$3004,"&lt;0")</f>
        <v>-0</v>
      </c>
      <c r="D14" s="14" t="n">
        <f aca="false">B14-C14</f>
        <v>0</v>
      </c>
      <c r="E14" s="14" t="n">
        <f aca="false">SUMIFS(Transactions!$C$5:$C$3004,Transactions!$I$5:$I$3004,"CCCL",Transactions!$K$5:$K$3004,$A14,Transactions!$C$5:$C$3004,"&gt;0")</f>
        <v>0</v>
      </c>
      <c r="F14" s="14" t="n">
        <f aca="false">-SUMIFS(Transactions!$C$5:$C$3004,Transactions!$I$5:$I$3004,"CCCL",Transactions!$K$5:$K$3004,$A14,Transactions!$C$5:$C$3004,"&lt;0")</f>
        <v>-0</v>
      </c>
      <c r="G14" s="14" t="n">
        <f aca="false">E14-F14</f>
        <v>0</v>
      </c>
      <c r="H14" s="14" t="n">
        <f aca="false">-SUMIFS(Transactions!$C$5:$C$3004,Transactions!$I$5:$I$3004,"Shared",Transactions!$K$5:$K$3004,$A14)</f>
        <v>-0</v>
      </c>
      <c r="I14" s="14" t="n">
        <f aca="false">D14+G14-H14</f>
        <v>0</v>
      </c>
      <c r="J14" s="15" t="n">
        <f aca="false">COUNTIFS(Transactions!$I$5:$I$3004,"Check",Transactions!$K$5:$K$3004,$A14)</f>
        <v>0</v>
      </c>
    </row>
    <row r="15" customFormat="false" ht="15" hidden="false" customHeight="false" outlineLevel="0" collapsed="false">
      <c r="A15" s="13" t="n">
        <f aca="false">DATE($B$3,11,1)</f>
        <v>46327</v>
      </c>
      <c r="B15" s="14" t="n">
        <f aca="false">SUMIFS(Transactions!$C$5:$C$3004,Transactions!$I$5:$I$3004,"BBG",Transactions!$K$5:$K$3004,$A15,Transactions!$C$5:$C$3004,"&gt;0")</f>
        <v>0</v>
      </c>
      <c r="C15" s="14" t="n">
        <f aca="false">-SUMIFS(Transactions!$C$5:$C$3004,Transactions!$I$5:$I$3004,"BBG",Transactions!$K$5:$K$3004,$A15,Transactions!$C$5:$C$3004,"&lt;0")</f>
        <v>-0</v>
      </c>
      <c r="D15" s="14" t="n">
        <f aca="false">B15-C15</f>
        <v>0</v>
      </c>
      <c r="E15" s="14" t="n">
        <f aca="false">SUMIFS(Transactions!$C$5:$C$3004,Transactions!$I$5:$I$3004,"CCCL",Transactions!$K$5:$K$3004,$A15,Transactions!$C$5:$C$3004,"&gt;0")</f>
        <v>0</v>
      </c>
      <c r="F15" s="14" t="n">
        <f aca="false">-SUMIFS(Transactions!$C$5:$C$3004,Transactions!$I$5:$I$3004,"CCCL",Transactions!$K$5:$K$3004,$A15,Transactions!$C$5:$C$3004,"&lt;0")</f>
        <v>-0</v>
      </c>
      <c r="G15" s="14" t="n">
        <f aca="false">E15-F15</f>
        <v>0</v>
      </c>
      <c r="H15" s="14" t="n">
        <f aca="false">-SUMIFS(Transactions!$C$5:$C$3004,Transactions!$I$5:$I$3004,"Shared",Transactions!$K$5:$K$3004,$A15)</f>
        <v>-0</v>
      </c>
      <c r="I15" s="14" t="n">
        <f aca="false">D15+G15-H15</f>
        <v>0</v>
      </c>
      <c r="J15" s="15" t="n">
        <f aca="false">COUNTIFS(Transactions!$I$5:$I$3004,"Check",Transactions!$K$5:$K$3004,$A15)</f>
        <v>0</v>
      </c>
    </row>
    <row r="16" customFormat="false" ht="15" hidden="false" customHeight="false" outlineLevel="0" collapsed="false">
      <c r="A16" s="13" t="n">
        <f aca="false">DATE($B$3,12,1)</f>
        <v>46357</v>
      </c>
      <c r="B16" s="14" t="n">
        <f aca="false">SUMIFS(Transactions!$C$5:$C$3004,Transactions!$I$5:$I$3004,"BBG",Transactions!$K$5:$K$3004,$A16,Transactions!$C$5:$C$3004,"&gt;0")</f>
        <v>0</v>
      </c>
      <c r="C16" s="14" t="n">
        <f aca="false">-SUMIFS(Transactions!$C$5:$C$3004,Transactions!$I$5:$I$3004,"BBG",Transactions!$K$5:$K$3004,$A16,Transactions!$C$5:$C$3004,"&lt;0")</f>
        <v>-0</v>
      </c>
      <c r="D16" s="14" t="n">
        <f aca="false">B16-C16</f>
        <v>0</v>
      </c>
      <c r="E16" s="14" t="n">
        <f aca="false">SUMIFS(Transactions!$C$5:$C$3004,Transactions!$I$5:$I$3004,"CCCL",Transactions!$K$5:$K$3004,$A16,Transactions!$C$5:$C$3004,"&gt;0")</f>
        <v>0</v>
      </c>
      <c r="F16" s="14" t="n">
        <f aca="false">-SUMIFS(Transactions!$C$5:$C$3004,Transactions!$I$5:$I$3004,"CCCL",Transactions!$K$5:$K$3004,$A16,Transactions!$C$5:$C$3004,"&lt;0")</f>
        <v>-0</v>
      </c>
      <c r="G16" s="14" t="n">
        <f aca="false">E16-F16</f>
        <v>0</v>
      </c>
      <c r="H16" s="14" t="n">
        <f aca="false">-SUMIFS(Transactions!$C$5:$C$3004,Transactions!$I$5:$I$3004,"Shared",Transactions!$K$5:$K$3004,$A16)</f>
        <v>-0</v>
      </c>
      <c r="I16" s="14" t="n">
        <f aca="false">D16+G16-H16</f>
        <v>0</v>
      </c>
      <c r="J16" s="15" t="n">
        <f aca="false">COUNTIFS(Transactions!$I$5:$I$3004,"Check",Transactions!$K$5:$K$3004,$A16)</f>
        <v>0</v>
      </c>
    </row>
    <row r="17" customFormat="false" ht="15" hidden="false" customHeight="false" outlineLevel="0" collapsed="false">
      <c r="A17" s="16" t="s">
        <v>44</v>
      </c>
      <c r="B17" s="17" t="n">
        <f aca="false">SUM(B5:B16)</f>
        <v>0</v>
      </c>
      <c r="C17" s="17" t="n">
        <f aca="false">SUM(C5:C16)</f>
        <v>0</v>
      </c>
      <c r="D17" s="17" t="n">
        <f aca="false">SUM(D5:D16)</f>
        <v>0</v>
      </c>
      <c r="E17" s="17" t="n">
        <f aca="false">SUM(E5:E16)</f>
        <v>0</v>
      </c>
      <c r="F17" s="17" t="n">
        <f aca="false">SUM(F5:F16)</f>
        <v>0</v>
      </c>
      <c r="G17" s="17" t="n">
        <f aca="false">SUM(G5:G16)</f>
        <v>0</v>
      </c>
      <c r="H17" s="17" t="n">
        <f aca="false">SUM(H5:H16)</f>
        <v>0</v>
      </c>
      <c r="I17" s="17" t="n">
        <f aca="false">SUM(I5:I16)</f>
        <v>0</v>
      </c>
      <c r="J17" s="18" t="n">
        <f aca="false">SUM(J5:J16)</f>
        <v>0</v>
      </c>
    </row>
    <row r="19" customFormat="false" ht="15" hidden="false" customHeight="false" outlineLevel="0" collapsed="false">
      <c r="A19" s="6" t="s">
        <v>56</v>
      </c>
    </row>
    <row r="20" customFormat="false" ht="15" hidden="false" customHeight="false" outlineLevel="0" collapsed="false">
      <c r="A20" s="19" t="s">
        <v>57</v>
      </c>
      <c r="B20" s="19"/>
      <c r="C20" s="19"/>
      <c r="D20" s="19"/>
      <c r="E20" s="19"/>
      <c r="F20" s="19"/>
      <c r="G20" s="19"/>
      <c r="H20" s="19"/>
      <c r="I20" s="19"/>
      <c r="J20" s="19"/>
    </row>
    <row r="21" customFormat="false" ht="15" hidden="false" customHeight="false" outlineLevel="0" collapsed="false">
      <c r="A21" s="19" t="s">
        <v>58</v>
      </c>
      <c r="B21" s="19"/>
      <c r="C21" s="19"/>
      <c r="D21" s="19"/>
      <c r="E21" s="19"/>
      <c r="F21" s="19"/>
      <c r="G21" s="19"/>
      <c r="H21" s="19"/>
      <c r="I21" s="19"/>
      <c r="J21" s="19"/>
    </row>
    <row r="22" customFormat="false" ht="15" hidden="false" customHeight="false" outlineLevel="0" collapsed="false">
      <c r="A22" s="19" t="s">
        <v>59</v>
      </c>
      <c r="B22" s="19"/>
      <c r="C22" s="19"/>
      <c r="D22" s="19"/>
      <c r="E22" s="19"/>
      <c r="F22" s="19"/>
      <c r="G22" s="19"/>
      <c r="H22" s="19"/>
      <c r="I22" s="19"/>
      <c r="J22" s="19"/>
    </row>
  </sheetData>
  <mergeCells count="5">
    <mergeCell ref="A1:J1"/>
    <mergeCell ref="A2:J2"/>
    <mergeCell ref="A20:J20"/>
    <mergeCell ref="A21:J21"/>
    <mergeCell ref="A22:J22"/>
  </mergeCells>
  <conditionalFormatting sqref="J5:J17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6" min="3" style="0" width="13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61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2" t="s">
        <v>62</v>
      </c>
      <c r="B4" s="12" t="s">
        <v>63</v>
      </c>
      <c r="C4" s="12" t="s">
        <v>27</v>
      </c>
      <c r="D4" s="12" t="s">
        <v>29</v>
      </c>
      <c r="E4" s="12" t="s">
        <v>31</v>
      </c>
      <c r="F4" s="12" t="s">
        <v>64</v>
      </c>
    </row>
    <row r="5" customFormat="false" ht="15" hidden="false" customHeight="false" outlineLevel="0" collapsed="false">
      <c r="A5" s="20" t="s">
        <v>65</v>
      </c>
      <c r="B5" s="21" t="s">
        <v>66</v>
      </c>
      <c r="C5" s="14" t="n">
        <f aca="false">SUMIFS(Transactions!$C$5:$C$3004,Transactions!$J$5:$J$3004,$A5,Transactions!$I$5:$I$3004,"BBG",Transactions!$K$5:$K$3004,"&gt;="&amp;DATE(Monthly!$B$3,1,1),Transactions!$K$5:$K$3004,"&lt;="&amp;DATE(Monthly!$B$3,12,1))</f>
        <v>0</v>
      </c>
      <c r="D5" s="14" t="n">
        <f aca="false">SUMIFS(Transactions!$C$5:$C$3004,Transactions!$J$5:$J$3004,$A5,Transactions!$I$5:$I$3004,"CCCL",Transactions!$K$5:$K$3004,"&gt;="&amp;DATE(Monthly!$B$3,1,1),Transactions!$K$5:$K$3004,"&lt;="&amp;DATE(Monthly!$B$3,12,1))</f>
        <v>0</v>
      </c>
      <c r="E5" s="14" t="n">
        <f aca="false">SUMIFS(Transactions!$C$5:$C$3004,Transactions!$J$5:$J$3004,$A5,Transactions!$I$5:$I$3004,"Shared",Transactions!$K$5:$K$3004,"&gt;="&amp;DATE(Monthly!$B$3,1,1),Transactions!$K$5:$K$3004,"&lt;="&amp;DATE(Monthly!$B$3,12,1))</f>
        <v>0</v>
      </c>
      <c r="F5" s="14" t="n">
        <f aca="false">SUM(C5:E5)</f>
        <v>0</v>
      </c>
    </row>
    <row r="6" customFormat="false" ht="15" hidden="false" customHeight="false" outlineLevel="0" collapsed="false">
      <c r="A6" s="20" t="s">
        <v>67</v>
      </c>
      <c r="B6" s="21" t="s">
        <v>66</v>
      </c>
      <c r="C6" s="14" t="n">
        <f aca="false">SUMIFS(Transactions!$C$5:$C$3004,Transactions!$J$5:$J$3004,$A6,Transactions!$I$5:$I$3004,"BBG",Transactions!$K$5:$K$3004,"&gt;="&amp;DATE(Monthly!$B$3,1,1),Transactions!$K$5:$K$3004,"&lt;="&amp;DATE(Monthly!$B$3,12,1))</f>
        <v>0</v>
      </c>
      <c r="D6" s="14" t="n">
        <f aca="false">SUMIFS(Transactions!$C$5:$C$3004,Transactions!$J$5:$J$3004,$A6,Transactions!$I$5:$I$3004,"CCCL",Transactions!$K$5:$K$3004,"&gt;="&amp;DATE(Monthly!$B$3,1,1),Transactions!$K$5:$K$3004,"&lt;="&amp;DATE(Monthly!$B$3,12,1))</f>
        <v>0</v>
      </c>
      <c r="E6" s="14" t="n">
        <f aca="false">SUMIFS(Transactions!$C$5:$C$3004,Transactions!$J$5:$J$3004,$A6,Transactions!$I$5:$I$3004,"Shared",Transactions!$K$5:$K$3004,"&gt;="&amp;DATE(Monthly!$B$3,1,1),Transactions!$K$5:$K$3004,"&lt;="&amp;DATE(Monthly!$B$3,12,1))</f>
        <v>0</v>
      </c>
      <c r="F6" s="14" t="n">
        <f aca="false">SUM(C6:E6)</f>
        <v>0</v>
      </c>
    </row>
    <row r="7" customFormat="false" ht="15" hidden="false" customHeight="false" outlineLevel="0" collapsed="false">
      <c r="A7" s="20" t="s">
        <v>68</v>
      </c>
      <c r="B7" s="21" t="s">
        <v>66</v>
      </c>
      <c r="C7" s="14" t="n">
        <f aca="false">SUMIFS(Transactions!$C$5:$C$3004,Transactions!$J$5:$J$3004,$A7,Transactions!$I$5:$I$3004,"BBG",Transactions!$K$5:$K$3004,"&gt;="&amp;DATE(Monthly!$B$3,1,1),Transactions!$K$5:$K$3004,"&lt;="&amp;DATE(Monthly!$B$3,12,1))</f>
        <v>0</v>
      </c>
      <c r="D7" s="14" t="n">
        <f aca="false">SUMIFS(Transactions!$C$5:$C$3004,Transactions!$J$5:$J$3004,$A7,Transactions!$I$5:$I$3004,"CCCL",Transactions!$K$5:$K$3004,"&gt;="&amp;DATE(Monthly!$B$3,1,1),Transactions!$K$5:$K$3004,"&lt;="&amp;DATE(Monthly!$B$3,12,1))</f>
        <v>0</v>
      </c>
      <c r="E7" s="14" t="n">
        <f aca="false">SUMIFS(Transactions!$C$5:$C$3004,Transactions!$J$5:$J$3004,$A7,Transactions!$I$5:$I$3004,"Shared",Transactions!$K$5:$K$3004,"&gt;="&amp;DATE(Monthly!$B$3,1,1),Transactions!$K$5:$K$3004,"&lt;="&amp;DATE(Monthly!$B$3,12,1))</f>
        <v>0</v>
      </c>
      <c r="F7" s="14" t="n">
        <f aca="false">SUM(C7:E7)</f>
        <v>0</v>
      </c>
    </row>
    <row r="8" customFormat="false" ht="15" hidden="false" customHeight="false" outlineLevel="0" collapsed="false">
      <c r="A8" s="20" t="s">
        <v>69</v>
      </c>
      <c r="B8" s="21" t="s">
        <v>66</v>
      </c>
      <c r="C8" s="14" t="n">
        <f aca="false">SUMIFS(Transactions!$C$5:$C$3004,Transactions!$J$5:$J$3004,$A8,Transactions!$I$5:$I$3004,"BBG",Transactions!$K$5:$K$3004,"&gt;="&amp;DATE(Monthly!$B$3,1,1),Transactions!$K$5:$K$3004,"&lt;="&amp;DATE(Monthly!$B$3,12,1))</f>
        <v>0</v>
      </c>
      <c r="D8" s="14" t="n">
        <f aca="false">SUMIFS(Transactions!$C$5:$C$3004,Transactions!$J$5:$J$3004,$A8,Transactions!$I$5:$I$3004,"CCCL",Transactions!$K$5:$K$3004,"&gt;="&amp;DATE(Monthly!$B$3,1,1),Transactions!$K$5:$K$3004,"&lt;="&amp;DATE(Monthly!$B$3,12,1))</f>
        <v>0</v>
      </c>
      <c r="E8" s="14" t="n">
        <f aca="false">SUMIFS(Transactions!$C$5:$C$3004,Transactions!$J$5:$J$3004,$A8,Transactions!$I$5:$I$3004,"Shared",Transactions!$K$5:$K$3004,"&gt;="&amp;DATE(Monthly!$B$3,1,1),Transactions!$K$5:$K$3004,"&lt;="&amp;DATE(Monthly!$B$3,12,1))</f>
        <v>0</v>
      </c>
      <c r="F8" s="14" t="n">
        <f aca="false">SUM(C8:E8)</f>
        <v>0</v>
      </c>
    </row>
    <row r="9" customFormat="false" ht="15" hidden="false" customHeight="false" outlineLevel="0" collapsed="false">
      <c r="A9" s="20" t="s">
        <v>70</v>
      </c>
      <c r="B9" s="21" t="s">
        <v>66</v>
      </c>
      <c r="C9" s="14" t="n">
        <f aca="false">SUMIFS(Transactions!$C$5:$C$3004,Transactions!$J$5:$J$3004,$A9,Transactions!$I$5:$I$3004,"BBG",Transactions!$K$5:$K$3004,"&gt;="&amp;DATE(Monthly!$B$3,1,1),Transactions!$K$5:$K$3004,"&lt;="&amp;DATE(Monthly!$B$3,12,1))</f>
        <v>0</v>
      </c>
      <c r="D9" s="14" t="n">
        <f aca="false">SUMIFS(Transactions!$C$5:$C$3004,Transactions!$J$5:$J$3004,$A9,Transactions!$I$5:$I$3004,"CCCL",Transactions!$K$5:$K$3004,"&gt;="&amp;DATE(Monthly!$B$3,1,1),Transactions!$K$5:$K$3004,"&lt;="&amp;DATE(Monthly!$B$3,12,1))</f>
        <v>0</v>
      </c>
      <c r="E9" s="14" t="n">
        <f aca="false">SUMIFS(Transactions!$C$5:$C$3004,Transactions!$J$5:$J$3004,$A9,Transactions!$I$5:$I$3004,"Shared",Transactions!$K$5:$K$3004,"&gt;="&amp;DATE(Monthly!$B$3,1,1),Transactions!$K$5:$K$3004,"&lt;="&amp;DATE(Monthly!$B$3,12,1))</f>
        <v>0</v>
      </c>
      <c r="F9" s="14" t="n">
        <f aca="false">SUM(C9:E9)</f>
        <v>0</v>
      </c>
    </row>
    <row r="10" customFormat="false" ht="15" hidden="false" customHeight="false" outlineLevel="0" collapsed="false">
      <c r="A10" s="20" t="s">
        <v>71</v>
      </c>
      <c r="B10" s="21" t="s">
        <v>66</v>
      </c>
      <c r="C10" s="14" t="n">
        <f aca="false">SUMIFS(Transactions!$C$5:$C$3004,Transactions!$J$5:$J$3004,$A10,Transactions!$I$5:$I$3004,"BBG",Transactions!$K$5:$K$3004,"&gt;="&amp;DATE(Monthly!$B$3,1,1),Transactions!$K$5:$K$3004,"&lt;="&amp;DATE(Monthly!$B$3,12,1))</f>
        <v>0</v>
      </c>
      <c r="D10" s="14" t="n">
        <f aca="false">SUMIFS(Transactions!$C$5:$C$3004,Transactions!$J$5:$J$3004,$A10,Transactions!$I$5:$I$3004,"CCCL",Transactions!$K$5:$K$3004,"&gt;="&amp;DATE(Monthly!$B$3,1,1),Transactions!$K$5:$K$3004,"&lt;="&amp;DATE(Monthly!$B$3,12,1))</f>
        <v>0</v>
      </c>
      <c r="E10" s="14" t="n">
        <f aca="false">SUMIFS(Transactions!$C$5:$C$3004,Transactions!$J$5:$J$3004,$A10,Transactions!$I$5:$I$3004,"Shared",Transactions!$K$5:$K$3004,"&gt;="&amp;DATE(Monthly!$B$3,1,1),Transactions!$K$5:$K$3004,"&lt;="&amp;DATE(Monthly!$B$3,12,1))</f>
        <v>0</v>
      </c>
      <c r="F10" s="14" t="n">
        <f aca="false">SUM(C10:E10)</f>
        <v>0</v>
      </c>
    </row>
    <row r="11" customFormat="false" ht="15" hidden="false" customHeight="false" outlineLevel="0" collapsed="false">
      <c r="A11" s="20" t="s">
        <v>72</v>
      </c>
      <c r="B11" s="21" t="s">
        <v>66</v>
      </c>
      <c r="C11" s="14" t="n">
        <f aca="false">SUMIFS(Transactions!$C$5:$C$3004,Transactions!$J$5:$J$3004,$A11,Transactions!$I$5:$I$3004,"BBG",Transactions!$K$5:$K$3004,"&gt;="&amp;DATE(Monthly!$B$3,1,1),Transactions!$K$5:$K$3004,"&lt;="&amp;DATE(Monthly!$B$3,12,1))</f>
        <v>0</v>
      </c>
      <c r="D11" s="14" t="n">
        <f aca="false">SUMIFS(Transactions!$C$5:$C$3004,Transactions!$J$5:$J$3004,$A11,Transactions!$I$5:$I$3004,"CCCL",Transactions!$K$5:$K$3004,"&gt;="&amp;DATE(Monthly!$B$3,1,1),Transactions!$K$5:$K$3004,"&lt;="&amp;DATE(Monthly!$B$3,12,1))</f>
        <v>0</v>
      </c>
      <c r="E11" s="14" t="n">
        <f aca="false">SUMIFS(Transactions!$C$5:$C$3004,Transactions!$J$5:$J$3004,$A11,Transactions!$I$5:$I$3004,"Shared",Transactions!$K$5:$K$3004,"&gt;="&amp;DATE(Monthly!$B$3,1,1),Transactions!$K$5:$K$3004,"&lt;="&amp;DATE(Monthly!$B$3,12,1))</f>
        <v>0</v>
      </c>
      <c r="F11" s="14" t="n">
        <f aca="false">SUM(C11:E11)</f>
        <v>0</v>
      </c>
    </row>
    <row r="12" customFormat="false" ht="15" hidden="false" customHeight="false" outlineLevel="0" collapsed="false">
      <c r="A12" s="20" t="s">
        <v>73</v>
      </c>
      <c r="B12" s="21" t="s">
        <v>66</v>
      </c>
      <c r="C12" s="14" t="n">
        <f aca="false">SUMIFS(Transactions!$C$5:$C$3004,Transactions!$J$5:$J$3004,$A12,Transactions!$I$5:$I$3004,"BBG",Transactions!$K$5:$K$3004,"&gt;="&amp;DATE(Monthly!$B$3,1,1),Transactions!$K$5:$K$3004,"&lt;="&amp;DATE(Monthly!$B$3,12,1))</f>
        <v>0</v>
      </c>
      <c r="D12" s="14" t="n">
        <f aca="false">SUMIFS(Transactions!$C$5:$C$3004,Transactions!$J$5:$J$3004,$A12,Transactions!$I$5:$I$3004,"CCCL",Transactions!$K$5:$K$3004,"&gt;="&amp;DATE(Monthly!$B$3,1,1),Transactions!$K$5:$K$3004,"&lt;="&amp;DATE(Monthly!$B$3,12,1))</f>
        <v>0</v>
      </c>
      <c r="E12" s="14" t="n">
        <f aca="false">SUMIFS(Transactions!$C$5:$C$3004,Transactions!$J$5:$J$3004,$A12,Transactions!$I$5:$I$3004,"Shared",Transactions!$K$5:$K$3004,"&gt;="&amp;DATE(Monthly!$B$3,1,1),Transactions!$K$5:$K$3004,"&lt;="&amp;DATE(Monthly!$B$3,12,1))</f>
        <v>0</v>
      </c>
      <c r="F12" s="14" t="n">
        <f aca="false">SUM(C12:E12)</f>
        <v>0</v>
      </c>
    </row>
    <row r="13" customFormat="false" ht="15" hidden="false" customHeight="false" outlineLevel="0" collapsed="false">
      <c r="A13" s="20" t="s">
        <v>74</v>
      </c>
      <c r="B13" s="21" t="s">
        <v>66</v>
      </c>
      <c r="C13" s="14" t="n">
        <f aca="false">SUMIFS(Transactions!$C$5:$C$3004,Transactions!$J$5:$J$3004,$A13,Transactions!$I$5:$I$3004,"BBG",Transactions!$K$5:$K$3004,"&gt;="&amp;DATE(Monthly!$B$3,1,1),Transactions!$K$5:$K$3004,"&lt;="&amp;DATE(Monthly!$B$3,12,1))</f>
        <v>0</v>
      </c>
      <c r="D13" s="14" t="n">
        <f aca="false">SUMIFS(Transactions!$C$5:$C$3004,Transactions!$J$5:$J$3004,$A13,Transactions!$I$5:$I$3004,"CCCL",Transactions!$K$5:$K$3004,"&gt;="&amp;DATE(Monthly!$B$3,1,1),Transactions!$K$5:$K$3004,"&lt;="&amp;DATE(Monthly!$B$3,12,1))</f>
        <v>0</v>
      </c>
      <c r="E13" s="14" t="n">
        <f aca="false">SUMIFS(Transactions!$C$5:$C$3004,Transactions!$J$5:$J$3004,$A13,Transactions!$I$5:$I$3004,"Shared",Transactions!$K$5:$K$3004,"&gt;="&amp;DATE(Monthly!$B$3,1,1),Transactions!$K$5:$K$3004,"&lt;="&amp;DATE(Monthly!$B$3,12,1))</f>
        <v>0</v>
      </c>
      <c r="F13" s="14" t="n">
        <f aca="false">SUM(C13:E13)</f>
        <v>0</v>
      </c>
    </row>
    <row r="14" customFormat="false" ht="15" hidden="false" customHeight="false" outlineLevel="0" collapsed="false">
      <c r="A14" s="20" t="s">
        <v>75</v>
      </c>
      <c r="B14" s="21" t="s">
        <v>66</v>
      </c>
      <c r="C14" s="14" t="n">
        <f aca="false">SUMIFS(Transactions!$C$5:$C$3004,Transactions!$J$5:$J$3004,$A14,Transactions!$I$5:$I$3004,"BBG",Transactions!$K$5:$K$3004,"&gt;="&amp;DATE(Monthly!$B$3,1,1),Transactions!$K$5:$K$3004,"&lt;="&amp;DATE(Monthly!$B$3,12,1))</f>
        <v>0</v>
      </c>
      <c r="D14" s="14" t="n">
        <f aca="false">SUMIFS(Transactions!$C$5:$C$3004,Transactions!$J$5:$J$3004,$A14,Transactions!$I$5:$I$3004,"CCCL",Transactions!$K$5:$K$3004,"&gt;="&amp;DATE(Monthly!$B$3,1,1),Transactions!$K$5:$K$3004,"&lt;="&amp;DATE(Monthly!$B$3,12,1))</f>
        <v>0</v>
      </c>
      <c r="E14" s="14" t="n">
        <f aca="false">SUMIFS(Transactions!$C$5:$C$3004,Transactions!$J$5:$J$3004,$A14,Transactions!$I$5:$I$3004,"Shared",Transactions!$K$5:$K$3004,"&gt;="&amp;DATE(Monthly!$B$3,1,1),Transactions!$K$5:$K$3004,"&lt;="&amp;DATE(Monthly!$B$3,12,1))</f>
        <v>0</v>
      </c>
      <c r="F14" s="14" t="n">
        <f aca="false">SUM(C14:E14)</f>
        <v>0</v>
      </c>
    </row>
    <row r="15" customFormat="false" ht="15" hidden="false" customHeight="false" outlineLevel="0" collapsed="false">
      <c r="A15" s="20" t="s">
        <v>76</v>
      </c>
      <c r="B15" s="21" t="s">
        <v>77</v>
      </c>
      <c r="C15" s="14" t="n">
        <f aca="false">SUMIFS(Transactions!$C$5:$C$3004,Transactions!$J$5:$J$3004,$A15,Transactions!$I$5:$I$3004,"BBG",Transactions!$K$5:$K$3004,"&gt;="&amp;DATE(Monthly!$B$3,1,1),Transactions!$K$5:$K$3004,"&lt;="&amp;DATE(Monthly!$B$3,12,1))</f>
        <v>0</v>
      </c>
      <c r="D15" s="14" t="n">
        <f aca="false">SUMIFS(Transactions!$C$5:$C$3004,Transactions!$J$5:$J$3004,$A15,Transactions!$I$5:$I$3004,"CCCL",Transactions!$K$5:$K$3004,"&gt;="&amp;DATE(Monthly!$B$3,1,1),Transactions!$K$5:$K$3004,"&lt;="&amp;DATE(Monthly!$B$3,12,1))</f>
        <v>0</v>
      </c>
      <c r="E15" s="14" t="n">
        <f aca="false">SUMIFS(Transactions!$C$5:$C$3004,Transactions!$J$5:$J$3004,$A15,Transactions!$I$5:$I$3004,"Shared",Transactions!$K$5:$K$3004,"&gt;="&amp;DATE(Monthly!$B$3,1,1),Transactions!$K$5:$K$3004,"&lt;="&amp;DATE(Monthly!$B$3,12,1))</f>
        <v>0</v>
      </c>
      <c r="F15" s="14" t="n">
        <f aca="false">SUM(C15:E15)</f>
        <v>0</v>
      </c>
    </row>
    <row r="16" customFormat="false" ht="15" hidden="false" customHeight="false" outlineLevel="0" collapsed="false">
      <c r="A16" s="20" t="s">
        <v>78</v>
      </c>
      <c r="B16" s="21" t="s">
        <v>77</v>
      </c>
      <c r="C16" s="14" t="n">
        <f aca="false">SUMIFS(Transactions!$C$5:$C$3004,Transactions!$J$5:$J$3004,$A16,Transactions!$I$5:$I$3004,"BBG",Transactions!$K$5:$K$3004,"&gt;="&amp;DATE(Monthly!$B$3,1,1),Transactions!$K$5:$K$3004,"&lt;="&amp;DATE(Monthly!$B$3,12,1))</f>
        <v>0</v>
      </c>
      <c r="D16" s="14" t="n">
        <f aca="false">SUMIFS(Transactions!$C$5:$C$3004,Transactions!$J$5:$J$3004,$A16,Transactions!$I$5:$I$3004,"CCCL",Transactions!$K$5:$K$3004,"&gt;="&amp;DATE(Monthly!$B$3,1,1),Transactions!$K$5:$K$3004,"&lt;="&amp;DATE(Monthly!$B$3,12,1))</f>
        <v>0</v>
      </c>
      <c r="E16" s="14" t="n">
        <f aca="false">SUMIFS(Transactions!$C$5:$C$3004,Transactions!$J$5:$J$3004,$A16,Transactions!$I$5:$I$3004,"Shared",Transactions!$K$5:$K$3004,"&gt;="&amp;DATE(Monthly!$B$3,1,1),Transactions!$K$5:$K$3004,"&lt;="&amp;DATE(Monthly!$B$3,12,1))</f>
        <v>0</v>
      </c>
      <c r="F16" s="14" t="n">
        <f aca="false">SUM(C16:E16)</f>
        <v>0</v>
      </c>
    </row>
    <row r="17" customFormat="false" ht="15" hidden="false" customHeight="false" outlineLevel="0" collapsed="false">
      <c r="A17" s="20" t="s">
        <v>79</v>
      </c>
      <c r="B17" s="21" t="s">
        <v>77</v>
      </c>
      <c r="C17" s="14" t="n">
        <f aca="false">SUMIFS(Transactions!$C$5:$C$3004,Transactions!$J$5:$J$3004,$A17,Transactions!$I$5:$I$3004,"BBG",Transactions!$K$5:$K$3004,"&gt;="&amp;DATE(Monthly!$B$3,1,1),Transactions!$K$5:$K$3004,"&lt;="&amp;DATE(Monthly!$B$3,12,1))</f>
        <v>0</v>
      </c>
      <c r="D17" s="14" t="n">
        <f aca="false">SUMIFS(Transactions!$C$5:$C$3004,Transactions!$J$5:$J$3004,$A17,Transactions!$I$5:$I$3004,"CCCL",Transactions!$K$5:$K$3004,"&gt;="&amp;DATE(Monthly!$B$3,1,1),Transactions!$K$5:$K$3004,"&lt;="&amp;DATE(Monthly!$B$3,12,1))</f>
        <v>0</v>
      </c>
      <c r="E17" s="14" t="n">
        <f aca="false">SUMIFS(Transactions!$C$5:$C$3004,Transactions!$J$5:$J$3004,$A17,Transactions!$I$5:$I$3004,"Shared",Transactions!$K$5:$K$3004,"&gt;="&amp;DATE(Monthly!$B$3,1,1),Transactions!$K$5:$K$3004,"&lt;="&amp;DATE(Monthly!$B$3,12,1))</f>
        <v>0</v>
      </c>
      <c r="F17" s="14" t="n">
        <f aca="false">SUM(C17:E17)</f>
        <v>0</v>
      </c>
    </row>
    <row r="18" customFormat="false" ht="15" hidden="false" customHeight="false" outlineLevel="0" collapsed="false">
      <c r="A18" s="20" t="s">
        <v>80</v>
      </c>
      <c r="B18" s="21" t="s">
        <v>77</v>
      </c>
      <c r="C18" s="14" t="n">
        <f aca="false">SUMIFS(Transactions!$C$5:$C$3004,Transactions!$J$5:$J$3004,$A18,Transactions!$I$5:$I$3004,"BBG",Transactions!$K$5:$K$3004,"&gt;="&amp;DATE(Monthly!$B$3,1,1),Transactions!$K$5:$K$3004,"&lt;="&amp;DATE(Monthly!$B$3,12,1))</f>
        <v>0</v>
      </c>
      <c r="D18" s="14" t="n">
        <f aca="false">SUMIFS(Transactions!$C$5:$C$3004,Transactions!$J$5:$J$3004,$A18,Transactions!$I$5:$I$3004,"CCCL",Transactions!$K$5:$K$3004,"&gt;="&amp;DATE(Monthly!$B$3,1,1),Transactions!$K$5:$K$3004,"&lt;="&amp;DATE(Monthly!$B$3,12,1))</f>
        <v>0</v>
      </c>
      <c r="E18" s="14" t="n">
        <f aca="false">SUMIFS(Transactions!$C$5:$C$3004,Transactions!$J$5:$J$3004,$A18,Transactions!$I$5:$I$3004,"Shared",Transactions!$K$5:$K$3004,"&gt;="&amp;DATE(Monthly!$B$3,1,1),Transactions!$K$5:$K$3004,"&lt;="&amp;DATE(Monthly!$B$3,12,1))</f>
        <v>0</v>
      </c>
      <c r="F18" s="14" t="n">
        <f aca="false">SUM(C18:E18)</f>
        <v>0</v>
      </c>
    </row>
    <row r="19" customFormat="false" ht="15" hidden="false" customHeight="false" outlineLevel="0" collapsed="false">
      <c r="A19" s="20" t="s">
        <v>81</v>
      </c>
      <c r="B19" s="21" t="s">
        <v>77</v>
      </c>
      <c r="C19" s="14" t="n">
        <f aca="false">SUMIFS(Transactions!$C$5:$C$3004,Transactions!$J$5:$J$3004,$A19,Transactions!$I$5:$I$3004,"BBG",Transactions!$K$5:$K$3004,"&gt;="&amp;DATE(Monthly!$B$3,1,1),Transactions!$K$5:$K$3004,"&lt;="&amp;DATE(Monthly!$B$3,12,1))</f>
        <v>0</v>
      </c>
      <c r="D19" s="14" t="n">
        <f aca="false">SUMIFS(Transactions!$C$5:$C$3004,Transactions!$J$5:$J$3004,$A19,Transactions!$I$5:$I$3004,"CCCL",Transactions!$K$5:$K$3004,"&gt;="&amp;DATE(Monthly!$B$3,1,1),Transactions!$K$5:$K$3004,"&lt;="&amp;DATE(Monthly!$B$3,12,1))</f>
        <v>0</v>
      </c>
      <c r="E19" s="14" t="n">
        <f aca="false">SUMIFS(Transactions!$C$5:$C$3004,Transactions!$J$5:$J$3004,$A19,Transactions!$I$5:$I$3004,"Shared",Transactions!$K$5:$K$3004,"&gt;="&amp;DATE(Monthly!$B$3,1,1),Transactions!$K$5:$K$3004,"&lt;="&amp;DATE(Monthly!$B$3,12,1))</f>
        <v>0</v>
      </c>
      <c r="F19" s="14" t="n">
        <f aca="false">SUM(C19:E19)</f>
        <v>0</v>
      </c>
    </row>
    <row r="20" customFormat="false" ht="15" hidden="false" customHeight="false" outlineLevel="0" collapsed="false">
      <c r="A20" s="20" t="s">
        <v>82</v>
      </c>
      <c r="B20" s="21" t="s">
        <v>77</v>
      </c>
      <c r="C20" s="14" t="n">
        <f aca="false">SUMIFS(Transactions!$C$5:$C$3004,Transactions!$J$5:$J$3004,$A20,Transactions!$I$5:$I$3004,"BBG",Transactions!$K$5:$K$3004,"&gt;="&amp;DATE(Monthly!$B$3,1,1),Transactions!$K$5:$K$3004,"&lt;="&amp;DATE(Monthly!$B$3,12,1))</f>
        <v>0</v>
      </c>
      <c r="D20" s="14" t="n">
        <f aca="false">SUMIFS(Transactions!$C$5:$C$3004,Transactions!$J$5:$J$3004,$A20,Transactions!$I$5:$I$3004,"CCCL",Transactions!$K$5:$K$3004,"&gt;="&amp;DATE(Monthly!$B$3,1,1),Transactions!$K$5:$K$3004,"&lt;="&amp;DATE(Monthly!$B$3,12,1))</f>
        <v>0</v>
      </c>
      <c r="E20" s="14" t="n">
        <f aca="false">SUMIFS(Transactions!$C$5:$C$3004,Transactions!$J$5:$J$3004,$A20,Transactions!$I$5:$I$3004,"Shared",Transactions!$K$5:$K$3004,"&gt;="&amp;DATE(Monthly!$B$3,1,1),Transactions!$K$5:$K$3004,"&lt;="&amp;DATE(Monthly!$B$3,12,1))</f>
        <v>0</v>
      </c>
      <c r="F20" s="14" t="n">
        <f aca="false">SUM(C20:E20)</f>
        <v>0</v>
      </c>
    </row>
    <row r="21" customFormat="false" ht="15" hidden="false" customHeight="false" outlineLevel="0" collapsed="false">
      <c r="A21" s="20" t="s">
        <v>83</v>
      </c>
      <c r="B21" s="21" t="s">
        <v>77</v>
      </c>
      <c r="C21" s="14" t="n">
        <f aca="false">SUMIFS(Transactions!$C$5:$C$3004,Transactions!$J$5:$J$3004,$A21,Transactions!$I$5:$I$3004,"BBG",Transactions!$K$5:$K$3004,"&gt;="&amp;DATE(Monthly!$B$3,1,1),Transactions!$K$5:$K$3004,"&lt;="&amp;DATE(Monthly!$B$3,12,1))</f>
        <v>0</v>
      </c>
      <c r="D21" s="14" t="n">
        <f aca="false">SUMIFS(Transactions!$C$5:$C$3004,Transactions!$J$5:$J$3004,$A21,Transactions!$I$5:$I$3004,"CCCL",Transactions!$K$5:$K$3004,"&gt;="&amp;DATE(Monthly!$B$3,1,1),Transactions!$K$5:$K$3004,"&lt;="&amp;DATE(Monthly!$B$3,12,1))</f>
        <v>0</v>
      </c>
      <c r="E21" s="14" t="n">
        <f aca="false">SUMIFS(Transactions!$C$5:$C$3004,Transactions!$J$5:$J$3004,$A21,Transactions!$I$5:$I$3004,"Shared",Transactions!$K$5:$K$3004,"&gt;="&amp;DATE(Monthly!$B$3,1,1),Transactions!$K$5:$K$3004,"&lt;="&amp;DATE(Monthly!$B$3,12,1))</f>
        <v>0</v>
      </c>
      <c r="F21" s="14" t="n">
        <f aca="false">SUM(C21:E21)</f>
        <v>0</v>
      </c>
    </row>
    <row r="22" customFormat="false" ht="15" hidden="false" customHeight="false" outlineLevel="0" collapsed="false">
      <c r="A22" s="20" t="s">
        <v>84</v>
      </c>
      <c r="B22" s="21" t="s">
        <v>77</v>
      </c>
      <c r="C22" s="14" t="n">
        <f aca="false">SUMIFS(Transactions!$C$5:$C$3004,Transactions!$J$5:$J$3004,$A22,Transactions!$I$5:$I$3004,"BBG",Transactions!$K$5:$K$3004,"&gt;="&amp;DATE(Monthly!$B$3,1,1),Transactions!$K$5:$K$3004,"&lt;="&amp;DATE(Monthly!$B$3,12,1))</f>
        <v>0</v>
      </c>
      <c r="D22" s="14" t="n">
        <f aca="false">SUMIFS(Transactions!$C$5:$C$3004,Transactions!$J$5:$J$3004,$A22,Transactions!$I$5:$I$3004,"CCCL",Transactions!$K$5:$K$3004,"&gt;="&amp;DATE(Monthly!$B$3,1,1),Transactions!$K$5:$K$3004,"&lt;="&amp;DATE(Monthly!$B$3,12,1))</f>
        <v>0</v>
      </c>
      <c r="E22" s="14" t="n">
        <f aca="false">SUMIFS(Transactions!$C$5:$C$3004,Transactions!$J$5:$J$3004,$A22,Transactions!$I$5:$I$3004,"Shared",Transactions!$K$5:$K$3004,"&gt;="&amp;DATE(Monthly!$B$3,1,1),Transactions!$K$5:$K$3004,"&lt;="&amp;DATE(Monthly!$B$3,12,1))</f>
        <v>0</v>
      </c>
      <c r="F22" s="14" t="n">
        <f aca="false">SUM(C22:E22)</f>
        <v>0</v>
      </c>
    </row>
    <row r="23" customFormat="false" ht="15" hidden="false" customHeight="false" outlineLevel="0" collapsed="false">
      <c r="A23" s="20" t="s">
        <v>85</v>
      </c>
      <c r="B23" s="21" t="s">
        <v>77</v>
      </c>
      <c r="C23" s="14" t="n">
        <f aca="false">SUMIFS(Transactions!$C$5:$C$3004,Transactions!$J$5:$J$3004,$A23,Transactions!$I$5:$I$3004,"BBG",Transactions!$K$5:$K$3004,"&gt;="&amp;DATE(Monthly!$B$3,1,1),Transactions!$K$5:$K$3004,"&lt;="&amp;DATE(Monthly!$B$3,12,1))</f>
        <v>0</v>
      </c>
      <c r="D23" s="14" t="n">
        <f aca="false">SUMIFS(Transactions!$C$5:$C$3004,Transactions!$J$5:$J$3004,$A23,Transactions!$I$5:$I$3004,"CCCL",Transactions!$K$5:$K$3004,"&gt;="&amp;DATE(Monthly!$B$3,1,1),Transactions!$K$5:$K$3004,"&lt;="&amp;DATE(Monthly!$B$3,12,1))</f>
        <v>0</v>
      </c>
      <c r="E23" s="14" t="n">
        <f aca="false">SUMIFS(Transactions!$C$5:$C$3004,Transactions!$J$5:$J$3004,$A23,Transactions!$I$5:$I$3004,"Shared",Transactions!$K$5:$K$3004,"&gt;="&amp;DATE(Monthly!$B$3,1,1),Transactions!$K$5:$K$3004,"&lt;="&amp;DATE(Monthly!$B$3,12,1))</f>
        <v>0</v>
      </c>
      <c r="F23" s="14" t="n">
        <f aca="false">SUM(C23:E23)</f>
        <v>0</v>
      </c>
    </row>
    <row r="24" customFormat="false" ht="15" hidden="false" customHeight="false" outlineLevel="0" collapsed="false">
      <c r="A24" s="20" t="s">
        <v>86</v>
      </c>
      <c r="B24" s="21" t="s">
        <v>77</v>
      </c>
      <c r="C24" s="14" t="n">
        <f aca="false">SUMIFS(Transactions!$C$5:$C$3004,Transactions!$J$5:$J$3004,$A24,Transactions!$I$5:$I$3004,"BBG",Transactions!$K$5:$K$3004,"&gt;="&amp;DATE(Monthly!$B$3,1,1),Transactions!$K$5:$K$3004,"&lt;="&amp;DATE(Monthly!$B$3,12,1))</f>
        <v>0</v>
      </c>
      <c r="D24" s="14" t="n">
        <f aca="false">SUMIFS(Transactions!$C$5:$C$3004,Transactions!$J$5:$J$3004,$A24,Transactions!$I$5:$I$3004,"CCCL",Transactions!$K$5:$K$3004,"&gt;="&amp;DATE(Monthly!$B$3,1,1),Transactions!$K$5:$K$3004,"&lt;="&amp;DATE(Monthly!$B$3,12,1))</f>
        <v>0</v>
      </c>
      <c r="E24" s="14" t="n">
        <f aca="false">SUMIFS(Transactions!$C$5:$C$3004,Transactions!$J$5:$J$3004,$A24,Transactions!$I$5:$I$3004,"Shared",Transactions!$K$5:$K$3004,"&gt;="&amp;DATE(Monthly!$B$3,1,1),Transactions!$K$5:$K$3004,"&lt;="&amp;DATE(Monthly!$B$3,12,1))</f>
        <v>0</v>
      </c>
      <c r="F24" s="14" t="n">
        <f aca="false">SUM(C24:E24)</f>
        <v>0</v>
      </c>
    </row>
    <row r="25" customFormat="false" ht="15" hidden="false" customHeight="false" outlineLevel="0" collapsed="false">
      <c r="A25" s="20" t="s">
        <v>87</v>
      </c>
      <c r="B25" s="21" t="s">
        <v>77</v>
      </c>
      <c r="C25" s="14" t="n">
        <f aca="false">SUMIFS(Transactions!$C$5:$C$3004,Transactions!$J$5:$J$3004,$A25,Transactions!$I$5:$I$3004,"BBG",Transactions!$K$5:$K$3004,"&gt;="&amp;DATE(Monthly!$B$3,1,1),Transactions!$K$5:$K$3004,"&lt;="&amp;DATE(Monthly!$B$3,12,1))</f>
        <v>0</v>
      </c>
      <c r="D25" s="14" t="n">
        <f aca="false">SUMIFS(Transactions!$C$5:$C$3004,Transactions!$J$5:$J$3004,$A25,Transactions!$I$5:$I$3004,"CCCL",Transactions!$K$5:$K$3004,"&gt;="&amp;DATE(Monthly!$B$3,1,1),Transactions!$K$5:$K$3004,"&lt;="&amp;DATE(Monthly!$B$3,12,1))</f>
        <v>0</v>
      </c>
      <c r="E25" s="14" t="n">
        <f aca="false">SUMIFS(Transactions!$C$5:$C$3004,Transactions!$J$5:$J$3004,$A25,Transactions!$I$5:$I$3004,"Shared",Transactions!$K$5:$K$3004,"&gt;="&amp;DATE(Monthly!$B$3,1,1),Transactions!$K$5:$K$3004,"&lt;="&amp;DATE(Monthly!$B$3,12,1))</f>
        <v>0</v>
      </c>
      <c r="F25" s="14" t="n">
        <f aca="false">SUM(C25:E25)</f>
        <v>0</v>
      </c>
    </row>
    <row r="26" customFormat="false" ht="15" hidden="false" customHeight="false" outlineLevel="0" collapsed="false">
      <c r="A26" s="20" t="s">
        <v>88</v>
      </c>
      <c r="B26" s="21" t="s">
        <v>77</v>
      </c>
      <c r="C26" s="14" t="n">
        <f aca="false">SUMIFS(Transactions!$C$5:$C$3004,Transactions!$J$5:$J$3004,$A26,Transactions!$I$5:$I$3004,"BBG",Transactions!$K$5:$K$3004,"&gt;="&amp;DATE(Monthly!$B$3,1,1),Transactions!$K$5:$K$3004,"&lt;="&amp;DATE(Monthly!$B$3,12,1))</f>
        <v>0</v>
      </c>
      <c r="D26" s="14" t="n">
        <f aca="false">SUMIFS(Transactions!$C$5:$C$3004,Transactions!$J$5:$J$3004,$A26,Transactions!$I$5:$I$3004,"CCCL",Transactions!$K$5:$K$3004,"&gt;="&amp;DATE(Monthly!$B$3,1,1),Transactions!$K$5:$K$3004,"&lt;="&amp;DATE(Monthly!$B$3,12,1))</f>
        <v>0</v>
      </c>
      <c r="E26" s="14" t="n">
        <f aca="false">SUMIFS(Transactions!$C$5:$C$3004,Transactions!$J$5:$J$3004,$A26,Transactions!$I$5:$I$3004,"Shared",Transactions!$K$5:$K$3004,"&gt;="&amp;DATE(Monthly!$B$3,1,1),Transactions!$K$5:$K$3004,"&lt;="&amp;DATE(Monthly!$B$3,12,1))</f>
        <v>0</v>
      </c>
      <c r="F26" s="14" t="n">
        <f aca="false">SUM(C26:E26)</f>
        <v>0</v>
      </c>
    </row>
    <row r="27" customFormat="false" ht="15" hidden="false" customHeight="false" outlineLevel="0" collapsed="false">
      <c r="A27" s="20" t="s">
        <v>89</v>
      </c>
      <c r="B27" s="21" t="s">
        <v>77</v>
      </c>
      <c r="C27" s="14" t="n">
        <f aca="false">SUMIFS(Transactions!$C$5:$C$3004,Transactions!$J$5:$J$3004,$A27,Transactions!$I$5:$I$3004,"BBG",Transactions!$K$5:$K$3004,"&gt;="&amp;DATE(Monthly!$B$3,1,1),Transactions!$K$5:$K$3004,"&lt;="&amp;DATE(Monthly!$B$3,12,1))</f>
        <v>0</v>
      </c>
      <c r="D27" s="14" t="n">
        <f aca="false">SUMIFS(Transactions!$C$5:$C$3004,Transactions!$J$5:$J$3004,$A27,Transactions!$I$5:$I$3004,"CCCL",Transactions!$K$5:$K$3004,"&gt;="&amp;DATE(Monthly!$B$3,1,1),Transactions!$K$5:$K$3004,"&lt;="&amp;DATE(Monthly!$B$3,12,1))</f>
        <v>0</v>
      </c>
      <c r="E27" s="14" t="n">
        <f aca="false">SUMIFS(Transactions!$C$5:$C$3004,Transactions!$J$5:$J$3004,$A27,Transactions!$I$5:$I$3004,"Shared",Transactions!$K$5:$K$3004,"&gt;="&amp;DATE(Monthly!$B$3,1,1),Transactions!$K$5:$K$3004,"&lt;="&amp;DATE(Monthly!$B$3,12,1))</f>
        <v>0</v>
      </c>
      <c r="F27" s="14" t="n">
        <f aca="false">SUM(C27:E27)</f>
        <v>0</v>
      </c>
    </row>
    <row r="28" customFormat="false" ht="15" hidden="false" customHeight="false" outlineLevel="0" collapsed="false">
      <c r="A28" s="20" t="s">
        <v>90</v>
      </c>
      <c r="B28" s="21" t="s">
        <v>77</v>
      </c>
      <c r="C28" s="14" t="n">
        <f aca="false">SUMIFS(Transactions!$C$5:$C$3004,Transactions!$J$5:$J$3004,$A28,Transactions!$I$5:$I$3004,"BBG",Transactions!$K$5:$K$3004,"&gt;="&amp;DATE(Monthly!$B$3,1,1),Transactions!$K$5:$K$3004,"&lt;="&amp;DATE(Monthly!$B$3,12,1))</f>
        <v>0</v>
      </c>
      <c r="D28" s="14" t="n">
        <f aca="false">SUMIFS(Transactions!$C$5:$C$3004,Transactions!$J$5:$J$3004,$A28,Transactions!$I$5:$I$3004,"CCCL",Transactions!$K$5:$K$3004,"&gt;="&amp;DATE(Monthly!$B$3,1,1),Transactions!$K$5:$K$3004,"&lt;="&amp;DATE(Monthly!$B$3,12,1))</f>
        <v>0</v>
      </c>
      <c r="E28" s="14" t="n">
        <f aca="false">SUMIFS(Transactions!$C$5:$C$3004,Transactions!$J$5:$J$3004,$A28,Transactions!$I$5:$I$3004,"Shared",Transactions!$K$5:$K$3004,"&gt;="&amp;DATE(Monthly!$B$3,1,1),Transactions!$K$5:$K$3004,"&lt;="&amp;DATE(Monthly!$B$3,12,1))</f>
        <v>0</v>
      </c>
      <c r="F28" s="14" t="n">
        <f aca="false">SUM(C28:E28)</f>
        <v>0</v>
      </c>
    </row>
    <row r="29" customFormat="false" ht="15" hidden="false" customHeight="false" outlineLevel="0" collapsed="false">
      <c r="A29" s="20" t="s">
        <v>91</v>
      </c>
      <c r="B29" s="21" t="s">
        <v>77</v>
      </c>
      <c r="C29" s="14" t="n">
        <f aca="false">SUMIFS(Transactions!$C$5:$C$3004,Transactions!$J$5:$J$3004,$A29,Transactions!$I$5:$I$3004,"BBG",Transactions!$K$5:$K$3004,"&gt;="&amp;DATE(Monthly!$B$3,1,1),Transactions!$K$5:$K$3004,"&lt;="&amp;DATE(Monthly!$B$3,12,1))</f>
        <v>0</v>
      </c>
      <c r="D29" s="14" t="n">
        <f aca="false">SUMIFS(Transactions!$C$5:$C$3004,Transactions!$J$5:$J$3004,$A29,Transactions!$I$5:$I$3004,"CCCL",Transactions!$K$5:$K$3004,"&gt;="&amp;DATE(Monthly!$B$3,1,1),Transactions!$K$5:$K$3004,"&lt;="&amp;DATE(Monthly!$B$3,12,1))</f>
        <v>0</v>
      </c>
      <c r="E29" s="14" t="n">
        <f aca="false">SUMIFS(Transactions!$C$5:$C$3004,Transactions!$J$5:$J$3004,$A29,Transactions!$I$5:$I$3004,"Shared",Transactions!$K$5:$K$3004,"&gt;="&amp;DATE(Monthly!$B$3,1,1),Transactions!$K$5:$K$3004,"&lt;="&amp;DATE(Monthly!$B$3,12,1))</f>
        <v>0</v>
      </c>
      <c r="F29" s="14" t="n">
        <f aca="false">SUM(C29:E29)</f>
        <v>0</v>
      </c>
    </row>
    <row r="30" customFormat="false" ht="15" hidden="false" customHeight="false" outlineLevel="0" collapsed="false">
      <c r="A30" s="20" t="s">
        <v>92</v>
      </c>
      <c r="B30" s="21" t="s">
        <v>77</v>
      </c>
      <c r="C30" s="14" t="n">
        <f aca="false">SUMIFS(Transactions!$C$5:$C$3004,Transactions!$J$5:$J$3004,$A30,Transactions!$I$5:$I$3004,"BBG",Transactions!$K$5:$K$3004,"&gt;="&amp;DATE(Monthly!$B$3,1,1),Transactions!$K$5:$K$3004,"&lt;="&amp;DATE(Monthly!$B$3,12,1))</f>
        <v>0</v>
      </c>
      <c r="D30" s="14" t="n">
        <f aca="false">SUMIFS(Transactions!$C$5:$C$3004,Transactions!$J$5:$J$3004,$A30,Transactions!$I$5:$I$3004,"CCCL",Transactions!$K$5:$K$3004,"&gt;="&amp;DATE(Monthly!$B$3,1,1),Transactions!$K$5:$K$3004,"&lt;="&amp;DATE(Monthly!$B$3,12,1))</f>
        <v>0</v>
      </c>
      <c r="E30" s="14" t="n">
        <f aca="false">SUMIFS(Transactions!$C$5:$C$3004,Transactions!$J$5:$J$3004,$A30,Transactions!$I$5:$I$3004,"Shared",Transactions!$K$5:$K$3004,"&gt;="&amp;DATE(Monthly!$B$3,1,1),Transactions!$K$5:$K$3004,"&lt;="&amp;DATE(Monthly!$B$3,12,1))</f>
        <v>0</v>
      </c>
      <c r="F30" s="14" t="n">
        <f aca="false">SUM(C30:E30)</f>
        <v>0</v>
      </c>
    </row>
    <row r="31" customFormat="false" ht="15" hidden="false" customHeight="false" outlineLevel="0" collapsed="false">
      <c r="A31" s="16" t="s">
        <v>93</v>
      </c>
      <c r="B31" s="22"/>
      <c r="C31" s="17" t="n">
        <f aca="false">SUMIFS(C5:C30,$B$5:$B$30,"Income")</f>
        <v>0</v>
      </c>
      <c r="D31" s="17" t="n">
        <f aca="false">SUMIFS(D5:D30,$B$5:$B$30,"Income")</f>
        <v>0</v>
      </c>
      <c r="E31" s="17" t="n">
        <f aca="false">SUMIFS(E5:E30,$B$5:$B$30,"Income")</f>
        <v>0</v>
      </c>
      <c r="F31" s="17" t="n">
        <f aca="false">SUMIFS(F5:F30,$B$5:$B$30,"Income")</f>
        <v>0</v>
      </c>
    </row>
    <row r="32" customFormat="false" ht="15" hidden="false" customHeight="false" outlineLevel="0" collapsed="false">
      <c r="A32" s="16" t="s">
        <v>94</v>
      </c>
      <c r="B32" s="22"/>
      <c r="C32" s="17" t="n">
        <f aca="false">SUMIFS(C5:C30,$B$5:$B$30,"Expense")</f>
        <v>0</v>
      </c>
      <c r="D32" s="17" t="n">
        <f aca="false">SUMIFS(D5:D30,$B$5:$B$30,"Expense")</f>
        <v>0</v>
      </c>
      <c r="E32" s="17" t="n">
        <f aca="false">SUMIFS(E5:E30,$B$5:$B$30,"Expense")</f>
        <v>0</v>
      </c>
      <c r="F32" s="17" t="n">
        <f aca="false">SUMIFS(F5:F30,$B$5:$B$30,"Expense")</f>
        <v>0</v>
      </c>
    </row>
    <row r="34" customFormat="false" ht="15" hidden="false" customHeight="false" outlineLevel="0" collapsed="false">
      <c r="A34" s="11" t="s">
        <v>95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30"/>
    <col collapsed="false" customWidth="true" hidden="true" outlineLevel="0" max="14" min="14" style="0" width="6"/>
  </cols>
  <sheetData>
    <row r="1" customFormat="false" ht="30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12" t="s">
        <v>98</v>
      </c>
      <c r="B4" s="12" t="s">
        <v>99</v>
      </c>
      <c r="C4" s="12" t="s">
        <v>100</v>
      </c>
      <c r="D4" s="12" t="s">
        <v>101</v>
      </c>
      <c r="E4" s="12" t="s">
        <v>102</v>
      </c>
      <c r="F4" s="12" t="s">
        <v>103</v>
      </c>
      <c r="G4" s="12" t="s">
        <v>104</v>
      </c>
      <c r="H4" s="12" t="s">
        <v>105</v>
      </c>
      <c r="I4" s="12" t="s">
        <v>106</v>
      </c>
      <c r="J4" s="12" t="s">
        <v>62</v>
      </c>
      <c r="K4" s="12" t="s">
        <v>46</v>
      </c>
      <c r="L4" s="12" t="s">
        <v>63</v>
      </c>
      <c r="M4" s="12" t="s">
        <v>107</v>
      </c>
      <c r="N4" s="12" t="s">
        <v>108</v>
      </c>
    </row>
    <row r="5" customFormat="false" ht="15" hidden="false" customHeight="false" outlineLevel="0" collapsed="false">
      <c r="A5" s="23"/>
      <c r="B5" s="24"/>
      <c r="C5" s="25"/>
      <c r="D5" s="24"/>
      <c r="E5" s="21" t="str">
        <f aca="false">IF(OR(B5="",N(N5)=0,N5=1000),IF(B5="","","Check"),INDEX(Rules!$B:$B,N5))</f>
        <v/>
      </c>
      <c r="F5" s="21" t="str">
        <f aca="false">IF(OR(B5="",N(N5)=0,N5=1000),"",INDEX(Rules!$C:$C,N5))</f>
        <v/>
      </c>
      <c r="G5" s="24"/>
      <c r="H5" s="24"/>
      <c r="I5" s="20" t="str">
        <f aca="false">IF(B5="","",IF(G5&lt;&gt;"",G5,E5))</f>
        <v/>
      </c>
      <c r="J5" s="21" t="str">
        <f aca="false">IF(B5="","",IF(H5&lt;&gt;"",H5,F5))</f>
        <v/>
      </c>
      <c r="K5" s="26" t="str">
        <f aca="false">IF(A5="","",DATE(YEAR(A5),MONTH(A5),1))</f>
        <v/>
      </c>
      <c r="L5" s="21" t="str">
        <f aca="false">IF(J5="",IF(B5="","",IF(N(C5)&gt;=0,"Income","Expense")),IFERROR(INDEX(Lists!$B$2:$B$30,MATCH(J5,Lists!$A$2:$A$30,0)),""))</f>
        <v/>
      </c>
      <c r="M5" s="24"/>
      <c r="N5" s="27" t="str">
        <f aca="false">IF(B5="","",IFERROR(1000-SUMPRODUCT(MAX(ISNUMBER(SEARCH(Rules!$A$5:$A$204,B5))*(Rules!$A$5:$A$204&lt;&gt;"")*(1000-ROW(Rules!$A$5:$A$204)))),""))</f>
        <v/>
      </c>
    </row>
    <row r="6" customFormat="false" ht="15" hidden="false" customHeight="false" outlineLevel="0" collapsed="false">
      <c r="A6" s="23"/>
      <c r="B6" s="24"/>
      <c r="C6" s="25"/>
      <c r="D6" s="24"/>
      <c r="E6" s="21" t="str">
        <f aca="false">IF(OR(B6="",N(N6)=0,N6=1000),IF(B6="","","Check"),INDEX(Rules!$B:$B,N6))</f>
        <v/>
      </c>
      <c r="F6" s="21" t="str">
        <f aca="false">IF(OR(B6="",N(N6)=0,N6=1000),"",INDEX(Rules!$C:$C,N6))</f>
        <v/>
      </c>
      <c r="G6" s="24"/>
      <c r="H6" s="24"/>
      <c r="I6" s="20" t="str">
        <f aca="false">IF(B6="","",IF(G6&lt;&gt;"",G6,E6))</f>
        <v/>
      </c>
      <c r="J6" s="21" t="str">
        <f aca="false">IF(B6="","",IF(H6&lt;&gt;"",H6,F6))</f>
        <v/>
      </c>
      <c r="K6" s="26" t="str">
        <f aca="false">IF(A6="","",DATE(YEAR(A6),MONTH(A6),1))</f>
        <v/>
      </c>
      <c r="L6" s="21" t="str">
        <f aca="false">IF(J6="",IF(B6="","",IF(N(C6)&gt;=0,"Income","Expense")),IFERROR(INDEX(Lists!$B$2:$B$30,MATCH(J6,Lists!$A$2:$A$30,0)),""))</f>
        <v/>
      </c>
      <c r="M6" s="24"/>
      <c r="N6" s="27" t="str">
        <f aca="false">IF(B6="","",IFERROR(1000-SUMPRODUCT(MAX(ISNUMBER(SEARCH(Rules!$A$5:$A$204,B6))*(Rules!$A$5:$A$204&lt;&gt;"")*(1000-ROW(Rules!$A$5:$A$204)))),""))</f>
        <v/>
      </c>
    </row>
    <row r="7" customFormat="false" ht="15" hidden="false" customHeight="false" outlineLevel="0" collapsed="false">
      <c r="A7" s="23"/>
      <c r="B7" s="24"/>
      <c r="C7" s="25"/>
      <c r="D7" s="24"/>
      <c r="E7" s="21" t="str">
        <f aca="false">IF(OR(B7="",N(N7)=0,N7=1000),IF(B7="","","Check"),INDEX(Rules!$B:$B,N7))</f>
        <v/>
      </c>
      <c r="F7" s="21" t="str">
        <f aca="false">IF(OR(B7="",N(N7)=0,N7=1000),"",INDEX(Rules!$C:$C,N7))</f>
        <v/>
      </c>
      <c r="G7" s="24"/>
      <c r="H7" s="24"/>
      <c r="I7" s="20" t="str">
        <f aca="false">IF(B7="","",IF(G7&lt;&gt;"",G7,E7))</f>
        <v/>
      </c>
      <c r="J7" s="21" t="str">
        <f aca="false">IF(B7="","",IF(H7&lt;&gt;"",H7,F7))</f>
        <v/>
      </c>
      <c r="K7" s="26" t="str">
        <f aca="false">IF(A7="","",DATE(YEAR(A7),MONTH(A7),1))</f>
        <v/>
      </c>
      <c r="L7" s="21" t="str">
        <f aca="false">IF(J7="",IF(B7="","",IF(N(C7)&gt;=0,"Income","Expense")),IFERROR(INDEX(Lists!$B$2:$B$30,MATCH(J7,Lists!$A$2:$A$30,0)),""))</f>
        <v/>
      </c>
      <c r="M7" s="24"/>
      <c r="N7" s="27" t="str">
        <f aca="false">IF(B7="","",IFERROR(1000-SUMPRODUCT(MAX(ISNUMBER(SEARCH(Rules!$A$5:$A$204,B7))*(Rules!$A$5:$A$204&lt;&gt;"")*(1000-ROW(Rules!$A$5:$A$204)))),""))</f>
        <v/>
      </c>
    </row>
    <row r="8" customFormat="false" ht="15" hidden="false" customHeight="false" outlineLevel="0" collapsed="false">
      <c r="A8" s="23"/>
      <c r="B8" s="24"/>
      <c r="C8" s="25"/>
      <c r="D8" s="24"/>
      <c r="E8" s="21" t="str">
        <f aca="false">IF(OR(B8="",N(N8)=0,N8=1000),IF(B8="","","Check"),INDEX(Rules!$B:$B,N8))</f>
        <v/>
      </c>
      <c r="F8" s="21" t="str">
        <f aca="false">IF(OR(B8="",N(N8)=0,N8=1000),"",INDEX(Rules!$C:$C,N8))</f>
        <v/>
      </c>
      <c r="G8" s="24"/>
      <c r="H8" s="24"/>
      <c r="I8" s="20" t="str">
        <f aca="false">IF(B8="","",IF(G8&lt;&gt;"",G8,E8))</f>
        <v/>
      </c>
      <c r="J8" s="21" t="str">
        <f aca="false">IF(B8="","",IF(H8&lt;&gt;"",H8,F8))</f>
        <v/>
      </c>
      <c r="K8" s="26" t="str">
        <f aca="false">IF(A8="","",DATE(YEAR(A8),MONTH(A8),1))</f>
        <v/>
      </c>
      <c r="L8" s="21" t="str">
        <f aca="false">IF(J8="",IF(B8="","",IF(N(C8)&gt;=0,"Income","Expense")),IFERROR(INDEX(Lists!$B$2:$B$30,MATCH(J8,Lists!$A$2:$A$30,0)),""))</f>
        <v/>
      </c>
      <c r="M8" s="24"/>
      <c r="N8" s="27" t="str">
        <f aca="false">IF(B8="","",IFERROR(1000-SUMPRODUCT(MAX(ISNUMBER(SEARCH(Rules!$A$5:$A$204,B8))*(Rules!$A$5:$A$204&lt;&gt;"")*(1000-ROW(Rules!$A$5:$A$204)))),""))</f>
        <v/>
      </c>
    </row>
    <row r="9" customFormat="false" ht="15" hidden="false" customHeight="false" outlineLevel="0" collapsed="false">
      <c r="A9" s="23"/>
      <c r="B9" s="24"/>
      <c r="C9" s="25"/>
      <c r="D9" s="24"/>
      <c r="E9" s="21" t="str">
        <f aca="false">IF(OR(B9="",N(N9)=0,N9=1000),IF(B9="","","Check"),INDEX(Rules!$B:$B,N9))</f>
        <v/>
      </c>
      <c r="F9" s="21" t="str">
        <f aca="false">IF(OR(B9="",N(N9)=0,N9=1000),"",INDEX(Rules!$C:$C,N9))</f>
        <v/>
      </c>
      <c r="G9" s="24"/>
      <c r="H9" s="24"/>
      <c r="I9" s="20" t="str">
        <f aca="false">IF(B9="","",IF(G9&lt;&gt;"",G9,E9))</f>
        <v/>
      </c>
      <c r="J9" s="21" t="str">
        <f aca="false">IF(B9="","",IF(H9&lt;&gt;"",H9,F9))</f>
        <v/>
      </c>
      <c r="K9" s="26" t="str">
        <f aca="false">IF(A9="","",DATE(YEAR(A9),MONTH(A9),1))</f>
        <v/>
      </c>
      <c r="L9" s="21" t="str">
        <f aca="false">IF(J9="",IF(B9="","",IF(N(C9)&gt;=0,"Income","Expense")),IFERROR(INDEX(Lists!$B$2:$B$30,MATCH(J9,Lists!$A$2:$A$30,0)),""))</f>
        <v/>
      </c>
      <c r="M9" s="24"/>
      <c r="N9" s="27" t="str">
        <f aca="false">IF(B9="","",IFERROR(1000-SUMPRODUCT(MAX(ISNUMBER(SEARCH(Rules!$A$5:$A$204,B9))*(Rules!$A$5:$A$204&lt;&gt;"")*(1000-ROW(Rules!$A$5:$A$204)))),""))</f>
        <v/>
      </c>
    </row>
    <row r="10" customFormat="false" ht="15" hidden="false" customHeight="false" outlineLevel="0" collapsed="false">
      <c r="A10" s="23"/>
      <c r="B10" s="24"/>
      <c r="C10" s="25"/>
      <c r="D10" s="24"/>
      <c r="E10" s="21" t="str">
        <f aca="false">IF(OR(B10="",N(N10)=0,N10=1000),IF(B10="","","Check"),INDEX(Rules!$B:$B,N10))</f>
        <v/>
      </c>
      <c r="F10" s="21" t="str">
        <f aca="false">IF(OR(B10="",N(N10)=0,N10=1000),"",INDEX(Rules!$C:$C,N10))</f>
        <v/>
      </c>
      <c r="G10" s="24"/>
      <c r="H10" s="24"/>
      <c r="I10" s="20" t="str">
        <f aca="false">IF(B10="","",IF(G10&lt;&gt;"",G10,E10))</f>
        <v/>
      </c>
      <c r="J10" s="21" t="str">
        <f aca="false">IF(B10="","",IF(H10&lt;&gt;"",H10,F10))</f>
        <v/>
      </c>
      <c r="K10" s="26" t="str">
        <f aca="false">IF(A10="","",DATE(YEAR(A10),MONTH(A10),1))</f>
        <v/>
      </c>
      <c r="L10" s="21" t="str">
        <f aca="false">IF(J10="",IF(B10="","",IF(N(C10)&gt;=0,"Income","Expense")),IFERROR(INDEX(Lists!$B$2:$B$30,MATCH(J10,Lists!$A$2:$A$30,0)),""))</f>
        <v/>
      </c>
      <c r="M10" s="24"/>
      <c r="N10" s="27" t="str">
        <f aca="false">IF(B10="","",IFERROR(1000-SUMPRODUCT(MAX(ISNUMBER(SEARCH(Rules!$A$5:$A$204,B10))*(Rules!$A$5:$A$204&lt;&gt;"")*(1000-ROW(Rules!$A$5:$A$204)))),""))</f>
        <v/>
      </c>
    </row>
    <row r="11" customFormat="false" ht="15" hidden="false" customHeight="false" outlineLevel="0" collapsed="false">
      <c r="A11" s="23"/>
      <c r="B11" s="24"/>
      <c r="C11" s="25"/>
      <c r="D11" s="24"/>
      <c r="E11" s="21" t="str">
        <f aca="false">IF(OR(B11="",N(N11)=0,N11=1000),IF(B11="","","Check"),INDEX(Rules!$B:$B,N11))</f>
        <v/>
      </c>
      <c r="F11" s="21" t="str">
        <f aca="false">IF(OR(B11="",N(N11)=0,N11=1000),"",INDEX(Rules!$C:$C,N11))</f>
        <v/>
      </c>
      <c r="G11" s="24"/>
      <c r="H11" s="24"/>
      <c r="I11" s="20" t="str">
        <f aca="false">IF(B11="","",IF(G11&lt;&gt;"",G11,E11))</f>
        <v/>
      </c>
      <c r="J11" s="21" t="str">
        <f aca="false">IF(B11="","",IF(H11&lt;&gt;"",H11,F11))</f>
        <v/>
      </c>
      <c r="K11" s="26" t="str">
        <f aca="false">IF(A11="","",DATE(YEAR(A11),MONTH(A11),1))</f>
        <v/>
      </c>
      <c r="L11" s="21" t="str">
        <f aca="false">IF(J11="",IF(B11="","",IF(N(C11)&gt;=0,"Income","Expense")),IFERROR(INDEX(Lists!$B$2:$B$30,MATCH(J11,Lists!$A$2:$A$30,0)),""))</f>
        <v/>
      </c>
      <c r="M11" s="24"/>
      <c r="N11" s="27" t="str">
        <f aca="false">IF(B11="","",IFERROR(1000-SUMPRODUCT(MAX(ISNUMBER(SEARCH(Rules!$A$5:$A$204,B11))*(Rules!$A$5:$A$204&lt;&gt;"")*(1000-ROW(Rules!$A$5:$A$204)))),""))</f>
        <v/>
      </c>
    </row>
    <row r="12" customFormat="false" ht="15" hidden="false" customHeight="false" outlineLevel="0" collapsed="false">
      <c r="A12" s="23"/>
      <c r="B12" s="24"/>
      <c r="C12" s="25"/>
      <c r="D12" s="24"/>
      <c r="E12" s="21" t="str">
        <f aca="false">IF(OR(B12="",N(N12)=0,N12=1000),IF(B12="","","Check"),INDEX(Rules!$B:$B,N12))</f>
        <v/>
      </c>
      <c r="F12" s="21" t="str">
        <f aca="false">IF(OR(B12="",N(N12)=0,N12=1000),"",INDEX(Rules!$C:$C,N12))</f>
        <v/>
      </c>
      <c r="G12" s="24"/>
      <c r="H12" s="24"/>
      <c r="I12" s="20" t="str">
        <f aca="false">IF(B12="","",IF(G12&lt;&gt;"",G12,E12))</f>
        <v/>
      </c>
      <c r="J12" s="21" t="str">
        <f aca="false">IF(B12="","",IF(H12&lt;&gt;"",H12,F12))</f>
        <v/>
      </c>
      <c r="K12" s="26" t="str">
        <f aca="false">IF(A12="","",DATE(YEAR(A12),MONTH(A12),1))</f>
        <v/>
      </c>
      <c r="L12" s="21" t="str">
        <f aca="false">IF(J12="",IF(B12="","",IF(N(C12)&gt;=0,"Income","Expense")),IFERROR(INDEX(Lists!$B$2:$B$30,MATCH(J12,Lists!$A$2:$A$30,0)),""))</f>
        <v/>
      </c>
      <c r="M12" s="24"/>
      <c r="N12" s="27" t="str">
        <f aca="false">IF(B12="","",IFERROR(1000-SUMPRODUCT(MAX(ISNUMBER(SEARCH(Rules!$A$5:$A$204,B12))*(Rules!$A$5:$A$204&lt;&gt;"")*(1000-ROW(Rules!$A$5:$A$204)))),""))</f>
        <v/>
      </c>
    </row>
    <row r="13" customFormat="false" ht="15" hidden="false" customHeight="false" outlineLevel="0" collapsed="false">
      <c r="A13" s="23"/>
      <c r="B13" s="24"/>
      <c r="C13" s="25"/>
      <c r="D13" s="24"/>
      <c r="E13" s="21" t="str">
        <f aca="false">IF(OR(B13="",N(N13)=0,N13=1000),IF(B13="","","Check"),INDEX(Rules!$B:$B,N13))</f>
        <v/>
      </c>
      <c r="F13" s="21" t="str">
        <f aca="false">IF(OR(B13="",N(N13)=0,N13=1000),"",INDEX(Rules!$C:$C,N13))</f>
        <v/>
      </c>
      <c r="G13" s="24"/>
      <c r="H13" s="24"/>
      <c r="I13" s="20" t="str">
        <f aca="false">IF(B13="","",IF(G13&lt;&gt;"",G13,E13))</f>
        <v/>
      </c>
      <c r="J13" s="21" t="str">
        <f aca="false">IF(B13="","",IF(H13&lt;&gt;"",H13,F13))</f>
        <v/>
      </c>
      <c r="K13" s="26" t="str">
        <f aca="false">IF(A13="","",DATE(YEAR(A13),MONTH(A13),1))</f>
        <v/>
      </c>
      <c r="L13" s="21" t="str">
        <f aca="false">IF(J13="",IF(B13="","",IF(N(C13)&gt;=0,"Income","Expense")),IFERROR(INDEX(Lists!$B$2:$B$30,MATCH(J13,Lists!$A$2:$A$30,0)),""))</f>
        <v/>
      </c>
      <c r="M13" s="24"/>
      <c r="N13" s="27" t="str">
        <f aca="false">IF(B13="","",IFERROR(1000-SUMPRODUCT(MAX(ISNUMBER(SEARCH(Rules!$A$5:$A$204,B13))*(Rules!$A$5:$A$204&lt;&gt;"")*(1000-ROW(Rules!$A$5:$A$204)))),""))</f>
        <v/>
      </c>
    </row>
    <row r="14" customFormat="false" ht="15" hidden="false" customHeight="false" outlineLevel="0" collapsed="false">
      <c r="A14" s="23"/>
      <c r="B14" s="24"/>
      <c r="C14" s="25"/>
      <c r="D14" s="24"/>
      <c r="E14" s="21" t="str">
        <f aca="false">IF(OR(B14="",N(N14)=0,N14=1000),IF(B14="","","Check"),INDEX(Rules!$B:$B,N14))</f>
        <v/>
      </c>
      <c r="F14" s="21" t="str">
        <f aca="false">IF(OR(B14="",N(N14)=0,N14=1000),"",INDEX(Rules!$C:$C,N14))</f>
        <v/>
      </c>
      <c r="G14" s="24"/>
      <c r="H14" s="24"/>
      <c r="I14" s="20" t="str">
        <f aca="false">IF(B14="","",IF(G14&lt;&gt;"",G14,E14))</f>
        <v/>
      </c>
      <c r="J14" s="21" t="str">
        <f aca="false">IF(B14="","",IF(H14&lt;&gt;"",H14,F14))</f>
        <v/>
      </c>
      <c r="K14" s="26" t="str">
        <f aca="false">IF(A14="","",DATE(YEAR(A14),MONTH(A14),1))</f>
        <v/>
      </c>
      <c r="L14" s="21" t="str">
        <f aca="false">IF(J14="",IF(B14="","",IF(N(C14)&gt;=0,"Income","Expense")),IFERROR(INDEX(Lists!$B$2:$B$30,MATCH(J14,Lists!$A$2:$A$30,0)),""))</f>
        <v/>
      </c>
      <c r="M14" s="24"/>
      <c r="N14" s="27" t="str">
        <f aca="false">IF(B14="","",IFERROR(1000-SUMPRODUCT(MAX(ISNUMBER(SEARCH(Rules!$A$5:$A$204,B14))*(Rules!$A$5:$A$204&lt;&gt;"")*(1000-ROW(Rules!$A$5:$A$204)))),""))</f>
        <v/>
      </c>
    </row>
    <row r="15" customFormat="false" ht="15" hidden="false" customHeight="false" outlineLevel="0" collapsed="false">
      <c r="A15" s="23"/>
      <c r="B15" s="24"/>
      <c r="C15" s="25"/>
      <c r="D15" s="24"/>
      <c r="E15" s="21" t="str">
        <f aca="false">IF(OR(B15="",N(N15)=0,N15=1000),IF(B15="","","Check"),INDEX(Rules!$B:$B,N15))</f>
        <v/>
      </c>
      <c r="F15" s="21" t="str">
        <f aca="false">IF(OR(B15="",N(N15)=0,N15=1000),"",INDEX(Rules!$C:$C,N15))</f>
        <v/>
      </c>
      <c r="G15" s="24"/>
      <c r="H15" s="24"/>
      <c r="I15" s="20" t="str">
        <f aca="false">IF(B15="","",IF(G15&lt;&gt;"",G15,E15))</f>
        <v/>
      </c>
      <c r="J15" s="21" t="str">
        <f aca="false">IF(B15="","",IF(H15&lt;&gt;"",H15,F15))</f>
        <v/>
      </c>
      <c r="K15" s="26" t="str">
        <f aca="false">IF(A15="","",DATE(YEAR(A15),MONTH(A15),1))</f>
        <v/>
      </c>
      <c r="L15" s="21" t="str">
        <f aca="false">IF(J15="",IF(B15="","",IF(N(C15)&gt;=0,"Income","Expense")),IFERROR(INDEX(Lists!$B$2:$B$30,MATCH(J15,Lists!$A$2:$A$30,0)),""))</f>
        <v/>
      </c>
      <c r="M15" s="24"/>
      <c r="N15" s="27" t="str">
        <f aca="false">IF(B15="","",IFERROR(1000-SUMPRODUCT(MAX(ISNUMBER(SEARCH(Rules!$A$5:$A$204,B15))*(Rules!$A$5:$A$204&lt;&gt;"")*(1000-ROW(Rules!$A$5:$A$204)))),""))</f>
        <v/>
      </c>
    </row>
    <row r="16" customFormat="false" ht="15" hidden="false" customHeight="false" outlineLevel="0" collapsed="false">
      <c r="A16" s="23"/>
      <c r="B16" s="24"/>
      <c r="C16" s="25"/>
      <c r="D16" s="24"/>
      <c r="E16" s="21" t="str">
        <f aca="false">IF(OR(B16="",N(N16)=0,N16=1000),IF(B16="","","Check"),INDEX(Rules!$B:$B,N16))</f>
        <v/>
      </c>
      <c r="F16" s="21" t="str">
        <f aca="false">IF(OR(B16="",N(N16)=0,N16=1000),"",INDEX(Rules!$C:$C,N16))</f>
        <v/>
      </c>
      <c r="G16" s="24"/>
      <c r="H16" s="24"/>
      <c r="I16" s="20" t="str">
        <f aca="false">IF(B16="","",IF(G16&lt;&gt;"",G16,E16))</f>
        <v/>
      </c>
      <c r="J16" s="21" t="str">
        <f aca="false">IF(B16="","",IF(H16&lt;&gt;"",H16,F16))</f>
        <v/>
      </c>
      <c r="K16" s="26" t="str">
        <f aca="false">IF(A16="","",DATE(YEAR(A16),MONTH(A16),1))</f>
        <v/>
      </c>
      <c r="L16" s="21" t="str">
        <f aca="false">IF(J16="",IF(B16="","",IF(N(C16)&gt;=0,"Income","Expense")),IFERROR(INDEX(Lists!$B$2:$B$30,MATCH(J16,Lists!$A$2:$A$30,0)),""))</f>
        <v/>
      </c>
      <c r="M16" s="24"/>
      <c r="N16" s="27" t="str">
        <f aca="false">IF(B16="","",IFERROR(1000-SUMPRODUCT(MAX(ISNUMBER(SEARCH(Rules!$A$5:$A$204,B16))*(Rules!$A$5:$A$204&lt;&gt;"")*(1000-ROW(Rules!$A$5:$A$204)))),""))</f>
        <v/>
      </c>
    </row>
    <row r="17" customFormat="false" ht="15" hidden="false" customHeight="false" outlineLevel="0" collapsed="false">
      <c r="A17" s="23"/>
      <c r="B17" s="24"/>
      <c r="C17" s="25"/>
      <c r="D17" s="24"/>
      <c r="E17" s="21" t="str">
        <f aca="false">IF(OR(B17="",N(N17)=0,N17=1000),IF(B17="","","Check"),INDEX(Rules!$B:$B,N17))</f>
        <v/>
      </c>
      <c r="F17" s="21" t="str">
        <f aca="false">IF(OR(B17="",N(N17)=0,N17=1000),"",INDEX(Rules!$C:$C,N17))</f>
        <v/>
      </c>
      <c r="G17" s="24"/>
      <c r="H17" s="24"/>
      <c r="I17" s="20" t="str">
        <f aca="false">IF(B17="","",IF(G17&lt;&gt;"",G17,E17))</f>
        <v/>
      </c>
      <c r="J17" s="21" t="str">
        <f aca="false">IF(B17="","",IF(H17&lt;&gt;"",H17,F17))</f>
        <v/>
      </c>
      <c r="K17" s="26" t="str">
        <f aca="false">IF(A17="","",DATE(YEAR(A17),MONTH(A17),1))</f>
        <v/>
      </c>
      <c r="L17" s="21" t="str">
        <f aca="false">IF(J17="",IF(B17="","",IF(N(C17)&gt;=0,"Income","Expense")),IFERROR(INDEX(Lists!$B$2:$B$30,MATCH(J17,Lists!$A$2:$A$30,0)),""))</f>
        <v/>
      </c>
      <c r="M17" s="24"/>
      <c r="N17" s="27" t="str">
        <f aca="false">IF(B17="","",IFERROR(1000-SUMPRODUCT(MAX(ISNUMBER(SEARCH(Rules!$A$5:$A$204,B17))*(Rules!$A$5:$A$204&lt;&gt;"")*(1000-ROW(Rules!$A$5:$A$204)))),""))</f>
        <v/>
      </c>
    </row>
    <row r="18" customFormat="false" ht="15" hidden="false" customHeight="false" outlineLevel="0" collapsed="false">
      <c r="A18" s="23"/>
      <c r="B18" s="24"/>
      <c r="C18" s="25"/>
      <c r="D18" s="24"/>
      <c r="E18" s="21" t="str">
        <f aca="false">IF(OR(B18="",N(N18)=0,N18=1000),IF(B18="","","Check"),INDEX(Rules!$B:$B,N18))</f>
        <v/>
      </c>
      <c r="F18" s="21" t="str">
        <f aca="false">IF(OR(B18="",N(N18)=0,N18=1000),"",INDEX(Rules!$C:$C,N18))</f>
        <v/>
      </c>
      <c r="G18" s="24"/>
      <c r="H18" s="24"/>
      <c r="I18" s="20" t="str">
        <f aca="false">IF(B18="","",IF(G18&lt;&gt;"",G18,E18))</f>
        <v/>
      </c>
      <c r="J18" s="21" t="str">
        <f aca="false">IF(B18="","",IF(H18&lt;&gt;"",H18,F18))</f>
        <v/>
      </c>
      <c r="K18" s="26" t="str">
        <f aca="false">IF(A18="","",DATE(YEAR(A18),MONTH(A18),1))</f>
        <v/>
      </c>
      <c r="L18" s="21" t="str">
        <f aca="false">IF(J18="",IF(B18="","",IF(N(C18)&gt;=0,"Income","Expense")),IFERROR(INDEX(Lists!$B$2:$B$30,MATCH(J18,Lists!$A$2:$A$30,0)),""))</f>
        <v/>
      </c>
      <c r="M18" s="24"/>
      <c r="N18" s="27" t="str">
        <f aca="false">IF(B18="","",IFERROR(1000-SUMPRODUCT(MAX(ISNUMBER(SEARCH(Rules!$A$5:$A$204,B18))*(Rules!$A$5:$A$204&lt;&gt;"")*(1000-ROW(Rules!$A$5:$A$204)))),""))</f>
        <v/>
      </c>
    </row>
    <row r="19" customFormat="false" ht="15" hidden="false" customHeight="false" outlineLevel="0" collapsed="false">
      <c r="A19" s="23"/>
      <c r="B19" s="24"/>
      <c r="C19" s="25"/>
      <c r="D19" s="24"/>
      <c r="E19" s="21" t="str">
        <f aca="false">IF(OR(B19="",N(N19)=0,N19=1000),IF(B19="","","Check"),INDEX(Rules!$B:$B,N19))</f>
        <v/>
      </c>
      <c r="F19" s="21" t="str">
        <f aca="false">IF(OR(B19="",N(N19)=0,N19=1000),"",INDEX(Rules!$C:$C,N19))</f>
        <v/>
      </c>
      <c r="G19" s="24"/>
      <c r="H19" s="24"/>
      <c r="I19" s="20" t="str">
        <f aca="false">IF(B19="","",IF(G19&lt;&gt;"",G19,E19))</f>
        <v/>
      </c>
      <c r="J19" s="21" t="str">
        <f aca="false">IF(B19="","",IF(H19&lt;&gt;"",H19,F19))</f>
        <v/>
      </c>
      <c r="K19" s="26" t="str">
        <f aca="false">IF(A19="","",DATE(YEAR(A19),MONTH(A19),1))</f>
        <v/>
      </c>
      <c r="L19" s="21" t="str">
        <f aca="false">IF(J19="",IF(B19="","",IF(N(C19)&gt;=0,"Income","Expense")),IFERROR(INDEX(Lists!$B$2:$B$30,MATCH(J19,Lists!$A$2:$A$30,0)),""))</f>
        <v/>
      </c>
      <c r="M19" s="24"/>
      <c r="N19" s="27" t="str">
        <f aca="false">IF(B19="","",IFERROR(1000-SUMPRODUCT(MAX(ISNUMBER(SEARCH(Rules!$A$5:$A$204,B19))*(Rules!$A$5:$A$204&lt;&gt;"")*(1000-ROW(Rules!$A$5:$A$204)))),""))</f>
        <v/>
      </c>
    </row>
    <row r="20" customFormat="false" ht="15" hidden="false" customHeight="false" outlineLevel="0" collapsed="false">
      <c r="A20" s="23"/>
      <c r="B20" s="24"/>
      <c r="C20" s="25"/>
      <c r="D20" s="24"/>
      <c r="E20" s="21" t="str">
        <f aca="false">IF(OR(B20="",N(N20)=0,N20=1000),IF(B20="","","Check"),INDEX(Rules!$B:$B,N20))</f>
        <v/>
      </c>
      <c r="F20" s="21" t="str">
        <f aca="false">IF(OR(B20="",N(N20)=0,N20=1000),"",INDEX(Rules!$C:$C,N20))</f>
        <v/>
      </c>
      <c r="G20" s="24"/>
      <c r="H20" s="24"/>
      <c r="I20" s="20" t="str">
        <f aca="false">IF(B20="","",IF(G20&lt;&gt;"",G20,E20))</f>
        <v/>
      </c>
      <c r="J20" s="21" t="str">
        <f aca="false">IF(B20="","",IF(H20&lt;&gt;"",H20,F20))</f>
        <v/>
      </c>
      <c r="K20" s="26" t="str">
        <f aca="false">IF(A20="","",DATE(YEAR(A20),MONTH(A20),1))</f>
        <v/>
      </c>
      <c r="L20" s="21" t="str">
        <f aca="false">IF(J20="",IF(B20="","",IF(N(C20)&gt;=0,"Income","Expense")),IFERROR(INDEX(Lists!$B$2:$B$30,MATCH(J20,Lists!$A$2:$A$30,0)),""))</f>
        <v/>
      </c>
      <c r="M20" s="24"/>
      <c r="N20" s="27" t="str">
        <f aca="false">IF(B20="","",IFERROR(1000-SUMPRODUCT(MAX(ISNUMBER(SEARCH(Rules!$A$5:$A$204,B20))*(Rules!$A$5:$A$204&lt;&gt;"")*(1000-ROW(Rules!$A$5:$A$204)))),""))</f>
        <v/>
      </c>
    </row>
    <row r="21" customFormat="false" ht="15" hidden="false" customHeight="false" outlineLevel="0" collapsed="false">
      <c r="A21" s="23"/>
      <c r="B21" s="24"/>
      <c r="C21" s="25"/>
      <c r="D21" s="24"/>
      <c r="E21" s="21" t="str">
        <f aca="false">IF(OR(B21="",N(N21)=0,N21=1000),IF(B21="","","Check"),INDEX(Rules!$B:$B,N21))</f>
        <v/>
      </c>
      <c r="F21" s="21" t="str">
        <f aca="false">IF(OR(B21="",N(N21)=0,N21=1000),"",INDEX(Rules!$C:$C,N21))</f>
        <v/>
      </c>
      <c r="G21" s="24"/>
      <c r="H21" s="24"/>
      <c r="I21" s="20" t="str">
        <f aca="false">IF(B21="","",IF(G21&lt;&gt;"",G21,E21))</f>
        <v/>
      </c>
      <c r="J21" s="21" t="str">
        <f aca="false">IF(B21="","",IF(H21&lt;&gt;"",H21,F21))</f>
        <v/>
      </c>
      <c r="K21" s="26" t="str">
        <f aca="false">IF(A21="","",DATE(YEAR(A21),MONTH(A21),1))</f>
        <v/>
      </c>
      <c r="L21" s="21" t="str">
        <f aca="false">IF(J21="",IF(B21="","",IF(N(C21)&gt;=0,"Income","Expense")),IFERROR(INDEX(Lists!$B$2:$B$30,MATCH(J21,Lists!$A$2:$A$30,0)),""))</f>
        <v/>
      </c>
      <c r="M21" s="24"/>
      <c r="N21" s="27" t="str">
        <f aca="false">IF(B21="","",IFERROR(1000-SUMPRODUCT(MAX(ISNUMBER(SEARCH(Rules!$A$5:$A$204,B21))*(Rules!$A$5:$A$204&lt;&gt;"")*(1000-ROW(Rules!$A$5:$A$204)))),""))</f>
        <v/>
      </c>
    </row>
    <row r="22" customFormat="false" ht="15" hidden="false" customHeight="false" outlineLevel="0" collapsed="false">
      <c r="A22" s="23"/>
      <c r="B22" s="24"/>
      <c r="C22" s="25"/>
      <c r="D22" s="24"/>
      <c r="E22" s="21" t="str">
        <f aca="false">IF(OR(B22="",N(N22)=0,N22=1000),IF(B22="","","Check"),INDEX(Rules!$B:$B,N22))</f>
        <v/>
      </c>
      <c r="F22" s="21" t="str">
        <f aca="false">IF(OR(B22="",N(N22)=0,N22=1000),"",INDEX(Rules!$C:$C,N22))</f>
        <v/>
      </c>
      <c r="G22" s="24"/>
      <c r="H22" s="24"/>
      <c r="I22" s="20" t="str">
        <f aca="false">IF(B22="","",IF(G22&lt;&gt;"",G22,E22))</f>
        <v/>
      </c>
      <c r="J22" s="21" t="str">
        <f aca="false">IF(B22="","",IF(H22&lt;&gt;"",H22,F22))</f>
        <v/>
      </c>
      <c r="K22" s="26" t="str">
        <f aca="false">IF(A22="","",DATE(YEAR(A22),MONTH(A22),1))</f>
        <v/>
      </c>
      <c r="L22" s="21" t="str">
        <f aca="false">IF(J22="",IF(B22="","",IF(N(C22)&gt;=0,"Income","Expense")),IFERROR(INDEX(Lists!$B$2:$B$30,MATCH(J22,Lists!$A$2:$A$30,0)),""))</f>
        <v/>
      </c>
      <c r="M22" s="24"/>
      <c r="N22" s="27" t="str">
        <f aca="false">IF(B22="","",IFERROR(1000-SUMPRODUCT(MAX(ISNUMBER(SEARCH(Rules!$A$5:$A$204,B22))*(Rules!$A$5:$A$204&lt;&gt;"")*(1000-ROW(Rules!$A$5:$A$204)))),""))</f>
        <v/>
      </c>
    </row>
    <row r="23" customFormat="false" ht="15" hidden="false" customHeight="false" outlineLevel="0" collapsed="false">
      <c r="A23" s="23"/>
      <c r="B23" s="24"/>
      <c r="C23" s="25"/>
      <c r="D23" s="24"/>
      <c r="E23" s="21" t="str">
        <f aca="false">IF(OR(B23="",N(N23)=0,N23=1000),IF(B23="","","Check"),INDEX(Rules!$B:$B,N23))</f>
        <v/>
      </c>
      <c r="F23" s="21" t="str">
        <f aca="false">IF(OR(B23="",N(N23)=0,N23=1000),"",INDEX(Rules!$C:$C,N23))</f>
        <v/>
      </c>
      <c r="G23" s="24"/>
      <c r="H23" s="24"/>
      <c r="I23" s="20" t="str">
        <f aca="false">IF(B23="","",IF(G23&lt;&gt;"",G23,E23))</f>
        <v/>
      </c>
      <c r="J23" s="21" t="str">
        <f aca="false">IF(B23="","",IF(H23&lt;&gt;"",H23,F23))</f>
        <v/>
      </c>
      <c r="K23" s="26" t="str">
        <f aca="false">IF(A23="","",DATE(YEAR(A23),MONTH(A23),1))</f>
        <v/>
      </c>
      <c r="L23" s="21" t="str">
        <f aca="false">IF(J23="",IF(B23="","",IF(N(C23)&gt;=0,"Income","Expense")),IFERROR(INDEX(Lists!$B$2:$B$30,MATCH(J23,Lists!$A$2:$A$30,0)),""))</f>
        <v/>
      </c>
      <c r="M23" s="24"/>
      <c r="N23" s="27" t="str">
        <f aca="false">IF(B23="","",IFERROR(1000-SUMPRODUCT(MAX(ISNUMBER(SEARCH(Rules!$A$5:$A$204,B23))*(Rules!$A$5:$A$204&lt;&gt;"")*(1000-ROW(Rules!$A$5:$A$204)))),""))</f>
        <v/>
      </c>
    </row>
    <row r="24" customFormat="false" ht="15" hidden="false" customHeight="false" outlineLevel="0" collapsed="false">
      <c r="A24" s="23"/>
      <c r="B24" s="24"/>
      <c r="C24" s="25"/>
      <c r="D24" s="24"/>
      <c r="E24" s="21" t="str">
        <f aca="false">IF(OR(B24="",N(N24)=0,N24=1000),IF(B24="","","Check"),INDEX(Rules!$B:$B,N24))</f>
        <v/>
      </c>
      <c r="F24" s="21" t="str">
        <f aca="false">IF(OR(B24="",N(N24)=0,N24=1000),"",INDEX(Rules!$C:$C,N24))</f>
        <v/>
      </c>
      <c r="G24" s="24"/>
      <c r="H24" s="24"/>
      <c r="I24" s="20" t="str">
        <f aca="false">IF(B24="","",IF(G24&lt;&gt;"",G24,E24))</f>
        <v/>
      </c>
      <c r="J24" s="21" t="str">
        <f aca="false">IF(B24="","",IF(H24&lt;&gt;"",H24,F24))</f>
        <v/>
      </c>
      <c r="K24" s="26" t="str">
        <f aca="false">IF(A24="","",DATE(YEAR(A24),MONTH(A24),1))</f>
        <v/>
      </c>
      <c r="L24" s="21" t="str">
        <f aca="false">IF(J24="",IF(B24="","",IF(N(C24)&gt;=0,"Income","Expense")),IFERROR(INDEX(Lists!$B$2:$B$30,MATCH(J24,Lists!$A$2:$A$30,0)),""))</f>
        <v/>
      </c>
      <c r="M24" s="24"/>
      <c r="N24" s="27" t="str">
        <f aca="false">IF(B24="","",IFERROR(1000-SUMPRODUCT(MAX(ISNUMBER(SEARCH(Rules!$A$5:$A$204,B24))*(Rules!$A$5:$A$204&lt;&gt;"")*(1000-ROW(Rules!$A$5:$A$204)))),""))</f>
        <v/>
      </c>
    </row>
    <row r="25" customFormat="false" ht="15" hidden="false" customHeight="false" outlineLevel="0" collapsed="false">
      <c r="A25" s="23"/>
      <c r="B25" s="24"/>
      <c r="C25" s="25"/>
      <c r="D25" s="24"/>
      <c r="E25" s="21" t="str">
        <f aca="false">IF(OR(B25="",N(N25)=0,N25=1000),IF(B25="","","Check"),INDEX(Rules!$B:$B,N25))</f>
        <v/>
      </c>
      <c r="F25" s="21" t="str">
        <f aca="false">IF(OR(B25="",N(N25)=0,N25=1000),"",INDEX(Rules!$C:$C,N25))</f>
        <v/>
      </c>
      <c r="G25" s="24"/>
      <c r="H25" s="24"/>
      <c r="I25" s="20" t="str">
        <f aca="false">IF(B25="","",IF(G25&lt;&gt;"",G25,E25))</f>
        <v/>
      </c>
      <c r="J25" s="21" t="str">
        <f aca="false">IF(B25="","",IF(H25&lt;&gt;"",H25,F25))</f>
        <v/>
      </c>
      <c r="K25" s="26" t="str">
        <f aca="false">IF(A25="","",DATE(YEAR(A25),MONTH(A25),1))</f>
        <v/>
      </c>
      <c r="L25" s="21" t="str">
        <f aca="false">IF(J25="",IF(B25="","",IF(N(C25)&gt;=0,"Income","Expense")),IFERROR(INDEX(Lists!$B$2:$B$30,MATCH(J25,Lists!$A$2:$A$30,0)),""))</f>
        <v/>
      </c>
      <c r="M25" s="24"/>
      <c r="N25" s="27" t="str">
        <f aca="false">IF(B25="","",IFERROR(1000-SUMPRODUCT(MAX(ISNUMBER(SEARCH(Rules!$A$5:$A$204,B25))*(Rules!$A$5:$A$204&lt;&gt;"")*(1000-ROW(Rules!$A$5:$A$204)))),""))</f>
        <v/>
      </c>
    </row>
    <row r="26" customFormat="false" ht="15" hidden="false" customHeight="false" outlineLevel="0" collapsed="false">
      <c r="A26" s="23"/>
      <c r="B26" s="24"/>
      <c r="C26" s="25"/>
      <c r="D26" s="24"/>
      <c r="E26" s="21" t="str">
        <f aca="false">IF(OR(B26="",N(N26)=0,N26=1000),IF(B26="","","Check"),INDEX(Rules!$B:$B,N26))</f>
        <v/>
      </c>
      <c r="F26" s="21" t="str">
        <f aca="false">IF(OR(B26="",N(N26)=0,N26=1000),"",INDEX(Rules!$C:$C,N26))</f>
        <v/>
      </c>
      <c r="G26" s="24"/>
      <c r="H26" s="24"/>
      <c r="I26" s="20" t="str">
        <f aca="false">IF(B26="","",IF(G26&lt;&gt;"",G26,E26))</f>
        <v/>
      </c>
      <c r="J26" s="21" t="str">
        <f aca="false">IF(B26="","",IF(H26&lt;&gt;"",H26,F26))</f>
        <v/>
      </c>
      <c r="K26" s="26" t="str">
        <f aca="false">IF(A26="","",DATE(YEAR(A26),MONTH(A26),1))</f>
        <v/>
      </c>
      <c r="L26" s="21" t="str">
        <f aca="false">IF(J26="",IF(B26="","",IF(N(C26)&gt;=0,"Income","Expense")),IFERROR(INDEX(Lists!$B$2:$B$30,MATCH(J26,Lists!$A$2:$A$30,0)),""))</f>
        <v/>
      </c>
      <c r="M26" s="24"/>
      <c r="N26" s="27" t="str">
        <f aca="false">IF(B26="","",IFERROR(1000-SUMPRODUCT(MAX(ISNUMBER(SEARCH(Rules!$A$5:$A$204,B26))*(Rules!$A$5:$A$204&lt;&gt;"")*(1000-ROW(Rules!$A$5:$A$204)))),""))</f>
        <v/>
      </c>
    </row>
    <row r="27" customFormat="false" ht="15" hidden="false" customHeight="false" outlineLevel="0" collapsed="false">
      <c r="A27" s="23"/>
      <c r="B27" s="24"/>
      <c r="C27" s="25"/>
      <c r="D27" s="24"/>
      <c r="E27" s="21" t="str">
        <f aca="false">IF(OR(B27="",N(N27)=0,N27=1000),IF(B27="","","Check"),INDEX(Rules!$B:$B,N27))</f>
        <v/>
      </c>
      <c r="F27" s="21" t="str">
        <f aca="false">IF(OR(B27="",N(N27)=0,N27=1000),"",INDEX(Rules!$C:$C,N27))</f>
        <v/>
      </c>
      <c r="G27" s="24"/>
      <c r="H27" s="24"/>
      <c r="I27" s="20" t="str">
        <f aca="false">IF(B27="","",IF(G27&lt;&gt;"",G27,E27))</f>
        <v/>
      </c>
      <c r="J27" s="21" t="str">
        <f aca="false">IF(B27="","",IF(H27&lt;&gt;"",H27,F27))</f>
        <v/>
      </c>
      <c r="K27" s="26" t="str">
        <f aca="false">IF(A27="","",DATE(YEAR(A27),MONTH(A27),1))</f>
        <v/>
      </c>
      <c r="L27" s="21" t="str">
        <f aca="false">IF(J27="",IF(B27="","",IF(N(C27)&gt;=0,"Income","Expense")),IFERROR(INDEX(Lists!$B$2:$B$30,MATCH(J27,Lists!$A$2:$A$30,0)),""))</f>
        <v/>
      </c>
      <c r="M27" s="24"/>
      <c r="N27" s="27" t="str">
        <f aca="false">IF(B27="","",IFERROR(1000-SUMPRODUCT(MAX(ISNUMBER(SEARCH(Rules!$A$5:$A$204,B27))*(Rules!$A$5:$A$204&lt;&gt;"")*(1000-ROW(Rules!$A$5:$A$204)))),""))</f>
        <v/>
      </c>
    </row>
    <row r="28" customFormat="false" ht="15" hidden="false" customHeight="false" outlineLevel="0" collapsed="false">
      <c r="A28" s="23"/>
      <c r="B28" s="24"/>
      <c r="C28" s="25"/>
      <c r="D28" s="24"/>
      <c r="E28" s="21" t="str">
        <f aca="false">IF(OR(B28="",N(N28)=0,N28=1000),IF(B28="","","Check"),INDEX(Rules!$B:$B,N28))</f>
        <v/>
      </c>
      <c r="F28" s="21" t="str">
        <f aca="false">IF(OR(B28="",N(N28)=0,N28=1000),"",INDEX(Rules!$C:$C,N28))</f>
        <v/>
      </c>
      <c r="G28" s="24"/>
      <c r="H28" s="24"/>
      <c r="I28" s="20" t="str">
        <f aca="false">IF(B28="","",IF(G28&lt;&gt;"",G28,E28))</f>
        <v/>
      </c>
      <c r="J28" s="21" t="str">
        <f aca="false">IF(B28="","",IF(H28&lt;&gt;"",H28,F28))</f>
        <v/>
      </c>
      <c r="K28" s="26" t="str">
        <f aca="false">IF(A28="","",DATE(YEAR(A28),MONTH(A28),1))</f>
        <v/>
      </c>
      <c r="L28" s="21" t="str">
        <f aca="false">IF(J28="",IF(B28="","",IF(N(C28)&gt;=0,"Income","Expense")),IFERROR(INDEX(Lists!$B$2:$B$30,MATCH(J28,Lists!$A$2:$A$30,0)),""))</f>
        <v/>
      </c>
      <c r="M28" s="24"/>
      <c r="N28" s="27" t="str">
        <f aca="false">IF(B28="","",IFERROR(1000-SUMPRODUCT(MAX(ISNUMBER(SEARCH(Rules!$A$5:$A$204,B28))*(Rules!$A$5:$A$204&lt;&gt;"")*(1000-ROW(Rules!$A$5:$A$204)))),""))</f>
        <v/>
      </c>
    </row>
    <row r="29" customFormat="false" ht="15" hidden="false" customHeight="false" outlineLevel="0" collapsed="false">
      <c r="A29" s="23"/>
      <c r="B29" s="24"/>
      <c r="C29" s="25"/>
      <c r="D29" s="24"/>
      <c r="E29" s="21" t="str">
        <f aca="false">IF(OR(B29="",N(N29)=0,N29=1000),IF(B29="","","Check"),INDEX(Rules!$B:$B,N29))</f>
        <v/>
      </c>
      <c r="F29" s="21" t="str">
        <f aca="false">IF(OR(B29="",N(N29)=0,N29=1000),"",INDEX(Rules!$C:$C,N29))</f>
        <v/>
      </c>
      <c r="G29" s="24"/>
      <c r="H29" s="24"/>
      <c r="I29" s="20" t="str">
        <f aca="false">IF(B29="","",IF(G29&lt;&gt;"",G29,E29))</f>
        <v/>
      </c>
      <c r="J29" s="21" t="str">
        <f aca="false">IF(B29="","",IF(H29&lt;&gt;"",H29,F29))</f>
        <v/>
      </c>
      <c r="K29" s="26" t="str">
        <f aca="false">IF(A29="","",DATE(YEAR(A29),MONTH(A29),1))</f>
        <v/>
      </c>
      <c r="L29" s="21" t="str">
        <f aca="false">IF(J29="",IF(B29="","",IF(N(C29)&gt;=0,"Income","Expense")),IFERROR(INDEX(Lists!$B$2:$B$30,MATCH(J29,Lists!$A$2:$A$30,0)),""))</f>
        <v/>
      </c>
      <c r="M29" s="24"/>
      <c r="N29" s="27" t="str">
        <f aca="false">IF(B29="","",IFERROR(1000-SUMPRODUCT(MAX(ISNUMBER(SEARCH(Rules!$A$5:$A$204,B29))*(Rules!$A$5:$A$204&lt;&gt;"")*(1000-ROW(Rules!$A$5:$A$204)))),""))</f>
        <v/>
      </c>
    </row>
    <row r="30" customFormat="false" ht="15" hidden="false" customHeight="false" outlineLevel="0" collapsed="false">
      <c r="A30" s="23"/>
      <c r="B30" s="24"/>
      <c r="C30" s="25"/>
      <c r="D30" s="24"/>
      <c r="E30" s="21" t="str">
        <f aca="false">IF(OR(B30="",N(N30)=0,N30=1000),IF(B30="","","Check"),INDEX(Rules!$B:$B,N30))</f>
        <v/>
      </c>
      <c r="F30" s="21" t="str">
        <f aca="false">IF(OR(B30="",N(N30)=0,N30=1000),"",INDEX(Rules!$C:$C,N30))</f>
        <v/>
      </c>
      <c r="G30" s="24"/>
      <c r="H30" s="24"/>
      <c r="I30" s="20" t="str">
        <f aca="false">IF(B30="","",IF(G30&lt;&gt;"",G30,E30))</f>
        <v/>
      </c>
      <c r="J30" s="21" t="str">
        <f aca="false">IF(B30="","",IF(H30&lt;&gt;"",H30,F30))</f>
        <v/>
      </c>
      <c r="K30" s="26" t="str">
        <f aca="false">IF(A30="","",DATE(YEAR(A30),MONTH(A30),1))</f>
        <v/>
      </c>
      <c r="L30" s="21" t="str">
        <f aca="false">IF(J30="",IF(B30="","",IF(N(C30)&gt;=0,"Income","Expense")),IFERROR(INDEX(Lists!$B$2:$B$30,MATCH(J30,Lists!$A$2:$A$30,0)),""))</f>
        <v/>
      </c>
      <c r="M30" s="24"/>
      <c r="N30" s="27" t="str">
        <f aca="false">IF(B30="","",IFERROR(1000-SUMPRODUCT(MAX(ISNUMBER(SEARCH(Rules!$A$5:$A$204,B30))*(Rules!$A$5:$A$204&lt;&gt;"")*(1000-ROW(Rules!$A$5:$A$204)))),""))</f>
        <v/>
      </c>
    </row>
    <row r="31" customFormat="false" ht="15" hidden="false" customHeight="false" outlineLevel="0" collapsed="false">
      <c r="A31" s="23"/>
      <c r="B31" s="24"/>
      <c r="C31" s="25"/>
      <c r="D31" s="24"/>
      <c r="E31" s="21" t="str">
        <f aca="false">IF(OR(B31="",N(N31)=0,N31=1000),IF(B31="","","Check"),INDEX(Rules!$B:$B,N31))</f>
        <v/>
      </c>
      <c r="F31" s="21" t="str">
        <f aca="false">IF(OR(B31="",N(N31)=0,N31=1000),"",INDEX(Rules!$C:$C,N31))</f>
        <v/>
      </c>
      <c r="G31" s="24"/>
      <c r="H31" s="24"/>
      <c r="I31" s="20" t="str">
        <f aca="false">IF(B31="","",IF(G31&lt;&gt;"",G31,E31))</f>
        <v/>
      </c>
      <c r="J31" s="21" t="str">
        <f aca="false">IF(B31="","",IF(H31&lt;&gt;"",H31,F31))</f>
        <v/>
      </c>
      <c r="K31" s="26" t="str">
        <f aca="false">IF(A31="","",DATE(YEAR(A31),MONTH(A31),1))</f>
        <v/>
      </c>
      <c r="L31" s="21" t="str">
        <f aca="false">IF(J31="",IF(B31="","",IF(N(C31)&gt;=0,"Income","Expense")),IFERROR(INDEX(Lists!$B$2:$B$30,MATCH(J31,Lists!$A$2:$A$30,0)),""))</f>
        <v/>
      </c>
      <c r="M31" s="24"/>
      <c r="N31" s="27" t="str">
        <f aca="false">IF(B31="","",IFERROR(1000-SUMPRODUCT(MAX(ISNUMBER(SEARCH(Rules!$A$5:$A$204,B31))*(Rules!$A$5:$A$204&lt;&gt;"")*(1000-ROW(Rules!$A$5:$A$204)))),""))</f>
        <v/>
      </c>
    </row>
    <row r="32" customFormat="false" ht="15" hidden="false" customHeight="false" outlineLevel="0" collapsed="false">
      <c r="A32" s="23"/>
      <c r="B32" s="24"/>
      <c r="C32" s="25"/>
      <c r="D32" s="24"/>
      <c r="E32" s="21" t="str">
        <f aca="false">IF(OR(B32="",N(N32)=0,N32=1000),IF(B32="","","Check"),INDEX(Rules!$B:$B,N32))</f>
        <v/>
      </c>
      <c r="F32" s="21" t="str">
        <f aca="false">IF(OR(B32="",N(N32)=0,N32=1000),"",INDEX(Rules!$C:$C,N32))</f>
        <v/>
      </c>
      <c r="G32" s="24"/>
      <c r="H32" s="24"/>
      <c r="I32" s="20" t="str">
        <f aca="false">IF(B32="","",IF(G32&lt;&gt;"",G32,E32))</f>
        <v/>
      </c>
      <c r="J32" s="21" t="str">
        <f aca="false">IF(B32="","",IF(H32&lt;&gt;"",H32,F32))</f>
        <v/>
      </c>
      <c r="K32" s="26" t="str">
        <f aca="false">IF(A32="","",DATE(YEAR(A32),MONTH(A32),1))</f>
        <v/>
      </c>
      <c r="L32" s="21" t="str">
        <f aca="false">IF(J32="",IF(B32="","",IF(N(C32)&gt;=0,"Income","Expense")),IFERROR(INDEX(Lists!$B$2:$B$30,MATCH(J32,Lists!$A$2:$A$30,0)),""))</f>
        <v/>
      </c>
      <c r="M32" s="24"/>
      <c r="N32" s="27" t="str">
        <f aca="false">IF(B32="","",IFERROR(1000-SUMPRODUCT(MAX(ISNUMBER(SEARCH(Rules!$A$5:$A$204,B32))*(Rules!$A$5:$A$204&lt;&gt;"")*(1000-ROW(Rules!$A$5:$A$204)))),""))</f>
        <v/>
      </c>
    </row>
    <row r="33" customFormat="false" ht="15" hidden="false" customHeight="false" outlineLevel="0" collapsed="false">
      <c r="A33" s="23"/>
      <c r="B33" s="24"/>
      <c r="C33" s="25"/>
      <c r="D33" s="24"/>
      <c r="E33" s="21" t="str">
        <f aca="false">IF(OR(B33="",N(N33)=0,N33=1000),IF(B33="","","Check"),INDEX(Rules!$B:$B,N33))</f>
        <v/>
      </c>
      <c r="F33" s="21" t="str">
        <f aca="false">IF(OR(B33="",N(N33)=0,N33=1000),"",INDEX(Rules!$C:$C,N33))</f>
        <v/>
      </c>
      <c r="G33" s="24"/>
      <c r="H33" s="24"/>
      <c r="I33" s="20" t="str">
        <f aca="false">IF(B33="","",IF(G33&lt;&gt;"",G33,E33))</f>
        <v/>
      </c>
      <c r="J33" s="21" t="str">
        <f aca="false">IF(B33="","",IF(H33&lt;&gt;"",H33,F33))</f>
        <v/>
      </c>
      <c r="K33" s="26" t="str">
        <f aca="false">IF(A33="","",DATE(YEAR(A33),MONTH(A33),1))</f>
        <v/>
      </c>
      <c r="L33" s="21" t="str">
        <f aca="false">IF(J33="",IF(B33="","",IF(N(C33)&gt;=0,"Income","Expense")),IFERROR(INDEX(Lists!$B$2:$B$30,MATCH(J33,Lists!$A$2:$A$30,0)),""))</f>
        <v/>
      </c>
      <c r="M33" s="24"/>
      <c r="N33" s="27" t="str">
        <f aca="false">IF(B33="","",IFERROR(1000-SUMPRODUCT(MAX(ISNUMBER(SEARCH(Rules!$A$5:$A$204,B33))*(Rules!$A$5:$A$204&lt;&gt;"")*(1000-ROW(Rules!$A$5:$A$204)))),""))</f>
        <v/>
      </c>
    </row>
    <row r="34" customFormat="false" ht="15" hidden="false" customHeight="false" outlineLevel="0" collapsed="false">
      <c r="A34" s="23"/>
      <c r="B34" s="24"/>
      <c r="C34" s="25"/>
      <c r="D34" s="24"/>
      <c r="E34" s="21" t="str">
        <f aca="false">IF(OR(B34="",N(N34)=0,N34=1000),IF(B34="","","Check"),INDEX(Rules!$B:$B,N34))</f>
        <v/>
      </c>
      <c r="F34" s="21" t="str">
        <f aca="false">IF(OR(B34="",N(N34)=0,N34=1000),"",INDEX(Rules!$C:$C,N34))</f>
        <v/>
      </c>
      <c r="G34" s="24"/>
      <c r="H34" s="24"/>
      <c r="I34" s="20" t="str">
        <f aca="false">IF(B34="","",IF(G34&lt;&gt;"",G34,E34))</f>
        <v/>
      </c>
      <c r="J34" s="21" t="str">
        <f aca="false">IF(B34="","",IF(H34&lt;&gt;"",H34,F34))</f>
        <v/>
      </c>
      <c r="K34" s="26" t="str">
        <f aca="false">IF(A34="","",DATE(YEAR(A34),MONTH(A34),1))</f>
        <v/>
      </c>
      <c r="L34" s="21" t="str">
        <f aca="false">IF(J34="",IF(B34="","",IF(N(C34)&gt;=0,"Income","Expense")),IFERROR(INDEX(Lists!$B$2:$B$30,MATCH(J34,Lists!$A$2:$A$30,0)),""))</f>
        <v/>
      </c>
      <c r="M34" s="24"/>
      <c r="N34" s="27" t="str">
        <f aca="false">IF(B34="","",IFERROR(1000-SUMPRODUCT(MAX(ISNUMBER(SEARCH(Rules!$A$5:$A$204,B34))*(Rules!$A$5:$A$204&lt;&gt;"")*(1000-ROW(Rules!$A$5:$A$204)))),""))</f>
        <v/>
      </c>
    </row>
    <row r="35" customFormat="false" ht="15" hidden="false" customHeight="false" outlineLevel="0" collapsed="false">
      <c r="A35" s="23"/>
      <c r="B35" s="24"/>
      <c r="C35" s="25"/>
      <c r="D35" s="24"/>
      <c r="E35" s="21" t="str">
        <f aca="false">IF(OR(B35="",N(N35)=0,N35=1000),IF(B35="","","Check"),INDEX(Rules!$B:$B,N35))</f>
        <v/>
      </c>
      <c r="F35" s="21" t="str">
        <f aca="false">IF(OR(B35="",N(N35)=0,N35=1000),"",INDEX(Rules!$C:$C,N35))</f>
        <v/>
      </c>
      <c r="G35" s="24"/>
      <c r="H35" s="24"/>
      <c r="I35" s="20" t="str">
        <f aca="false">IF(B35="","",IF(G35&lt;&gt;"",G35,E35))</f>
        <v/>
      </c>
      <c r="J35" s="21" t="str">
        <f aca="false">IF(B35="","",IF(H35&lt;&gt;"",H35,F35))</f>
        <v/>
      </c>
      <c r="K35" s="26" t="str">
        <f aca="false">IF(A35="","",DATE(YEAR(A35),MONTH(A35),1))</f>
        <v/>
      </c>
      <c r="L35" s="21" t="str">
        <f aca="false">IF(J35="",IF(B35="","",IF(N(C35)&gt;=0,"Income","Expense")),IFERROR(INDEX(Lists!$B$2:$B$30,MATCH(J35,Lists!$A$2:$A$30,0)),""))</f>
        <v/>
      </c>
      <c r="M35" s="24"/>
      <c r="N35" s="27" t="str">
        <f aca="false">IF(B35="","",IFERROR(1000-SUMPRODUCT(MAX(ISNUMBER(SEARCH(Rules!$A$5:$A$204,B35))*(Rules!$A$5:$A$204&lt;&gt;"")*(1000-ROW(Rules!$A$5:$A$204)))),""))</f>
        <v/>
      </c>
    </row>
    <row r="36" customFormat="false" ht="15" hidden="false" customHeight="false" outlineLevel="0" collapsed="false">
      <c r="A36" s="23"/>
      <c r="B36" s="24"/>
      <c r="C36" s="25"/>
      <c r="D36" s="24"/>
      <c r="E36" s="21" t="str">
        <f aca="false">IF(OR(B36="",N(N36)=0,N36=1000),IF(B36="","","Check"),INDEX(Rules!$B:$B,N36))</f>
        <v/>
      </c>
      <c r="F36" s="21" t="str">
        <f aca="false">IF(OR(B36="",N(N36)=0,N36=1000),"",INDEX(Rules!$C:$C,N36))</f>
        <v/>
      </c>
      <c r="G36" s="24"/>
      <c r="H36" s="24"/>
      <c r="I36" s="20" t="str">
        <f aca="false">IF(B36="","",IF(G36&lt;&gt;"",G36,E36))</f>
        <v/>
      </c>
      <c r="J36" s="21" t="str">
        <f aca="false">IF(B36="","",IF(H36&lt;&gt;"",H36,F36))</f>
        <v/>
      </c>
      <c r="K36" s="26" t="str">
        <f aca="false">IF(A36="","",DATE(YEAR(A36),MONTH(A36),1))</f>
        <v/>
      </c>
      <c r="L36" s="21" t="str">
        <f aca="false">IF(J36="",IF(B36="","",IF(N(C36)&gt;=0,"Income","Expense")),IFERROR(INDEX(Lists!$B$2:$B$30,MATCH(J36,Lists!$A$2:$A$30,0)),""))</f>
        <v/>
      </c>
      <c r="M36" s="24"/>
      <c r="N36" s="27" t="str">
        <f aca="false">IF(B36="","",IFERROR(1000-SUMPRODUCT(MAX(ISNUMBER(SEARCH(Rules!$A$5:$A$204,B36))*(Rules!$A$5:$A$204&lt;&gt;"")*(1000-ROW(Rules!$A$5:$A$204)))),""))</f>
        <v/>
      </c>
    </row>
    <row r="37" customFormat="false" ht="15" hidden="false" customHeight="false" outlineLevel="0" collapsed="false">
      <c r="A37" s="23"/>
      <c r="B37" s="24"/>
      <c r="C37" s="25"/>
      <c r="D37" s="24"/>
      <c r="E37" s="21" t="str">
        <f aca="false">IF(OR(B37="",N(N37)=0,N37=1000),IF(B37="","","Check"),INDEX(Rules!$B:$B,N37))</f>
        <v/>
      </c>
      <c r="F37" s="21" t="str">
        <f aca="false">IF(OR(B37="",N(N37)=0,N37=1000),"",INDEX(Rules!$C:$C,N37))</f>
        <v/>
      </c>
      <c r="G37" s="24"/>
      <c r="H37" s="24"/>
      <c r="I37" s="20" t="str">
        <f aca="false">IF(B37="","",IF(G37&lt;&gt;"",G37,E37))</f>
        <v/>
      </c>
      <c r="J37" s="21" t="str">
        <f aca="false">IF(B37="","",IF(H37&lt;&gt;"",H37,F37))</f>
        <v/>
      </c>
      <c r="K37" s="26" t="str">
        <f aca="false">IF(A37="","",DATE(YEAR(A37),MONTH(A37),1))</f>
        <v/>
      </c>
      <c r="L37" s="21" t="str">
        <f aca="false">IF(J37="",IF(B37="","",IF(N(C37)&gt;=0,"Income","Expense")),IFERROR(INDEX(Lists!$B$2:$B$30,MATCH(J37,Lists!$A$2:$A$30,0)),""))</f>
        <v/>
      </c>
      <c r="M37" s="24"/>
      <c r="N37" s="27" t="str">
        <f aca="false">IF(B37="","",IFERROR(1000-SUMPRODUCT(MAX(ISNUMBER(SEARCH(Rules!$A$5:$A$204,B37))*(Rules!$A$5:$A$204&lt;&gt;"")*(1000-ROW(Rules!$A$5:$A$204)))),""))</f>
        <v/>
      </c>
    </row>
    <row r="38" customFormat="false" ht="15" hidden="false" customHeight="false" outlineLevel="0" collapsed="false">
      <c r="A38" s="23"/>
      <c r="B38" s="24"/>
      <c r="C38" s="25"/>
      <c r="D38" s="24"/>
      <c r="E38" s="21" t="str">
        <f aca="false">IF(OR(B38="",N(N38)=0,N38=1000),IF(B38="","","Check"),INDEX(Rules!$B:$B,N38))</f>
        <v/>
      </c>
      <c r="F38" s="21" t="str">
        <f aca="false">IF(OR(B38="",N(N38)=0,N38=1000),"",INDEX(Rules!$C:$C,N38))</f>
        <v/>
      </c>
      <c r="G38" s="24"/>
      <c r="H38" s="24"/>
      <c r="I38" s="20" t="str">
        <f aca="false">IF(B38="","",IF(G38&lt;&gt;"",G38,E38))</f>
        <v/>
      </c>
      <c r="J38" s="21" t="str">
        <f aca="false">IF(B38="","",IF(H38&lt;&gt;"",H38,F38))</f>
        <v/>
      </c>
      <c r="K38" s="26" t="str">
        <f aca="false">IF(A38="","",DATE(YEAR(A38),MONTH(A38),1))</f>
        <v/>
      </c>
      <c r="L38" s="21" t="str">
        <f aca="false">IF(J38="",IF(B38="","",IF(N(C38)&gt;=0,"Income","Expense")),IFERROR(INDEX(Lists!$B$2:$B$30,MATCH(J38,Lists!$A$2:$A$30,0)),""))</f>
        <v/>
      </c>
      <c r="M38" s="24"/>
      <c r="N38" s="27" t="str">
        <f aca="false">IF(B38="","",IFERROR(1000-SUMPRODUCT(MAX(ISNUMBER(SEARCH(Rules!$A$5:$A$204,B38))*(Rules!$A$5:$A$204&lt;&gt;"")*(1000-ROW(Rules!$A$5:$A$204)))),""))</f>
        <v/>
      </c>
    </row>
    <row r="39" customFormat="false" ht="15" hidden="false" customHeight="false" outlineLevel="0" collapsed="false">
      <c r="A39" s="23"/>
      <c r="B39" s="24"/>
      <c r="C39" s="25"/>
      <c r="D39" s="24"/>
      <c r="E39" s="21" t="str">
        <f aca="false">IF(OR(B39="",N(N39)=0,N39=1000),IF(B39="","","Check"),INDEX(Rules!$B:$B,N39))</f>
        <v/>
      </c>
      <c r="F39" s="21" t="str">
        <f aca="false">IF(OR(B39="",N(N39)=0,N39=1000),"",INDEX(Rules!$C:$C,N39))</f>
        <v/>
      </c>
      <c r="G39" s="24"/>
      <c r="H39" s="24"/>
      <c r="I39" s="20" t="str">
        <f aca="false">IF(B39="","",IF(G39&lt;&gt;"",G39,E39))</f>
        <v/>
      </c>
      <c r="J39" s="21" t="str">
        <f aca="false">IF(B39="","",IF(H39&lt;&gt;"",H39,F39))</f>
        <v/>
      </c>
      <c r="K39" s="26" t="str">
        <f aca="false">IF(A39="","",DATE(YEAR(A39),MONTH(A39),1))</f>
        <v/>
      </c>
      <c r="L39" s="21" t="str">
        <f aca="false">IF(J39="",IF(B39="","",IF(N(C39)&gt;=0,"Income","Expense")),IFERROR(INDEX(Lists!$B$2:$B$30,MATCH(J39,Lists!$A$2:$A$30,0)),""))</f>
        <v/>
      </c>
      <c r="M39" s="24"/>
      <c r="N39" s="27" t="str">
        <f aca="false">IF(B39="","",IFERROR(1000-SUMPRODUCT(MAX(ISNUMBER(SEARCH(Rules!$A$5:$A$204,B39))*(Rules!$A$5:$A$204&lt;&gt;"")*(1000-ROW(Rules!$A$5:$A$204)))),""))</f>
        <v/>
      </c>
    </row>
    <row r="40" customFormat="false" ht="15" hidden="false" customHeight="false" outlineLevel="0" collapsed="false">
      <c r="A40" s="23"/>
      <c r="B40" s="24"/>
      <c r="C40" s="25"/>
      <c r="D40" s="24"/>
      <c r="E40" s="21" t="str">
        <f aca="false">IF(OR(B40="",N(N40)=0,N40=1000),IF(B40="","","Check"),INDEX(Rules!$B:$B,N40))</f>
        <v/>
      </c>
      <c r="F40" s="21" t="str">
        <f aca="false">IF(OR(B40="",N(N40)=0,N40=1000),"",INDEX(Rules!$C:$C,N40))</f>
        <v/>
      </c>
      <c r="G40" s="24"/>
      <c r="H40" s="24"/>
      <c r="I40" s="20" t="str">
        <f aca="false">IF(B40="","",IF(G40&lt;&gt;"",G40,E40))</f>
        <v/>
      </c>
      <c r="J40" s="21" t="str">
        <f aca="false">IF(B40="","",IF(H40&lt;&gt;"",H40,F40))</f>
        <v/>
      </c>
      <c r="K40" s="26" t="str">
        <f aca="false">IF(A40="","",DATE(YEAR(A40),MONTH(A40),1))</f>
        <v/>
      </c>
      <c r="L40" s="21" t="str">
        <f aca="false">IF(J40="",IF(B40="","",IF(N(C40)&gt;=0,"Income","Expense")),IFERROR(INDEX(Lists!$B$2:$B$30,MATCH(J40,Lists!$A$2:$A$30,0)),""))</f>
        <v/>
      </c>
      <c r="M40" s="24"/>
      <c r="N40" s="27" t="str">
        <f aca="false">IF(B40="","",IFERROR(1000-SUMPRODUCT(MAX(ISNUMBER(SEARCH(Rules!$A$5:$A$204,B40))*(Rules!$A$5:$A$204&lt;&gt;"")*(1000-ROW(Rules!$A$5:$A$204)))),""))</f>
        <v/>
      </c>
    </row>
    <row r="41" customFormat="false" ht="15" hidden="false" customHeight="false" outlineLevel="0" collapsed="false">
      <c r="A41" s="23"/>
      <c r="B41" s="24"/>
      <c r="C41" s="25"/>
      <c r="D41" s="24"/>
      <c r="E41" s="21" t="str">
        <f aca="false">IF(OR(B41="",N(N41)=0,N41=1000),IF(B41="","","Check"),INDEX(Rules!$B:$B,N41))</f>
        <v/>
      </c>
      <c r="F41" s="21" t="str">
        <f aca="false">IF(OR(B41="",N(N41)=0,N41=1000),"",INDEX(Rules!$C:$C,N41))</f>
        <v/>
      </c>
      <c r="G41" s="24"/>
      <c r="H41" s="24"/>
      <c r="I41" s="20" t="str">
        <f aca="false">IF(B41="","",IF(G41&lt;&gt;"",G41,E41))</f>
        <v/>
      </c>
      <c r="J41" s="21" t="str">
        <f aca="false">IF(B41="","",IF(H41&lt;&gt;"",H41,F41))</f>
        <v/>
      </c>
      <c r="K41" s="26" t="str">
        <f aca="false">IF(A41="","",DATE(YEAR(A41),MONTH(A41),1))</f>
        <v/>
      </c>
      <c r="L41" s="21" t="str">
        <f aca="false">IF(J41="",IF(B41="","",IF(N(C41)&gt;=0,"Income","Expense")),IFERROR(INDEX(Lists!$B$2:$B$30,MATCH(J41,Lists!$A$2:$A$30,0)),""))</f>
        <v/>
      </c>
      <c r="M41" s="24"/>
      <c r="N41" s="27" t="str">
        <f aca="false">IF(B41="","",IFERROR(1000-SUMPRODUCT(MAX(ISNUMBER(SEARCH(Rules!$A$5:$A$204,B41))*(Rules!$A$5:$A$204&lt;&gt;"")*(1000-ROW(Rules!$A$5:$A$204)))),""))</f>
        <v/>
      </c>
    </row>
    <row r="42" customFormat="false" ht="15" hidden="false" customHeight="false" outlineLevel="0" collapsed="false">
      <c r="A42" s="23"/>
      <c r="B42" s="24"/>
      <c r="C42" s="25"/>
      <c r="D42" s="24"/>
      <c r="E42" s="21" t="str">
        <f aca="false">IF(OR(B42="",N(N42)=0,N42=1000),IF(B42="","","Check"),INDEX(Rules!$B:$B,N42))</f>
        <v/>
      </c>
      <c r="F42" s="21" t="str">
        <f aca="false">IF(OR(B42="",N(N42)=0,N42=1000),"",INDEX(Rules!$C:$C,N42))</f>
        <v/>
      </c>
      <c r="G42" s="24"/>
      <c r="H42" s="24"/>
      <c r="I42" s="20" t="str">
        <f aca="false">IF(B42="","",IF(G42&lt;&gt;"",G42,E42))</f>
        <v/>
      </c>
      <c r="J42" s="21" t="str">
        <f aca="false">IF(B42="","",IF(H42&lt;&gt;"",H42,F42))</f>
        <v/>
      </c>
      <c r="K42" s="26" t="str">
        <f aca="false">IF(A42="","",DATE(YEAR(A42),MONTH(A42),1))</f>
        <v/>
      </c>
      <c r="L42" s="21" t="str">
        <f aca="false">IF(J42="",IF(B42="","",IF(N(C42)&gt;=0,"Income","Expense")),IFERROR(INDEX(Lists!$B$2:$B$30,MATCH(J42,Lists!$A$2:$A$30,0)),""))</f>
        <v/>
      </c>
      <c r="M42" s="24"/>
      <c r="N42" s="27" t="str">
        <f aca="false">IF(B42="","",IFERROR(1000-SUMPRODUCT(MAX(ISNUMBER(SEARCH(Rules!$A$5:$A$204,B42))*(Rules!$A$5:$A$204&lt;&gt;"")*(1000-ROW(Rules!$A$5:$A$204)))),""))</f>
        <v/>
      </c>
    </row>
    <row r="43" customFormat="false" ht="15" hidden="false" customHeight="false" outlineLevel="0" collapsed="false">
      <c r="A43" s="23"/>
      <c r="B43" s="24"/>
      <c r="C43" s="25"/>
      <c r="D43" s="24"/>
      <c r="E43" s="21" t="str">
        <f aca="false">IF(OR(B43="",N(N43)=0,N43=1000),IF(B43="","","Check"),INDEX(Rules!$B:$B,N43))</f>
        <v/>
      </c>
      <c r="F43" s="21" t="str">
        <f aca="false">IF(OR(B43="",N(N43)=0,N43=1000),"",INDEX(Rules!$C:$C,N43))</f>
        <v/>
      </c>
      <c r="G43" s="24"/>
      <c r="H43" s="24"/>
      <c r="I43" s="20" t="str">
        <f aca="false">IF(B43="","",IF(G43&lt;&gt;"",G43,E43))</f>
        <v/>
      </c>
      <c r="J43" s="21" t="str">
        <f aca="false">IF(B43="","",IF(H43&lt;&gt;"",H43,F43))</f>
        <v/>
      </c>
      <c r="K43" s="26" t="str">
        <f aca="false">IF(A43="","",DATE(YEAR(A43),MONTH(A43),1))</f>
        <v/>
      </c>
      <c r="L43" s="21" t="str">
        <f aca="false">IF(J43="",IF(B43="","",IF(N(C43)&gt;=0,"Income","Expense")),IFERROR(INDEX(Lists!$B$2:$B$30,MATCH(J43,Lists!$A$2:$A$30,0)),""))</f>
        <v/>
      </c>
      <c r="M43" s="24"/>
      <c r="N43" s="27" t="str">
        <f aca="false">IF(B43="","",IFERROR(1000-SUMPRODUCT(MAX(ISNUMBER(SEARCH(Rules!$A$5:$A$204,B43))*(Rules!$A$5:$A$204&lt;&gt;"")*(1000-ROW(Rules!$A$5:$A$204)))),""))</f>
        <v/>
      </c>
    </row>
    <row r="44" customFormat="false" ht="15" hidden="false" customHeight="false" outlineLevel="0" collapsed="false">
      <c r="A44" s="23"/>
      <c r="B44" s="24"/>
      <c r="C44" s="25"/>
      <c r="D44" s="24"/>
      <c r="E44" s="21" t="str">
        <f aca="false">IF(OR(B44="",N(N44)=0,N44=1000),IF(B44="","","Check"),INDEX(Rules!$B:$B,N44))</f>
        <v/>
      </c>
      <c r="F44" s="21" t="str">
        <f aca="false">IF(OR(B44="",N(N44)=0,N44=1000),"",INDEX(Rules!$C:$C,N44))</f>
        <v/>
      </c>
      <c r="G44" s="24"/>
      <c r="H44" s="24"/>
      <c r="I44" s="20" t="str">
        <f aca="false">IF(B44="","",IF(G44&lt;&gt;"",G44,E44))</f>
        <v/>
      </c>
      <c r="J44" s="21" t="str">
        <f aca="false">IF(B44="","",IF(H44&lt;&gt;"",H44,F44))</f>
        <v/>
      </c>
      <c r="K44" s="26" t="str">
        <f aca="false">IF(A44="","",DATE(YEAR(A44),MONTH(A44),1))</f>
        <v/>
      </c>
      <c r="L44" s="21" t="str">
        <f aca="false">IF(J44="",IF(B44="","",IF(N(C44)&gt;=0,"Income","Expense")),IFERROR(INDEX(Lists!$B$2:$B$30,MATCH(J44,Lists!$A$2:$A$30,0)),""))</f>
        <v/>
      </c>
      <c r="M44" s="24"/>
      <c r="N44" s="27" t="str">
        <f aca="false">IF(B44="","",IFERROR(1000-SUMPRODUCT(MAX(ISNUMBER(SEARCH(Rules!$A$5:$A$204,B44))*(Rules!$A$5:$A$204&lt;&gt;"")*(1000-ROW(Rules!$A$5:$A$204)))),""))</f>
        <v/>
      </c>
    </row>
    <row r="45" customFormat="false" ht="15" hidden="false" customHeight="false" outlineLevel="0" collapsed="false">
      <c r="A45" s="23"/>
      <c r="B45" s="24"/>
      <c r="C45" s="25"/>
      <c r="D45" s="24"/>
      <c r="E45" s="21" t="str">
        <f aca="false">IF(OR(B45="",N(N45)=0,N45=1000),IF(B45="","","Check"),INDEX(Rules!$B:$B,N45))</f>
        <v/>
      </c>
      <c r="F45" s="21" t="str">
        <f aca="false">IF(OR(B45="",N(N45)=0,N45=1000),"",INDEX(Rules!$C:$C,N45))</f>
        <v/>
      </c>
      <c r="G45" s="24"/>
      <c r="H45" s="24"/>
      <c r="I45" s="20" t="str">
        <f aca="false">IF(B45="","",IF(G45&lt;&gt;"",G45,E45))</f>
        <v/>
      </c>
      <c r="J45" s="21" t="str">
        <f aca="false">IF(B45="","",IF(H45&lt;&gt;"",H45,F45))</f>
        <v/>
      </c>
      <c r="K45" s="26" t="str">
        <f aca="false">IF(A45="","",DATE(YEAR(A45),MONTH(A45),1))</f>
        <v/>
      </c>
      <c r="L45" s="21" t="str">
        <f aca="false">IF(J45="",IF(B45="","",IF(N(C45)&gt;=0,"Income","Expense")),IFERROR(INDEX(Lists!$B$2:$B$30,MATCH(J45,Lists!$A$2:$A$30,0)),""))</f>
        <v/>
      </c>
      <c r="M45" s="24"/>
      <c r="N45" s="27" t="str">
        <f aca="false">IF(B45="","",IFERROR(1000-SUMPRODUCT(MAX(ISNUMBER(SEARCH(Rules!$A$5:$A$204,B45))*(Rules!$A$5:$A$204&lt;&gt;"")*(1000-ROW(Rules!$A$5:$A$204)))),""))</f>
        <v/>
      </c>
    </row>
    <row r="46" customFormat="false" ht="15" hidden="false" customHeight="false" outlineLevel="0" collapsed="false">
      <c r="A46" s="23"/>
      <c r="B46" s="24"/>
      <c r="C46" s="25"/>
      <c r="D46" s="24"/>
      <c r="E46" s="21" t="str">
        <f aca="false">IF(OR(B46="",N(N46)=0,N46=1000),IF(B46="","","Check"),INDEX(Rules!$B:$B,N46))</f>
        <v/>
      </c>
      <c r="F46" s="21" t="str">
        <f aca="false">IF(OR(B46="",N(N46)=0,N46=1000),"",INDEX(Rules!$C:$C,N46))</f>
        <v/>
      </c>
      <c r="G46" s="24"/>
      <c r="H46" s="24"/>
      <c r="I46" s="20" t="str">
        <f aca="false">IF(B46="","",IF(G46&lt;&gt;"",G46,E46))</f>
        <v/>
      </c>
      <c r="J46" s="21" t="str">
        <f aca="false">IF(B46="","",IF(H46&lt;&gt;"",H46,F46))</f>
        <v/>
      </c>
      <c r="K46" s="26" t="str">
        <f aca="false">IF(A46="","",DATE(YEAR(A46),MONTH(A46),1))</f>
        <v/>
      </c>
      <c r="L46" s="21" t="str">
        <f aca="false">IF(J46="",IF(B46="","",IF(N(C46)&gt;=0,"Income","Expense")),IFERROR(INDEX(Lists!$B$2:$B$30,MATCH(J46,Lists!$A$2:$A$30,0)),""))</f>
        <v/>
      </c>
      <c r="M46" s="24"/>
      <c r="N46" s="27" t="str">
        <f aca="false">IF(B46="","",IFERROR(1000-SUMPRODUCT(MAX(ISNUMBER(SEARCH(Rules!$A$5:$A$204,B46))*(Rules!$A$5:$A$204&lt;&gt;"")*(1000-ROW(Rules!$A$5:$A$204)))),""))</f>
        <v/>
      </c>
    </row>
    <row r="47" customFormat="false" ht="15" hidden="false" customHeight="false" outlineLevel="0" collapsed="false">
      <c r="A47" s="23"/>
      <c r="B47" s="24"/>
      <c r="C47" s="25"/>
      <c r="D47" s="24"/>
      <c r="E47" s="21" t="str">
        <f aca="false">IF(OR(B47="",N(N47)=0,N47=1000),IF(B47="","","Check"),INDEX(Rules!$B:$B,N47))</f>
        <v/>
      </c>
      <c r="F47" s="21" t="str">
        <f aca="false">IF(OR(B47="",N(N47)=0,N47=1000),"",INDEX(Rules!$C:$C,N47))</f>
        <v/>
      </c>
      <c r="G47" s="24"/>
      <c r="H47" s="24"/>
      <c r="I47" s="20" t="str">
        <f aca="false">IF(B47="","",IF(G47&lt;&gt;"",G47,E47))</f>
        <v/>
      </c>
      <c r="J47" s="21" t="str">
        <f aca="false">IF(B47="","",IF(H47&lt;&gt;"",H47,F47))</f>
        <v/>
      </c>
      <c r="K47" s="26" t="str">
        <f aca="false">IF(A47="","",DATE(YEAR(A47),MONTH(A47),1))</f>
        <v/>
      </c>
      <c r="L47" s="21" t="str">
        <f aca="false">IF(J47="",IF(B47="","",IF(N(C47)&gt;=0,"Income","Expense")),IFERROR(INDEX(Lists!$B$2:$B$30,MATCH(J47,Lists!$A$2:$A$30,0)),""))</f>
        <v/>
      </c>
      <c r="M47" s="24"/>
      <c r="N47" s="27" t="str">
        <f aca="false">IF(B47="","",IFERROR(1000-SUMPRODUCT(MAX(ISNUMBER(SEARCH(Rules!$A$5:$A$204,B47))*(Rules!$A$5:$A$204&lt;&gt;"")*(1000-ROW(Rules!$A$5:$A$204)))),""))</f>
        <v/>
      </c>
    </row>
    <row r="48" customFormat="false" ht="15" hidden="false" customHeight="false" outlineLevel="0" collapsed="false">
      <c r="A48" s="23"/>
      <c r="B48" s="24"/>
      <c r="C48" s="25"/>
      <c r="D48" s="24"/>
      <c r="E48" s="21" t="str">
        <f aca="false">IF(OR(B48="",N(N48)=0,N48=1000),IF(B48="","","Check"),INDEX(Rules!$B:$B,N48))</f>
        <v/>
      </c>
      <c r="F48" s="21" t="str">
        <f aca="false">IF(OR(B48="",N(N48)=0,N48=1000),"",INDEX(Rules!$C:$C,N48))</f>
        <v/>
      </c>
      <c r="G48" s="24"/>
      <c r="H48" s="24"/>
      <c r="I48" s="20" t="str">
        <f aca="false">IF(B48="","",IF(G48&lt;&gt;"",G48,E48))</f>
        <v/>
      </c>
      <c r="J48" s="21" t="str">
        <f aca="false">IF(B48="","",IF(H48&lt;&gt;"",H48,F48))</f>
        <v/>
      </c>
      <c r="K48" s="26" t="str">
        <f aca="false">IF(A48="","",DATE(YEAR(A48),MONTH(A48),1))</f>
        <v/>
      </c>
      <c r="L48" s="21" t="str">
        <f aca="false">IF(J48="",IF(B48="","",IF(N(C48)&gt;=0,"Income","Expense")),IFERROR(INDEX(Lists!$B$2:$B$30,MATCH(J48,Lists!$A$2:$A$30,0)),""))</f>
        <v/>
      </c>
      <c r="M48" s="24"/>
      <c r="N48" s="27" t="str">
        <f aca="false">IF(B48="","",IFERROR(1000-SUMPRODUCT(MAX(ISNUMBER(SEARCH(Rules!$A$5:$A$204,B48))*(Rules!$A$5:$A$204&lt;&gt;"")*(1000-ROW(Rules!$A$5:$A$204)))),""))</f>
        <v/>
      </c>
    </row>
    <row r="49" customFormat="false" ht="15" hidden="false" customHeight="false" outlineLevel="0" collapsed="false">
      <c r="A49" s="23"/>
      <c r="B49" s="24"/>
      <c r="C49" s="25"/>
      <c r="D49" s="24"/>
      <c r="E49" s="21" t="str">
        <f aca="false">IF(OR(B49="",N(N49)=0,N49=1000),IF(B49="","","Check"),INDEX(Rules!$B:$B,N49))</f>
        <v/>
      </c>
      <c r="F49" s="21" t="str">
        <f aca="false">IF(OR(B49="",N(N49)=0,N49=1000),"",INDEX(Rules!$C:$C,N49))</f>
        <v/>
      </c>
      <c r="G49" s="24"/>
      <c r="H49" s="24"/>
      <c r="I49" s="20" t="str">
        <f aca="false">IF(B49="","",IF(G49&lt;&gt;"",G49,E49))</f>
        <v/>
      </c>
      <c r="J49" s="21" t="str">
        <f aca="false">IF(B49="","",IF(H49&lt;&gt;"",H49,F49))</f>
        <v/>
      </c>
      <c r="K49" s="26" t="str">
        <f aca="false">IF(A49="","",DATE(YEAR(A49),MONTH(A49),1))</f>
        <v/>
      </c>
      <c r="L49" s="21" t="str">
        <f aca="false">IF(J49="",IF(B49="","",IF(N(C49)&gt;=0,"Income","Expense")),IFERROR(INDEX(Lists!$B$2:$B$30,MATCH(J49,Lists!$A$2:$A$30,0)),""))</f>
        <v/>
      </c>
      <c r="M49" s="24"/>
      <c r="N49" s="27" t="str">
        <f aca="false">IF(B49="","",IFERROR(1000-SUMPRODUCT(MAX(ISNUMBER(SEARCH(Rules!$A$5:$A$204,B49))*(Rules!$A$5:$A$204&lt;&gt;"")*(1000-ROW(Rules!$A$5:$A$204)))),""))</f>
        <v/>
      </c>
    </row>
    <row r="50" customFormat="false" ht="15" hidden="false" customHeight="false" outlineLevel="0" collapsed="false">
      <c r="A50" s="23"/>
      <c r="B50" s="24"/>
      <c r="C50" s="25"/>
      <c r="D50" s="24"/>
      <c r="E50" s="21" t="str">
        <f aca="false">IF(OR(B50="",N(N50)=0,N50=1000),IF(B50="","","Check"),INDEX(Rules!$B:$B,N50))</f>
        <v/>
      </c>
      <c r="F50" s="21" t="str">
        <f aca="false">IF(OR(B50="",N(N50)=0,N50=1000),"",INDEX(Rules!$C:$C,N50))</f>
        <v/>
      </c>
      <c r="G50" s="24"/>
      <c r="H50" s="24"/>
      <c r="I50" s="20" t="str">
        <f aca="false">IF(B50="","",IF(G50&lt;&gt;"",G50,E50))</f>
        <v/>
      </c>
      <c r="J50" s="21" t="str">
        <f aca="false">IF(B50="","",IF(H50&lt;&gt;"",H50,F50))</f>
        <v/>
      </c>
      <c r="K50" s="26" t="str">
        <f aca="false">IF(A50="","",DATE(YEAR(A50),MONTH(A50),1))</f>
        <v/>
      </c>
      <c r="L50" s="21" t="str">
        <f aca="false">IF(J50="",IF(B50="","",IF(N(C50)&gt;=0,"Income","Expense")),IFERROR(INDEX(Lists!$B$2:$B$30,MATCH(J50,Lists!$A$2:$A$30,0)),""))</f>
        <v/>
      </c>
      <c r="M50" s="24"/>
      <c r="N50" s="27" t="str">
        <f aca="false">IF(B50="","",IFERROR(1000-SUMPRODUCT(MAX(ISNUMBER(SEARCH(Rules!$A$5:$A$204,B50))*(Rules!$A$5:$A$204&lt;&gt;"")*(1000-ROW(Rules!$A$5:$A$204)))),""))</f>
        <v/>
      </c>
    </row>
    <row r="51" customFormat="false" ht="15" hidden="false" customHeight="false" outlineLevel="0" collapsed="false">
      <c r="A51" s="23"/>
      <c r="B51" s="24"/>
      <c r="C51" s="25"/>
      <c r="D51" s="24"/>
      <c r="E51" s="21" t="str">
        <f aca="false">IF(OR(B51="",N(N51)=0,N51=1000),IF(B51="","","Check"),INDEX(Rules!$B:$B,N51))</f>
        <v/>
      </c>
      <c r="F51" s="21" t="str">
        <f aca="false">IF(OR(B51="",N(N51)=0,N51=1000),"",INDEX(Rules!$C:$C,N51))</f>
        <v/>
      </c>
      <c r="G51" s="24"/>
      <c r="H51" s="24"/>
      <c r="I51" s="20" t="str">
        <f aca="false">IF(B51="","",IF(G51&lt;&gt;"",G51,E51))</f>
        <v/>
      </c>
      <c r="J51" s="21" t="str">
        <f aca="false">IF(B51="","",IF(H51&lt;&gt;"",H51,F51))</f>
        <v/>
      </c>
      <c r="K51" s="26" t="str">
        <f aca="false">IF(A51="","",DATE(YEAR(A51),MONTH(A51),1))</f>
        <v/>
      </c>
      <c r="L51" s="21" t="str">
        <f aca="false">IF(J51="",IF(B51="","",IF(N(C51)&gt;=0,"Income","Expense")),IFERROR(INDEX(Lists!$B$2:$B$30,MATCH(J51,Lists!$A$2:$A$30,0)),""))</f>
        <v/>
      </c>
      <c r="M51" s="24"/>
      <c r="N51" s="27" t="str">
        <f aca="false">IF(B51="","",IFERROR(1000-SUMPRODUCT(MAX(ISNUMBER(SEARCH(Rules!$A$5:$A$204,B51))*(Rules!$A$5:$A$204&lt;&gt;"")*(1000-ROW(Rules!$A$5:$A$204)))),""))</f>
        <v/>
      </c>
    </row>
    <row r="52" customFormat="false" ht="15" hidden="false" customHeight="false" outlineLevel="0" collapsed="false">
      <c r="A52" s="23"/>
      <c r="B52" s="24"/>
      <c r="C52" s="25"/>
      <c r="D52" s="24"/>
      <c r="E52" s="21" t="str">
        <f aca="false">IF(OR(B52="",N(N52)=0,N52=1000),IF(B52="","","Check"),INDEX(Rules!$B:$B,N52))</f>
        <v/>
      </c>
      <c r="F52" s="21" t="str">
        <f aca="false">IF(OR(B52="",N(N52)=0,N52=1000),"",INDEX(Rules!$C:$C,N52))</f>
        <v/>
      </c>
      <c r="G52" s="24"/>
      <c r="H52" s="24"/>
      <c r="I52" s="20" t="str">
        <f aca="false">IF(B52="","",IF(G52&lt;&gt;"",G52,E52))</f>
        <v/>
      </c>
      <c r="J52" s="21" t="str">
        <f aca="false">IF(B52="","",IF(H52&lt;&gt;"",H52,F52))</f>
        <v/>
      </c>
      <c r="K52" s="26" t="str">
        <f aca="false">IF(A52="","",DATE(YEAR(A52),MONTH(A52),1))</f>
        <v/>
      </c>
      <c r="L52" s="21" t="str">
        <f aca="false">IF(J52="",IF(B52="","",IF(N(C52)&gt;=0,"Income","Expense")),IFERROR(INDEX(Lists!$B$2:$B$30,MATCH(J52,Lists!$A$2:$A$30,0)),""))</f>
        <v/>
      </c>
      <c r="M52" s="24"/>
      <c r="N52" s="27" t="str">
        <f aca="false">IF(B52="","",IFERROR(1000-SUMPRODUCT(MAX(ISNUMBER(SEARCH(Rules!$A$5:$A$204,B52))*(Rules!$A$5:$A$204&lt;&gt;"")*(1000-ROW(Rules!$A$5:$A$204)))),""))</f>
        <v/>
      </c>
    </row>
    <row r="53" customFormat="false" ht="15" hidden="false" customHeight="false" outlineLevel="0" collapsed="false">
      <c r="A53" s="23"/>
      <c r="B53" s="24"/>
      <c r="C53" s="25"/>
      <c r="D53" s="24"/>
      <c r="E53" s="21" t="str">
        <f aca="false">IF(OR(B53="",N(N53)=0,N53=1000),IF(B53="","","Check"),INDEX(Rules!$B:$B,N53))</f>
        <v/>
      </c>
      <c r="F53" s="21" t="str">
        <f aca="false">IF(OR(B53="",N(N53)=0,N53=1000),"",INDEX(Rules!$C:$C,N53))</f>
        <v/>
      </c>
      <c r="G53" s="24"/>
      <c r="H53" s="24"/>
      <c r="I53" s="20" t="str">
        <f aca="false">IF(B53="","",IF(G53&lt;&gt;"",G53,E53))</f>
        <v/>
      </c>
      <c r="J53" s="21" t="str">
        <f aca="false">IF(B53="","",IF(H53&lt;&gt;"",H53,F53))</f>
        <v/>
      </c>
      <c r="K53" s="26" t="str">
        <f aca="false">IF(A53="","",DATE(YEAR(A53),MONTH(A53),1))</f>
        <v/>
      </c>
      <c r="L53" s="21" t="str">
        <f aca="false">IF(J53="",IF(B53="","",IF(N(C53)&gt;=0,"Income","Expense")),IFERROR(INDEX(Lists!$B$2:$B$30,MATCH(J53,Lists!$A$2:$A$30,0)),""))</f>
        <v/>
      </c>
      <c r="M53" s="24"/>
      <c r="N53" s="27" t="str">
        <f aca="false">IF(B53="","",IFERROR(1000-SUMPRODUCT(MAX(ISNUMBER(SEARCH(Rules!$A$5:$A$204,B53))*(Rules!$A$5:$A$204&lt;&gt;"")*(1000-ROW(Rules!$A$5:$A$204)))),""))</f>
        <v/>
      </c>
    </row>
    <row r="54" customFormat="false" ht="15" hidden="false" customHeight="false" outlineLevel="0" collapsed="false">
      <c r="A54" s="23"/>
      <c r="B54" s="24"/>
      <c r="C54" s="25"/>
      <c r="D54" s="24"/>
      <c r="E54" s="21" t="str">
        <f aca="false">IF(OR(B54="",N(N54)=0,N54=1000),IF(B54="","","Check"),INDEX(Rules!$B:$B,N54))</f>
        <v/>
      </c>
      <c r="F54" s="21" t="str">
        <f aca="false">IF(OR(B54="",N(N54)=0,N54=1000),"",INDEX(Rules!$C:$C,N54))</f>
        <v/>
      </c>
      <c r="G54" s="24"/>
      <c r="H54" s="24"/>
      <c r="I54" s="20" t="str">
        <f aca="false">IF(B54="","",IF(G54&lt;&gt;"",G54,E54))</f>
        <v/>
      </c>
      <c r="J54" s="21" t="str">
        <f aca="false">IF(B54="","",IF(H54&lt;&gt;"",H54,F54))</f>
        <v/>
      </c>
      <c r="K54" s="26" t="str">
        <f aca="false">IF(A54="","",DATE(YEAR(A54),MONTH(A54),1))</f>
        <v/>
      </c>
      <c r="L54" s="21" t="str">
        <f aca="false">IF(J54="",IF(B54="","",IF(N(C54)&gt;=0,"Income","Expense")),IFERROR(INDEX(Lists!$B$2:$B$30,MATCH(J54,Lists!$A$2:$A$30,0)),""))</f>
        <v/>
      </c>
      <c r="M54" s="24"/>
      <c r="N54" s="27" t="str">
        <f aca="false">IF(B54="","",IFERROR(1000-SUMPRODUCT(MAX(ISNUMBER(SEARCH(Rules!$A$5:$A$204,B54))*(Rules!$A$5:$A$204&lt;&gt;"")*(1000-ROW(Rules!$A$5:$A$204)))),""))</f>
        <v/>
      </c>
    </row>
    <row r="55" customFormat="false" ht="15" hidden="false" customHeight="false" outlineLevel="0" collapsed="false">
      <c r="A55" s="23"/>
      <c r="B55" s="24"/>
      <c r="C55" s="25"/>
      <c r="D55" s="24"/>
      <c r="E55" s="21" t="str">
        <f aca="false">IF(OR(B55="",N(N55)=0,N55=1000),IF(B55="","","Check"),INDEX(Rules!$B:$B,N55))</f>
        <v/>
      </c>
      <c r="F55" s="21" t="str">
        <f aca="false">IF(OR(B55="",N(N55)=0,N55=1000),"",INDEX(Rules!$C:$C,N55))</f>
        <v/>
      </c>
      <c r="G55" s="24"/>
      <c r="H55" s="24"/>
      <c r="I55" s="20" t="str">
        <f aca="false">IF(B55="","",IF(G55&lt;&gt;"",G55,E55))</f>
        <v/>
      </c>
      <c r="J55" s="21" t="str">
        <f aca="false">IF(B55="","",IF(H55&lt;&gt;"",H55,F55))</f>
        <v/>
      </c>
      <c r="K55" s="26" t="str">
        <f aca="false">IF(A55="","",DATE(YEAR(A55),MONTH(A55),1))</f>
        <v/>
      </c>
      <c r="L55" s="21" t="str">
        <f aca="false">IF(J55="",IF(B55="","",IF(N(C55)&gt;=0,"Income","Expense")),IFERROR(INDEX(Lists!$B$2:$B$30,MATCH(J55,Lists!$A$2:$A$30,0)),""))</f>
        <v/>
      </c>
      <c r="M55" s="24"/>
      <c r="N55" s="27" t="str">
        <f aca="false">IF(B55="","",IFERROR(1000-SUMPRODUCT(MAX(ISNUMBER(SEARCH(Rules!$A$5:$A$204,B55))*(Rules!$A$5:$A$204&lt;&gt;"")*(1000-ROW(Rules!$A$5:$A$204)))),""))</f>
        <v/>
      </c>
    </row>
    <row r="56" customFormat="false" ht="15" hidden="false" customHeight="false" outlineLevel="0" collapsed="false">
      <c r="A56" s="23"/>
      <c r="B56" s="24"/>
      <c r="C56" s="25"/>
      <c r="D56" s="24"/>
      <c r="E56" s="21" t="str">
        <f aca="false">IF(OR(B56="",N(N56)=0,N56=1000),IF(B56="","","Check"),INDEX(Rules!$B:$B,N56))</f>
        <v/>
      </c>
      <c r="F56" s="21" t="str">
        <f aca="false">IF(OR(B56="",N(N56)=0,N56=1000),"",INDEX(Rules!$C:$C,N56))</f>
        <v/>
      </c>
      <c r="G56" s="24"/>
      <c r="H56" s="24"/>
      <c r="I56" s="20" t="str">
        <f aca="false">IF(B56="","",IF(G56&lt;&gt;"",G56,E56))</f>
        <v/>
      </c>
      <c r="J56" s="21" t="str">
        <f aca="false">IF(B56="","",IF(H56&lt;&gt;"",H56,F56))</f>
        <v/>
      </c>
      <c r="K56" s="26" t="str">
        <f aca="false">IF(A56="","",DATE(YEAR(A56),MONTH(A56),1))</f>
        <v/>
      </c>
      <c r="L56" s="21" t="str">
        <f aca="false">IF(J56="",IF(B56="","",IF(N(C56)&gt;=0,"Income","Expense")),IFERROR(INDEX(Lists!$B$2:$B$30,MATCH(J56,Lists!$A$2:$A$30,0)),""))</f>
        <v/>
      </c>
      <c r="M56" s="24"/>
      <c r="N56" s="27" t="str">
        <f aca="false">IF(B56="","",IFERROR(1000-SUMPRODUCT(MAX(ISNUMBER(SEARCH(Rules!$A$5:$A$204,B56))*(Rules!$A$5:$A$204&lt;&gt;"")*(1000-ROW(Rules!$A$5:$A$204)))),""))</f>
        <v/>
      </c>
    </row>
    <row r="57" customFormat="false" ht="15" hidden="false" customHeight="false" outlineLevel="0" collapsed="false">
      <c r="A57" s="23"/>
      <c r="B57" s="24"/>
      <c r="C57" s="25"/>
      <c r="D57" s="24"/>
      <c r="E57" s="21" t="str">
        <f aca="false">IF(OR(B57="",N(N57)=0,N57=1000),IF(B57="","","Check"),INDEX(Rules!$B:$B,N57))</f>
        <v/>
      </c>
      <c r="F57" s="21" t="str">
        <f aca="false">IF(OR(B57="",N(N57)=0,N57=1000),"",INDEX(Rules!$C:$C,N57))</f>
        <v/>
      </c>
      <c r="G57" s="24"/>
      <c r="H57" s="24"/>
      <c r="I57" s="20" t="str">
        <f aca="false">IF(B57="","",IF(G57&lt;&gt;"",G57,E57))</f>
        <v/>
      </c>
      <c r="J57" s="21" t="str">
        <f aca="false">IF(B57="","",IF(H57&lt;&gt;"",H57,F57))</f>
        <v/>
      </c>
      <c r="K57" s="26" t="str">
        <f aca="false">IF(A57="","",DATE(YEAR(A57),MONTH(A57),1))</f>
        <v/>
      </c>
      <c r="L57" s="21" t="str">
        <f aca="false">IF(J57="",IF(B57="","",IF(N(C57)&gt;=0,"Income","Expense")),IFERROR(INDEX(Lists!$B$2:$B$30,MATCH(J57,Lists!$A$2:$A$30,0)),""))</f>
        <v/>
      </c>
      <c r="M57" s="24"/>
      <c r="N57" s="27" t="str">
        <f aca="false">IF(B57="","",IFERROR(1000-SUMPRODUCT(MAX(ISNUMBER(SEARCH(Rules!$A$5:$A$204,B57))*(Rules!$A$5:$A$204&lt;&gt;"")*(1000-ROW(Rules!$A$5:$A$204)))),""))</f>
        <v/>
      </c>
    </row>
    <row r="58" customFormat="false" ht="15" hidden="false" customHeight="false" outlineLevel="0" collapsed="false">
      <c r="A58" s="23"/>
      <c r="B58" s="24"/>
      <c r="C58" s="25"/>
      <c r="D58" s="24"/>
      <c r="E58" s="21" t="str">
        <f aca="false">IF(OR(B58="",N(N58)=0,N58=1000),IF(B58="","","Check"),INDEX(Rules!$B:$B,N58))</f>
        <v/>
      </c>
      <c r="F58" s="21" t="str">
        <f aca="false">IF(OR(B58="",N(N58)=0,N58=1000),"",INDEX(Rules!$C:$C,N58))</f>
        <v/>
      </c>
      <c r="G58" s="24"/>
      <c r="H58" s="24"/>
      <c r="I58" s="20" t="str">
        <f aca="false">IF(B58="","",IF(G58&lt;&gt;"",G58,E58))</f>
        <v/>
      </c>
      <c r="J58" s="21" t="str">
        <f aca="false">IF(B58="","",IF(H58&lt;&gt;"",H58,F58))</f>
        <v/>
      </c>
      <c r="K58" s="26" t="str">
        <f aca="false">IF(A58="","",DATE(YEAR(A58),MONTH(A58),1))</f>
        <v/>
      </c>
      <c r="L58" s="21" t="str">
        <f aca="false">IF(J58="",IF(B58="","",IF(N(C58)&gt;=0,"Income","Expense")),IFERROR(INDEX(Lists!$B$2:$B$30,MATCH(J58,Lists!$A$2:$A$30,0)),""))</f>
        <v/>
      </c>
      <c r="M58" s="24"/>
      <c r="N58" s="27" t="str">
        <f aca="false">IF(B58="","",IFERROR(1000-SUMPRODUCT(MAX(ISNUMBER(SEARCH(Rules!$A$5:$A$204,B58))*(Rules!$A$5:$A$204&lt;&gt;"")*(1000-ROW(Rules!$A$5:$A$204)))),""))</f>
        <v/>
      </c>
    </row>
    <row r="59" customFormat="false" ht="15" hidden="false" customHeight="false" outlineLevel="0" collapsed="false">
      <c r="A59" s="23"/>
      <c r="B59" s="24"/>
      <c r="C59" s="25"/>
      <c r="D59" s="24"/>
      <c r="E59" s="21" t="str">
        <f aca="false">IF(OR(B59="",N(N59)=0,N59=1000),IF(B59="","","Check"),INDEX(Rules!$B:$B,N59))</f>
        <v/>
      </c>
      <c r="F59" s="21" t="str">
        <f aca="false">IF(OR(B59="",N(N59)=0,N59=1000),"",INDEX(Rules!$C:$C,N59))</f>
        <v/>
      </c>
      <c r="G59" s="24"/>
      <c r="H59" s="24"/>
      <c r="I59" s="20" t="str">
        <f aca="false">IF(B59="","",IF(G59&lt;&gt;"",G59,E59))</f>
        <v/>
      </c>
      <c r="J59" s="21" t="str">
        <f aca="false">IF(B59="","",IF(H59&lt;&gt;"",H59,F59))</f>
        <v/>
      </c>
      <c r="K59" s="26" t="str">
        <f aca="false">IF(A59="","",DATE(YEAR(A59),MONTH(A59),1))</f>
        <v/>
      </c>
      <c r="L59" s="21" t="str">
        <f aca="false">IF(J59="",IF(B59="","",IF(N(C59)&gt;=0,"Income","Expense")),IFERROR(INDEX(Lists!$B$2:$B$30,MATCH(J59,Lists!$A$2:$A$30,0)),""))</f>
        <v/>
      </c>
      <c r="M59" s="24"/>
      <c r="N59" s="27" t="str">
        <f aca="false">IF(B59="","",IFERROR(1000-SUMPRODUCT(MAX(ISNUMBER(SEARCH(Rules!$A$5:$A$204,B59))*(Rules!$A$5:$A$204&lt;&gt;"")*(1000-ROW(Rules!$A$5:$A$204)))),""))</f>
        <v/>
      </c>
    </row>
    <row r="60" customFormat="false" ht="15" hidden="false" customHeight="false" outlineLevel="0" collapsed="false">
      <c r="A60" s="23"/>
      <c r="B60" s="24"/>
      <c r="C60" s="25"/>
      <c r="D60" s="24"/>
      <c r="E60" s="21" t="str">
        <f aca="false">IF(OR(B60="",N(N60)=0,N60=1000),IF(B60="","","Check"),INDEX(Rules!$B:$B,N60))</f>
        <v/>
      </c>
      <c r="F60" s="21" t="str">
        <f aca="false">IF(OR(B60="",N(N60)=0,N60=1000),"",INDEX(Rules!$C:$C,N60))</f>
        <v/>
      </c>
      <c r="G60" s="24"/>
      <c r="H60" s="24"/>
      <c r="I60" s="20" t="str">
        <f aca="false">IF(B60="","",IF(G60&lt;&gt;"",G60,E60))</f>
        <v/>
      </c>
      <c r="J60" s="21" t="str">
        <f aca="false">IF(B60="","",IF(H60&lt;&gt;"",H60,F60))</f>
        <v/>
      </c>
      <c r="K60" s="26" t="str">
        <f aca="false">IF(A60="","",DATE(YEAR(A60),MONTH(A60),1))</f>
        <v/>
      </c>
      <c r="L60" s="21" t="str">
        <f aca="false">IF(J60="",IF(B60="","",IF(N(C60)&gt;=0,"Income","Expense")),IFERROR(INDEX(Lists!$B$2:$B$30,MATCH(J60,Lists!$A$2:$A$30,0)),""))</f>
        <v/>
      </c>
      <c r="M60" s="24"/>
      <c r="N60" s="27" t="str">
        <f aca="false">IF(B60="","",IFERROR(1000-SUMPRODUCT(MAX(ISNUMBER(SEARCH(Rules!$A$5:$A$204,B60))*(Rules!$A$5:$A$204&lt;&gt;"")*(1000-ROW(Rules!$A$5:$A$204)))),""))</f>
        <v/>
      </c>
    </row>
    <row r="61" customFormat="false" ht="15" hidden="false" customHeight="false" outlineLevel="0" collapsed="false">
      <c r="A61" s="23"/>
      <c r="B61" s="24"/>
      <c r="C61" s="25"/>
      <c r="D61" s="24"/>
      <c r="E61" s="21" t="str">
        <f aca="false">IF(OR(B61="",N(N61)=0,N61=1000),IF(B61="","","Check"),INDEX(Rules!$B:$B,N61))</f>
        <v/>
      </c>
      <c r="F61" s="21" t="str">
        <f aca="false">IF(OR(B61="",N(N61)=0,N61=1000),"",INDEX(Rules!$C:$C,N61))</f>
        <v/>
      </c>
      <c r="G61" s="24"/>
      <c r="H61" s="24"/>
      <c r="I61" s="20" t="str">
        <f aca="false">IF(B61="","",IF(G61&lt;&gt;"",G61,E61))</f>
        <v/>
      </c>
      <c r="J61" s="21" t="str">
        <f aca="false">IF(B61="","",IF(H61&lt;&gt;"",H61,F61))</f>
        <v/>
      </c>
      <c r="K61" s="26" t="str">
        <f aca="false">IF(A61="","",DATE(YEAR(A61),MONTH(A61),1))</f>
        <v/>
      </c>
      <c r="L61" s="21" t="str">
        <f aca="false">IF(J61="",IF(B61="","",IF(N(C61)&gt;=0,"Income","Expense")),IFERROR(INDEX(Lists!$B$2:$B$30,MATCH(J61,Lists!$A$2:$A$30,0)),""))</f>
        <v/>
      </c>
      <c r="M61" s="24"/>
      <c r="N61" s="27" t="str">
        <f aca="false">IF(B61="","",IFERROR(1000-SUMPRODUCT(MAX(ISNUMBER(SEARCH(Rules!$A$5:$A$204,B61))*(Rules!$A$5:$A$204&lt;&gt;"")*(1000-ROW(Rules!$A$5:$A$204)))),""))</f>
        <v/>
      </c>
    </row>
    <row r="62" customFormat="false" ht="15" hidden="false" customHeight="false" outlineLevel="0" collapsed="false">
      <c r="A62" s="23"/>
      <c r="B62" s="24"/>
      <c r="C62" s="25"/>
      <c r="D62" s="24"/>
      <c r="E62" s="21" t="str">
        <f aca="false">IF(OR(B62="",N(N62)=0,N62=1000),IF(B62="","","Check"),INDEX(Rules!$B:$B,N62))</f>
        <v/>
      </c>
      <c r="F62" s="21" t="str">
        <f aca="false">IF(OR(B62="",N(N62)=0,N62=1000),"",INDEX(Rules!$C:$C,N62))</f>
        <v/>
      </c>
      <c r="G62" s="24"/>
      <c r="H62" s="24"/>
      <c r="I62" s="20" t="str">
        <f aca="false">IF(B62="","",IF(G62&lt;&gt;"",G62,E62))</f>
        <v/>
      </c>
      <c r="J62" s="21" t="str">
        <f aca="false">IF(B62="","",IF(H62&lt;&gt;"",H62,F62))</f>
        <v/>
      </c>
      <c r="K62" s="26" t="str">
        <f aca="false">IF(A62="","",DATE(YEAR(A62),MONTH(A62),1))</f>
        <v/>
      </c>
      <c r="L62" s="21" t="str">
        <f aca="false">IF(J62="",IF(B62="","",IF(N(C62)&gt;=0,"Income","Expense")),IFERROR(INDEX(Lists!$B$2:$B$30,MATCH(J62,Lists!$A$2:$A$30,0)),""))</f>
        <v/>
      </c>
      <c r="M62" s="24"/>
      <c r="N62" s="27" t="str">
        <f aca="false">IF(B62="","",IFERROR(1000-SUMPRODUCT(MAX(ISNUMBER(SEARCH(Rules!$A$5:$A$204,B62))*(Rules!$A$5:$A$204&lt;&gt;"")*(1000-ROW(Rules!$A$5:$A$204)))),""))</f>
        <v/>
      </c>
    </row>
    <row r="63" customFormat="false" ht="15" hidden="false" customHeight="false" outlineLevel="0" collapsed="false">
      <c r="A63" s="23"/>
      <c r="B63" s="24"/>
      <c r="C63" s="25"/>
      <c r="D63" s="24"/>
      <c r="E63" s="21" t="str">
        <f aca="false">IF(OR(B63="",N(N63)=0,N63=1000),IF(B63="","","Check"),INDEX(Rules!$B:$B,N63))</f>
        <v/>
      </c>
      <c r="F63" s="21" t="str">
        <f aca="false">IF(OR(B63="",N(N63)=0,N63=1000),"",INDEX(Rules!$C:$C,N63))</f>
        <v/>
      </c>
      <c r="G63" s="24"/>
      <c r="H63" s="24"/>
      <c r="I63" s="20" t="str">
        <f aca="false">IF(B63="","",IF(G63&lt;&gt;"",G63,E63))</f>
        <v/>
      </c>
      <c r="J63" s="21" t="str">
        <f aca="false">IF(B63="","",IF(H63&lt;&gt;"",H63,F63))</f>
        <v/>
      </c>
      <c r="K63" s="26" t="str">
        <f aca="false">IF(A63="","",DATE(YEAR(A63),MONTH(A63),1))</f>
        <v/>
      </c>
      <c r="L63" s="21" t="str">
        <f aca="false">IF(J63="",IF(B63="","",IF(N(C63)&gt;=0,"Income","Expense")),IFERROR(INDEX(Lists!$B$2:$B$30,MATCH(J63,Lists!$A$2:$A$30,0)),""))</f>
        <v/>
      </c>
      <c r="M63" s="24"/>
      <c r="N63" s="27" t="str">
        <f aca="false">IF(B63="","",IFERROR(1000-SUMPRODUCT(MAX(ISNUMBER(SEARCH(Rules!$A$5:$A$204,B63))*(Rules!$A$5:$A$204&lt;&gt;"")*(1000-ROW(Rules!$A$5:$A$204)))),""))</f>
        <v/>
      </c>
    </row>
    <row r="64" customFormat="false" ht="15" hidden="false" customHeight="false" outlineLevel="0" collapsed="false">
      <c r="A64" s="23"/>
      <c r="B64" s="24"/>
      <c r="C64" s="25"/>
      <c r="D64" s="24"/>
      <c r="E64" s="21" t="str">
        <f aca="false">IF(OR(B64="",N(N64)=0,N64=1000),IF(B64="","","Check"),INDEX(Rules!$B:$B,N64))</f>
        <v/>
      </c>
      <c r="F64" s="21" t="str">
        <f aca="false">IF(OR(B64="",N(N64)=0,N64=1000),"",INDEX(Rules!$C:$C,N64))</f>
        <v/>
      </c>
      <c r="G64" s="24"/>
      <c r="H64" s="24"/>
      <c r="I64" s="20" t="str">
        <f aca="false">IF(B64="","",IF(G64&lt;&gt;"",G64,E64))</f>
        <v/>
      </c>
      <c r="J64" s="21" t="str">
        <f aca="false">IF(B64="","",IF(H64&lt;&gt;"",H64,F64))</f>
        <v/>
      </c>
      <c r="K64" s="26" t="str">
        <f aca="false">IF(A64="","",DATE(YEAR(A64),MONTH(A64),1))</f>
        <v/>
      </c>
      <c r="L64" s="21" t="str">
        <f aca="false">IF(J64="",IF(B64="","",IF(N(C64)&gt;=0,"Income","Expense")),IFERROR(INDEX(Lists!$B$2:$B$30,MATCH(J64,Lists!$A$2:$A$30,0)),""))</f>
        <v/>
      </c>
      <c r="M64" s="24"/>
      <c r="N64" s="27" t="str">
        <f aca="false">IF(B64="","",IFERROR(1000-SUMPRODUCT(MAX(ISNUMBER(SEARCH(Rules!$A$5:$A$204,B64))*(Rules!$A$5:$A$204&lt;&gt;"")*(1000-ROW(Rules!$A$5:$A$204)))),""))</f>
        <v/>
      </c>
    </row>
    <row r="65" customFormat="false" ht="15" hidden="false" customHeight="false" outlineLevel="0" collapsed="false">
      <c r="A65" s="23"/>
      <c r="B65" s="24"/>
      <c r="C65" s="25"/>
      <c r="D65" s="24"/>
      <c r="E65" s="21" t="str">
        <f aca="false">IF(OR(B65="",N(N65)=0,N65=1000),IF(B65="","","Check"),INDEX(Rules!$B:$B,N65))</f>
        <v/>
      </c>
      <c r="F65" s="21" t="str">
        <f aca="false">IF(OR(B65="",N(N65)=0,N65=1000),"",INDEX(Rules!$C:$C,N65))</f>
        <v/>
      </c>
      <c r="G65" s="24"/>
      <c r="H65" s="24"/>
      <c r="I65" s="20" t="str">
        <f aca="false">IF(B65="","",IF(G65&lt;&gt;"",G65,E65))</f>
        <v/>
      </c>
      <c r="J65" s="21" t="str">
        <f aca="false">IF(B65="","",IF(H65&lt;&gt;"",H65,F65))</f>
        <v/>
      </c>
      <c r="K65" s="26" t="str">
        <f aca="false">IF(A65="","",DATE(YEAR(A65),MONTH(A65),1))</f>
        <v/>
      </c>
      <c r="L65" s="21" t="str">
        <f aca="false">IF(J65="",IF(B65="","",IF(N(C65)&gt;=0,"Income","Expense")),IFERROR(INDEX(Lists!$B$2:$B$30,MATCH(J65,Lists!$A$2:$A$30,0)),""))</f>
        <v/>
      </c>
      <c r="M65" s="24"/>
      <c r="N65" s="27" t="str">
        <f aca="false">IF(B65="","",IFERROR(1000-SUMPRODUCT(MAX(ISNUMBER(SEARCH(Rules!$A$5:$A$204,B65))*(Rules!$A$5:$A$204&lt;&gt;"")*(1000-ROW(Rules!$A$5:$A$204)))),""))</f>
        <v/>
      </c>
    </row>
    <row r="66" customFormat="false" ht="15" hidden="false" customHeight="false" outlineLevel="0" collapsed="false">
      <c r="A66" s="23"/>
      <c r="B66" s="24"/>
      <c r="C66" s="25"/>
      <c r="D66" s="24"/>
      <c r="E66" s="21" t="str">
        <f aca="false">IF(OR(B66="",N(N66)=0,N66=1000),IF(B66="","","Check"),INDEX(Rules!$B:$B,N66))</f>
        <v/>
      </c>
      <c r="F66" s="21" t="str">
        <f aca="false">IF(OR(B66="",N(N66)=0,N66=1000),"",INDEX(Rules!$C:$C,N66))</f>
        <v/>
      </c>
      <c r="G66" s="24"/>
      <c r="H66" s="24"/>
      <c r="I66" s="20" t="str">
        <f aca="false">IF(B66="","",IF(G66&lt;&gt;"",G66,E66))</f>
        <v/>
      </c>
      <c r="J66" s="21" t="str">
        <f aca="false">IF(B66="","",IF(H66&lt;&gt;"",H66,F66))</f>
        <v/>
      </c>
      <c r="K66" s="26" t="str">
        <f aca="false">IF(A66="","",DATE(YEAR(A66),MONTH(A66),1))</f>
        <v/>
      </c>
      <c r="L66" s="21" t="str">
        <f aca="false">IF(J66="",IF(B66="","",IF(N(C66)&gt;=0,"Income","Expense")),IFERROR(INDEX(Lists!$B$2:$B$30,MATCH(J66,Lists!$A$2:$A$30,0)),""))</f>
        <v/>
      </c>
      <c r="M66" s="24"/>
      <c r="N66" s="27" t="str">
        <f aca="false">IF(B66="","",IFERROR(1000-SUMPRODUCT(MAX(ISNUMBER(SEARCH(Rules!$A$5:$A$204,B66))*(Rules!$A$5:$A$204&lt;&gt;"")*(1000-ROW(Rules!$A$5:$A$204)))),""))</f>
        <v/>
      </c>
    </row>
    <row r="67" customFormat="false" ht="15" hidden="false" customHeight="false" outlineLevel="0" collapsed="false">
      <c r="A67" s="23"/>
      <c r="B67" s="24"/>
      <c r="C67" s="25"/>
      <c r="D67" s="24"/>
      <c r="E67" s="21" t="str">
        <f aca="false">IF(OR(B67="",N(N67)=0,N67=1000),IF(B67="","","Check"),INDEX(Rules!$B:$B,N67))</f>
        <v/>
      </c>
      <c r="F67" s="21" t="str">
        <f aca="false">IF(OR(B67="",N(N67)=0,N67=1000),"",INDEX(Rules!$C:$C,N67))</f>
        <v/>
      </c>
      <c r="G67" s="24"/>
      <c r="H67" s="24"/>
      <c r="I67" s="20" t="str">
        <f aca="false">IF(B67="","",IF(G67&lt;&gt;"",G67,E67))</f>
        <v/>
      </c>
      <c r="J67" s="21" t="str">
        <f aca="false">IF(B67="","",IF(H67&lt;&gt;"",H67,F67))</f>
        <v/>
      </c>
      <c r="K67" s="26" t="str">
        <f aca="false">IF(A67="","",DATE(YEAR(A67),MONTH(A67),1))</f>
        <v/>
      </c>
      <c r="L67" s="21" t="str">
        <f aca="false">IF(J67="",IF(B67="","",IF(N(C67)&gt;=0,"Income","Expense")),IFERROR(INDEX(Lists!$B$2:$B$30,MATCH(J67,Lists!$A$2:$A$30,0)),""))</f>
        <v/>
      </c>
      <c r="M67" s="24"/>
      <c r="N67" s="27" t="str">
        <f aca="false">IF(B67="","",IFERROR(1000-SUMPRODUCT(MAX(ISNUMBER(SEARCH(Rules!$A$5:$A$204,B67))*(Rules!$A$5:$A$204&lt;&gt;"")*(1000-ROW(Rules!$A$5:$A$204)))),""))</f>
        <v/>
      </c>
    </row>
    <row r="68" customFormat="false" ht="15" hidden="false" customHeight="false" outlineLevel="0" collapsed="false">
      <c r="A68" s="23"/>
      <c r="B68" s="24"/>
      <c r="C68" s="25"/>
      <c r="D68" s="24"/>
      <c r="E68" s="21" t="str">
        <f aca="false">IF(OR(B68="",N(N68)=0,N68=1000),IF(B68="","","Check"),INDEX(Rules!$B:$B,N68))</f>
        <v/>
      </c>
      <c r="F68" s="21" t="str">
        <f aca="false">IF(OR(B68="",N(N68)=0,N68=1000),"",INDEX(Rules!$C:$C,N68))</f>
        <v/>
      </c>
      <c r="G68" s="24"/>
      <c r="H68" s="24"/>
      <c r="I68" s="20" t="str">
        <f aca="false">IF(B68="","",IF(G68&lt;&gt;"",G68,E68))</f>
        <v/>
      </c>
      <c r="J68" s="21" t="str">
        <f aca="false">IF(B68="","",IF(H68&lt;&gt;"",H68,F68))</f>
        <v/>
      </c>
      <c r="K68" s="26" t="str">
        <f aca="false">IF(A68="","",DATE(YEAR(A68),MONTH(A68),1))</f>
        <v/>
      </c>
      <c r="L68" s="21" t="str">
        <f aca="false">IF(J68="",IF(B68="","",IF(N(C68)&gt;=0,"Income","Expense")),IFERROR(INDEX(Lists!$B$2:$B$30,MATCH(J68,Lists!$A$2:$A$30,0)),""))</f>
        <v/>
      </c>
      <c r="M68" s="24"/>
      <c r="N68" s="27" t="str">
        <f aca="false">IF(B68="","",IFERROR(1000-SUMPRODUCT(MAX(ISNUMBER(SEARCH(Rules!$A$5:$A$204,B68))*(Rules!$A$5:$A$204&lt;&gt;"")*(1000-ROW(Rules!$A$5:$A$204)))),""))</f>
        <v/>
      </c>
    </row>
    <row r="69" customFormat="false" ht="15" hidden="false" customHeight="false" outlineLevel="0" collapsed="false">
      <c r="A69" s="23"/>
      <c r="B69" s="24"/>
      <c r="C69" s="25"/>
      <c r="D69" s="24"/>
      <c r="E69" s="21" t="str">
        <f aca="false">IF(OR(B69="",N(N69)=0,N69=1000),IF(B69="","","Check"),INDEX(Rules!$B:$B,N69))</f>
        <v/>
      </c>
      <c r="F69" s="21" t="str">
        <f aca="false">IF(OR(B69="",N(N69)=0,N69=1000),"",INDEX(Rules!$C:$C,N69))</f>
        <v/>
      </c>
      <c r="G69" s="24"/>
      <c r="H69" s="24"/>
      <c r="I69" s="20" t="str">
        <f aca="false">IF(B69="","",IF(G69&lt;&gt;"",G69,E69))</f>
        <v/>
      </c>
      <c r="J69" s="21" t="str">
        <f aca="false">IF(B69="","",IF(H69&lt;&gt;"",H69,F69))</f>
        <v/>
      </c>
      <c r="K69" s="26" t="str">
        <f aca="false">IF(A69="","",DATE(YEAR(A69),MONTH(A69),1))</f>
        <v/>
      </c>
      <c r="L69" s="21" t="str">
        <f aca="false">IF(J69="",IF(B69="","",IF(N(C69)&gt;=0,"Income","Expense")),IFERROR(INDEX(Lists!$B$2:$B$30,MATCH(J69,Lists!$A$2:$A$30,0)),""))</f>
        <v/>
      </c>
      <c r="M69" s="24"/>
      <c r="N69" s="27" t="str">
        <f aca="false">IF(B69="","",IFERROR(1000-SUMPRODUCT(MAX(ISNUMBER(SEARCH(Rules!$A$5:$A$204,B69))*(Rules!$A$5:$A$204&lt;&gt;"")*(1000-ROW(Rules!$A$5:$A$204)))),""))</f>
        <v/>
      </c>
    </row>
    <row r="70" customFormat="false" ht="15" hidden="false" customHeight="false" outlineLevel="0" collapsed="false">
      <c r="A70" s="23"/>
      <c r="B70" s="24"/>
      <c r="C70" s="25"/>
      <c r="D70" s="24"/>
      <c r="E70" s="21" t="str">
        <f aca="false">IF(OR(B70="",N(N70)=0,N70=1000),IF(B70="","","Check"),INDEX(Rules!$B:$B,N70))</f>
        <v/>
      </c>
      <c r="F70" s="21" t="str">
        <f aca="false">IF(OR(B70="",N(N70)=0,N70=1000),"",INDEX(Rules!$C:$C,N70))</f>
        <v/>
      </c>
      <c r="G70" s="24"/>
      <c r="H70" s="24"/>
      <c r="I70" s="20" t="str">
        <f aca="false">IF(B70="","",IF(G70&lt;&gt;"",G70,E70))</f>
        <v/>
      </c>
      <c r="J70" s="21" t="str">
        <f aca="false">IF(B70="","",IF(H70&lt;&gt;"",H70,F70))</f>
        <v/>
      </c>
      <c r="K70" s="26" t="str">
        <f aca="false">IF(A70="","",DATE(YEAR(A70),MONTH(A70),1))</f>
        <v/>
      </c>
      <c r="L70" s="21" t="str">
        <f aca="false">IF(J70="",IF(B70="","",IF(N(C70)&gt;=0,"Income","Expense")),IFERROR(INDEX(Lists!$B$2:$B$30,MATCH(J70,Lists!$A$2:$A$30,0)),""))</f>
        <v/>
      </c>
      <c r="M70" s="24"/>
      <c r="N70" s="27" t="str">
        <f aca="false">IF(B70="","",IFERROR(1000-SUMPRODUCT(MAX(ISNUMBER(SEARCH(Rules!$A$5:$A$204,B70))*(Rules!$A$5:$A$204&lt;&gt;"")*(1000-ROW(Rules!$A$5:$A$204)))),""))</f>
        <v/>
      </c>
    </row>
    <row r="71" customFormat="false" ht="15" hidden="false" customHeight="false" outlineLevel="0" collapsed="false">
      <c r="A71" s="23"/>
      <c r="B71" s="24"/>
      <c r="C71" s="25"/>
      <c r="D71" s="24"/>
      <c r="E71" s="21" t="str">
        <f aca="false">IF(OR(B71="",N(N71)=0,N71=1000),IF(B71="","","Check"),INDEX(Rules!$B:$B,N71))</f>
        <v/>
      </c>
      <c r="F71" s="21" t="str">
        <f aca="false">IF(OR(B71="",N(N71)=0,N71=1000),"",INDEX(Rules!$C:$C,N71))</f>
        <v/>
      </c>
      <c r="G71" s="24"/>
      <c r="H71" s="24"/>
      <c r="I71" s="20" t="str">
        <f aca="false">IF(B71="","",IF(G71&lt;&gt;"",G71,E71))</f>
        <v/>
      </c>
      <c r="J71" s="21" t="str">
        <f aca="false">IF(B71="","",IF(H71&lt;&gt;"",H71,F71))</f>
        <v/>
      </c>
      <c r="K71" s="26" t="str">
        <f aca="false">IF(A71="","",DATE(YEAR(A71),MONTH(A71),1))</f>
        <v/>
      </c>
      <c r="L71" s="21" t="str">
        <f aca="false">IF(J71="",IF(B71="","",IF(N(C71)&gt;=0,"Income","Expense")),IFERROR(INDEX(Lists!$B$2:$B$30,MATCH(J71,Lists!$A$2:$A$30,0)),""))</f>
        <v/>
      </c>
      <c r="M71" s="24"/>
      <c r="N71" s="27" t="str">
        <f aca="false">IF(B71="","",IFERROR(1000-SUMPRODUCT(MAX(ISNUMBER(SEARCH(Rules!$A$5:$A$204,B71))*(Rules!$A$5:$A$204&lt;&gt;"")*(1000-ROW(Rules!$A$5:$A$204)))),""))</f>
        <v/>
      </c>
    </row>
    <row r="72" customFormat="false" ht="15" hidden="false" customHeight="false" outlineLevel="0" collapsed="false">
      <c r="A72" s="23"/>
      <c r="B72" s="24"/>
      <c r="C72" s="25"/>
      <c r="D72" s="24"/>
      <c r="E72" s="21" t="str">
        <f aca="false">IF(OR(B72="",N(N72)=0,N72=1000),IF(B72="","","Check"),INDEX(Rules!$B:$B,N72))</f>
        <v/>
      </c>
      <c r="F72" s="21" t="str">
        <f aca="false">IF(OR(B72="",N(N72)=0,N72=1000),"",INDEX(Rules!$C:$C,N72))</f>
        <v/>
      </c>
      <c r="G72" s="24"/>
      <c r="H72" s="24"/>
      <c r="I72" s="20" t="str">
        <f aca="false">IF(B72="","",IF(G72&lt;&gt;"",G72,E72))</f>
        <v/>
      </c>
      <c r="J72" s="21" t="str">
        <f aca="false">IF(B72="","",IF(H72&lt;&gt;"",H72,F72))</f>
        <v/>
      </c>
      <c r="K72" s="26" t="str">
        <f aca="false">IF(A72="","",DATE(YEAR(A72),MONTH(A72),1))</f>
        <v/>
      </c>
      <c r="L72" s="21" t="str">
        <f aca="false">IF(J72="",IF(B72="","",IF(N(C72)&gt;=0,"Income","Expense")),IFERROR(INDEX(Lists!$B$2:$B$30,MATCH(J72,Lists!$A$2:$A$30,0)),""))</f>
        <v/>
      </c>
      <c r="M72" s="24"/>
      <c r="N72" s="27" t="str">
        <f aca="false">IF(B72="","",IFERROR(1000-SUMPRODUCT(MAX(ISNUMBER(SEARCH(Rules!$A$5:$A$204,B72))*(Rules!$A$5:$A$204&lt;&gt;"")*(1000-ROW(Rules!$A$5:$A$204)))),""))</f>
        <v/>
      </c>
    </row>
    <row r="73" customFormat="false" ht="15" hidden="false" customHeight="false" outlineLevel="0" collapsed="false">
      <c r="A73" s="23"/>
      <c r="B73" s="24"/>
      <c r="C73" s="25"/>
      <c r="D73" s="24"/>
      <c r="E73" s="21" t="str">
        <f aca="false">IF(OR(B73="",N(N73)=0,N73=1000),IF(B73="","","Check"),INDEX(Rules!$B:$B,N73))</f>
        <v/>
      </c>
      <c r="F73" s="21" t="str">
        <f aca="false">IF(OR(B73="",N(N73)=0,N73=1000),"",INDEX(Rules!$C:$C,N73))</f>
        <v/>
      </c>
      <c r="G73" s="24"/>
      <c r="H73" s="24"/>
      <c r="I73" s="20" t="str">
        <f aca="false">IF(B73="","",IF(G73&lt;&gt;"",G73,E73))</f>
        <v/>
      </c>
      <c r="J73" s="21" t="str">
        <f aca="false">IF(B73="","",IF(H73&lt;&gt;"",H73,F73))</f>
        <v/>
      </c>
      <c r="K73" s="26" t="str">
        <f aca="false">IF(A73="","",DATE(YEAR(A73),MONTH(A73),1))</f>
        <v/>
      </c>
      <c r="L73" s="21" t="str">
        <f aca="false">IF(J73="",IF(B73="","",IF(N(C73)&gt;=0,"Income","Expense")),IFERROR(INDEX(Lists!$B$2:$B$30,MATCH(J73,Lists!$A$2:$A$30,0)),""))</f>
        <v/>
      </c>
      <c r="M73" s="24"/>
      <c r="N73" s="27" t="str">
        <f aca="false">IF(B73="","",IFERROR(1000-SUMPRODUCT(MAX(ISNUMBER(SEARCH(Rules!$A$5:$A$204,B73))*(Rules!$A$5:$A$204&lt;&gt;"")*(1000-ROW(Rules!$A$5:$A$204)))),""))</f>
        <v/>
      </c>
    </row>
    <row r="74" customFormat="false" ht="15" hidden="false" customHeight="false" outlineLevel="0" collapsed="false">
      <c r="A74" s="23"/>
      <c r="B74" s="24"/>
      <c r="C74" s="25"/>
      <c r="D74" s="24"/>
      <c r="E74" s="21" t="str">
        <f aca="false">IF(OR(B74="",N(N74)=0,N74=1000),IF(B74="","","Check"),INDEX(Rules!$B:$B,N74))</f>
        <v/>
      </c>
      <c r="F74" s="21" t="str">
        <f aca="false">IF(OR(B74="",N(N74)=0,N74=1000),"",INDEX(Rules!$C:$C,N74))</f>
        <v/>
      </c>
      <c r="G74" s="24"/>
      <c r="H74" s="24"/>
      <c r="I74" s="20" t="str">
        <f aca="false">IF(B74="","",IF(G74&lt;&gt;"",G74,E74))</f>
        <v/>
      </c>
      <c r="J74" s="21" t="str">
        <f aca="false">IF(B74="","",IF(H74&lt;&gt;"",H74,F74))</f>
        <v/>
      </c>
      <c r="K74" s="26" t="str">
        <f aca="false">IF(A74="","",DATE(YEAR(A74),MONTH(A74),1))</f>
        <v/>
      </c>
      <c r="L74" s="21" t="str">
        <f aca="false">IF(J74="",IF(B74="","",IF(N(C74)&gt;=0,"Income","Expense")),IFERROR(INDEX(Lists!$B$2:$B$30,MATCH(J74,Lists!$A$2:$A$30,0)),""))</f>
        <v/>
      </c>
      <c r="M74" s="24"/>
      <c r="N74" s="27" t="str">
        <f aca="false">IF(B74="","",IFERROR(1000-SUMPRODUCT(MAX(ISNUMBER(SEARCH(Rules!$A$5:$A$204,B74))*(Rules!$A$5:$A$204&lt;&gt;"")*(1000-ROW(Rules!$A$5:$A$204)))),""))</f>
        <v/>
      </c>
    </row>
    <row r="75" customFormat="false" ht="15" hidden="false" customHeight="false" outlineLevel="0" collapsed="false">
      <c r="A75" s="23"/>
      <c r="B75" s="24"/>
      <c r="C75" s="25"/>
      <c r="D75" s="24"/>
      <c r="E75" s="21" t="str">
        <f aca="false">IF(OR(B75="",N(N75)=0,N75=1000),IF(B75="","","Check"),INDEX(Rules!$B:$B,N75))</f>
        <v/>
      </c>
      <c r="F75" s="21" t="str">
        <f aca="false">IF(OR(B75="",N(N75)=0,N75=1000),"",INDEX(Rules!$C:$C,N75))</f>
        <v/>
      </c>
      <c r="G75" s="24"/>
      <c r="H75" s="24"/>
      <c r="I75" s="20" t="str">
        <f aca="false">IF(B75="","",IF(G75&lt;&gt;"",G75,E75))</f>
        <v/>
      </c>
      <c r="J75" s="21" t="str">
        <f aca="false">IF(B75="","",IF(H75&lt;&gt;"",H75,F75))</f>
        <v/>
      </c>
      <c r="K75" s="26" t="str">
        <f aca="false">IF(A75="","",DATE(YEAR(A75),MONTH(A75),1))</f>
        <v/>
      </c>
      <c r="L75" s="21" t="str">
        <f aca="false">IF(J75="",IF(B75="","",IF(N(C75)&gt;=0,"Income","Expense")),IFERROR(INDEX(Lists!$B$2:$B$30,MATCH(J75,Lists!$A$2:$A$30,0)),""))</f>
        <v/>
      </c>
      <c r="M75" s="24"/>
      <c r="N75" s="27" t="str">
        <f aca="false">IF(B75="","",IFERROR(1000-SUMPRODUCT(MAX(ISNUMBER(SEARCH(Rules!$A$5:$A$204,B75))*(Rules!$A$5:$A$204&lt;&gt;"")*(1000-ROW(Rules!$A$5:$A$204)))),""))</f>
        <v/>
      </c>
    </row>
    <row r="76" customFormat="false" ht="15" hidden="false" customHeight="false" outlineLevel="0" collapsed="false">
      <c r="A76" s="23"/>
      <c r="B76" s="24"/>
      <c r="C76" s="25"/>
      <c r="D76" s="24"/>
      <c r="E76" s="21" t="str">
        <f aca="false">IF(OR(B76="",N(N76)=0,N76=1000),IF(B76="","","Check"),INDEX(Rules!$B:$B,N76))</f>
        <v/>
      </c>
      <c r="F76" s="21" t="str">
        <f aca="false">IF(OR(B76="",N(N76)=0,N76=1000),"",INDEX(Rules!$C:$C,N76))</f>
        <v/>
      </c>
      <c r="G76" s="24"/>
      <c r="H76" s="24"/>
      <c r="I76" s="20" t="str">
        <f aca="false">IF(B76="","",IF(G76&lt;&gt;"",G76,E76))</f>
        <v/>
      </c>
      <c r="J76" s="21" t="str">
        <f aca="false">IF(B76="","",IF(H76&lt;&gt;"",H76,F76))</f>
        <v/>
      </c>
      <c r="K76" s="26" t="str">
        <f aca="false">IF(A76="","",DATE(YEAR(A76),MONTH(A76),1))</f>
        <v/>
      </c>
      <c r="L76" s="21" t="str">
        <f aca="false">IF(J76="",IF(B76="","",IF(N(C76)&gt;=0,"Income","Expense")),IFERROR(INDEX(Lists!$B$2:$B$30,MATCH(J76,Lists!$A$2:$A$30,0)),""))</f>
        <v/>
      </c>
      <c r="M76" s="24"/>
      <c r="N76" s="27" t="str">
        <f aca="false">IF(B76="","",IFERROR(1000-SUMPRODUCT(MAX(ISNUMBER(SEARCH(Rules!$A$5:$A$204,B76))*(Rules!$A$5:$A$204&lt;&gt;"")*(1000-ROW(Rules!$A$5:$A$204)))),""))</f>
        <v/>
      </c>
    </row>
    <row r="77" customFormat="false" ht="15" hidden="false" customHeight="false" outlineLevel="0" collapsed="false">
      <c r="A77" s="23"/>
      <c r="B77" s="24"/>
      <c r="C77" s="25"/>
      <c r="D77" s="24"/>
      <c r="E77" s="21" t="str">
        <f aca="false">IF(OR(B77="",N(N77)=0,N77=1000),IF(B77="","","Check"),INDEX(Rules!$B:$B,N77))</f>
        <v/>
      </c>
      <c r="F77" s="21" t="str">
        <f aca="false">IF(OR(B77="",N(N77)=0,N77=1000),"",INDEX(Rules!$C:$C,N77))</f>
        <v/>
      </c>
      <c r="G77" s="24"/>
      <c r="H77" s="24"/>
      <c r="I77" s="20" t="str">
        <f aca="false">IF(B77="","",IF(G77&lt;&gt;"",G77,E77))</f>
        <v/>
      </c>
      <c r="J77" s="21" t="str">
        <f aca="false">IF(B77="","",IF(H77&lt;&gt;"",H77,F77))</f>
        <v/>
      </c>
      <c r="K77" s="26" t="str">
        <f aca="false">IF(A77="","",DATE(YEAR(A77),MONTH(A77),1))</f>
        <v/>
      </c>
      <c r="L77" s="21" t="str">
        <f aca="false">IF(J77="",IF(B77="","",IF(N(C77)&gt;=0,"Income","Expense")),IFERROR(INDEX(Lists!$B$2:$B$30,MATCH(J77,Lists!$A$2:$A$30,0)),""))</f>
        <v/>
      </c>
      <c r="M77" s="24"/>
      <c r="N77" s="27" t="str">
        <f aca="false">IF(B77="","",IFERROR(1000-SUMPRODUCT(MAX(ISNUMBER(SEARCH(Rules!$A$5:$A$204,B77))*(Rules!$A$5:$A$204&lt;&gt;"")*(1000-ROW(Rules!$A$5:$A$204)))),""))</f>
        <v/>
      </c>
    </row>
    <row r="78" customFormat="false" ht="15" hidden="false" customHeight="false" outlineLevel="0" collapsed="false">
      <c r="A78" s="23"/>
      <c r="B78" s="24"/>
      <c r="C78" s="25"/>
      <c r="D78" s="24"/>
      <c r="E78" s="21" t="str">
        <f aca="false">IF(OR(B78="",N(N78)=0,N78=1000),IF(B78="","","Check"),INDEX(Rules!$B:$B,N78))</f>
        <v/>
      </c>
      <c r="F78" s="21" t="str">
        <f aca="false">IF(OR(B78="",N(N78)=0,N78=1000),"",INDEX(Rules!$C:$C,N78))</f>
        <v/>
      </c>
      <c r="G78" s="24"/>
      <c r="H78" s="24"/>
      <c r="I78" s="20" t="str">
        <f aca="false">IF(B78="","",IF(G78&lt;&gt;"",G78,E78))</f>
        <v/>
      </c>
      <c r="J78" s="21" t="str">
        <f aca="false">IF(B78="","",IF(H78&lt;&gt;"",H78,F78))</f>
        <v/>
      </c>
      <c r="K78" s="26" t="str">
        <f aca="false">IF(A78="","",DATE(YEAR(A78),MONTH(A78),1))</f>
        <v/>
      </c>
      <c r="L78" s="21" t="str">
        <f aca="false">IF(J78="",IF(B78="","",IF(N(C78)&gt;=0,"Income","Expense")),IFERROR(INDEX(Lists!$B$2:$B$30,MATCH(J78,Lists!$A$2:$A$30,0)),""))</f>
        <v/>
      </c>
      <c r="M78" s="24"/>
      <c r="N78" s="27" t="str">
        <f aca="false">IF(B78="","",IFERROR(1000-SUMPRODUCT(MAX(ISNUMBER(SEARCH(Rules!$A$5:$A$204,B78))*(Rules!$A$5:$A$204&lt;&gt;"")*(1000-ROW(Rules!$A$5:$A$204)))),""))</f>
        <v/>
      </c>
    </row>
    <row r="79" customFormat="false" ht="15" hidden="false" customHeight="false" outlineLevel="0" collapsed="false">
      <c r="A79" s="23"/>
      <c r="B79" s="24"/>
      <c r="C79" s="25"/>
      <c r="D79" s="24"/>
      <c r="E79" s="21" t="str">
        <f aca="false">IF(OR(B79="",N(N79)=0,N79=1000),IF(B79="","","Check"),INDEX(Rules!$B:$B,N79))</f>
        <v/>
      </c>
      <c r="F79" s="21" t="str">
        <f aca="false">IF(OR(B79="",N(N79)=0,N79=1000),"",INDEX(Rules!$C:$C,N79))</f>
        <v/>
      </c>
      <c r="G79" s="24"/>
      <c r="H79" s="24"/>
      <c r="I79" s="20" t="str">
        <f aca="false">IF(B79="","",IF(G79&lt;&gt;"",G79,E79))</f>
        <v/>
      </c>
      <c r="J79" s="21" t="str">
        <f aca="false">IF(B79="","",IF(H79&lt;&gt;"",H79,F79))</f>
        <v/>
      </c>
      <c r="K79" s="26" t="str">
        <f aca="false">IF(A79="","",DATE(YEAR(A79),MONTH(A79),1))</f>
        <v/>
      </c>
      <c r="L79" s="21" t="str">
        <f aca="false">IF(J79="",IF(B79="","",IF(N(C79)&gt;=0,"Income","Expense")),IFERROR(INDEX(Lists!$B$2:$B$30,MATCH(J79,Lists!$A$2:$A$30,0)),""))</f>
        <v/>
      </c>
      <c r="M79" s="24"/>
      <c r="N79" s="27" t="str">
        <f aca="false">IF(B79="","",IFERROR(1000-SUMPRODUCT(MAX(ISNUMBER(SEARCH(Rules!$A$5:$A$204,B79))*(Rules!$A$5:$A$204&lt;&gt;"")*(1000-ROW(Rules!$A$5:$A$204)))),""))</f>
        <v/>
      </c>
    </row>
    <row r="80" customFormat="false" ht="15" hidden="false" customHeight="false" outlineLevel="0" collapsed="false">
      <c r="A80" s="23"/>
      <c r="B80" s="24"/>
      <c r="C80" s="25"/>
      <c r="D80" s="24"/>
      <c r="E80" s="21" t="str">
        <f aca="false">IF(OR(B80="",N(N80)=0,N80=1000),IF(B80="","","Check"),INDEX(Rules!$B:$B,N80))</f>
        <v/>
      </c>
      <c r="F80" s="21" t="str">
        <f aca="false">IF(OR(B80="",N(N80)=0,N80=1000),"",INDEX(Rules!$C:$C,N80))</f>
        <v/>
      </c>
      <c r="G80" s="24"/>
      <c r="H80" s="24"/>
      <c r="I80" s="20" t="str">
        <f aca="false">IF(B80="","",IF(G80&lt;&gt;"",G80,E80))</f>
        <v/>
      </c>
      <c r="J80" s="21" t="str">
        <f aca="false">IF(B80="","",IF(H80&lt;&gt;"",H80,F80))</f>
        <v/>
      </c>
      <c r="K80" s="26" t="str">
        <f aca="false">IF(A80="","",DATE(YEAR(A80),MONTH(A80),1))</f>
        <v/>
      </c>
      <c r="L80" s="21" t="str">
        <f aca="false">IF(J80="",IF(B80="","",IF(N(C80)&gt;=0,"Income","Expense")),IFERROR(INDEX(Lists!$B$2:$B$30,MATCH(J80,Lists!$A$2:$A$30,0)),""))</f>
        <v/>
      </c>
      <c r="M80" s="24"/>
      <c r="N80" s="27" t="str">
        <f aca="false">IF(B80="","",IFERROR(1000-SUMPRODUCT(MAX(ISNUMBER(SEARCH(Rules!$A$5:$A$204,B80))*(Rules!$A$5:$A$204&lt;&gt;"")*(1000-ROW(Rules!$A$5:$A$204)))),""))</f>
        <v/>
      </c>
    </row>
    <row r="81" customFormat="false" ht="15" hidden="false" customHeight="false" outlineLevel="0" collapsed="false">
      <c r="A81" s="23"/>
      <c r="B81" s="24"/>
      <c r="C81" s="25"/>
      <c r="D81" s="24"/>
      <c r="E81" s="21" t="str">
        <f aca="false">IF(OR(B81="",N(N81)=0,N81=1000),IF(B81="","","Check"),INDEX(Rules!$B:$B,N81))</f>
        <v/>
      </c>
      <c r="F81" s="21" t="str">
        <f aca="false">IF(OR(B81="",N(N81)=0,N81=1000),"",INDEX(Rules!$C:$C,N81))</f>
        <v/>
      </c>
      <c r="G81" s="24"/>
      <c r="H81" s="24"/>
      <c r="I81" s="20" t="str">
        <f aca="false">IF(B81="","",IF(G81&lt;&gt;"",G81,E81))</f>
        <v/>
      </c>
      <c r="J81" s="21" t="str">
        <f aca="false">IF(B81="","",IF(H81&lt;&gt;"",H81,F81))</f>
        <v/>
      </c>
      <c r="K81" s="26" t="str">
        <f aca="false">IF(A81="","",DATE(YEAR(A81),MONTH(A81),1))</f>
        <v/>
      </c>
      <c r="L81" s="21" t="str">
        <f aca="false">IF(J81="",IF(B81="","",IF(N(C81)&gt;=0,"Income","Expense")),IFERROR(INDEX(Lists!$B$2:$B$30,MATCH(J81,Lists!$A$2:$A$30,0)),""))</f>
        <v/>
      </c>
      <c r="M81" s="24"/>
      <c r="N81" s="27" t="str">
        <f aca="false">IF(B81="","",IFERROR(1000-SUMPRODUCT(MAX(ISNUMBER(SEARCH(Rules!$A$5:$A$204,B81))*(Rules!$A$5:$A$204&lt;&gt;"")*(1000-ROW(Rules!$A$5:$A$204)))),""))</f>
        <v/>
      </c>
    </row>
    <row r="82" customFormat="false" ht="15" hidden="false" customHeight="false" outlineLevel="0" collapsed="false">
      <c r="A82" s="23"/>
      <c r="B82" s="24"/>
      <c r="C82" s="25"/>
      <c r="D82" s="24"/>
      <c r="E82" s="21" t="str">
        <f aca="false">IF(OR(B82="",N(N82)=0,N82=1000),IF(B82="","","Check"),INDEX(Rules!$B:$B,N82))</f>
        <v/>
      </c>
      <c r="F82" s="21" t="str">
        <f aca="false">IF(OR(B82="",N(N82)=0,N82=1000),"",INDEX(Rules!$C:$C,N82))</f>
        <v/>
      </c>
      <c r="G82" s="24"/>
      <c r="H82" s="24"/>
      <c r="I82" s="20" t="str">
        <f aca="false">IF(B82="","",IF(G82&lt;&gt;"",G82,E82))</f>
        <v/>
      </c>
      <c r="J82" s="21" t="str">
        <f aca="false">IF(B82="","",IF(H82&lt;&gt;"",H82,F82))</f>
        <v/>
      </c>
      <c r="K82" s="26" t="str">
        <f aca="false">IF(A82="","",DATE(YEAR(A82),MONTH(A82),1))</f>
        <v/>
      </c>
      <c r="L82" s="21" t="str">
        <f aca="false">IF(J82="",IF(B82="","",IF(N(C82)&gt;=0,"Income","Expense")),IFERROR(INDEX(Lists!$B$2:$B$30,MATCH(J82,Lists!$A$2:$A$30,0)),""))</f>
        <v/>
      </c>
      <c r="M82" s="24"/>
      <c r="N82" s="27" t="str">
        <f aca="false">IF(B82="","",IFERROR(1000-SUMPRODUCT(MAX(ISNUMBER(SEARCH(Rules!$A$5:$A$204,B82))*(Rules!$A$5:$A$204&lt;&gt;"")*(1000-ROW(Rules!$A$5:$A$204)))),""))</f>
        <v/>
      </c>
    </row>
    <row r="83" customFormat="false" ht="15" hidden="false" customHeight="false" outlineLevel="0" collapsed="false">
      <c r="A83" s="23"/>
      <c r="B83" s="24"/>
      <c r="C83" s="25"/>
      <c r="D83" s="24"/>
      <c r="E83" s="21" t="str">
        <f aca="false">IF(OR(B83="",N(N83)=0,N83=1000),IF(B83="","","Check"),INDEX(Rules!$B:$B,N83))</f>
        <v/>
      </c>
      <c r="F83" s="21" t="str">
        <f aca="false">IF(OR(B83="",N(N83)=0,N83=1000),"",INDEX(Rules!$C:$C,N83))</f>
        <v/>
      </c>
      <c r="G83" s="24"/>
      <c r="H83" s="24"/>
      <c r="I83" s="20" t="str">
        <f aca="false">IF(B83="","",IF(G83&lt;&gt;"",G83,E83))</f>
        <v/>
      </c>
      <c r="J83" s="21" t="str">
        <f aca="false">IF(B83="","",IF(H83&lt;&gt;"",H83,F83))</f>
        <v/>
      </c>
      <c r="K83" s="26" t="str">
        <f aca="false">IF(A83="","",DATE(YEAR(A83),MONTH(A83),1))</f>
        <v/>
      </c>
      <c r="L83" s="21" t="str">
        <f aca="false">IF(J83="",IF(B83="","",IF(N(C83)&gt;=0,"Income","Expense")),IFERROR(INDEX(Lists!$B$2:$B$30,MATCH(J83,Lists!$A$2:$A$30,0)),""))</f>
        <v/>
      </c>
      <c r="M83" s="24"/>
      <c r="N83" s="27" t="str">
        <f aca="false">IF(B83="","",IFERROR(1000-SUMPRODUCT(MAX(ISNUMBER(SEARCH(Rules!$A$5:$A$204,B83))*(Rules!$A$5:$A$204&lt;&gt;"")*(1000-ROW(Rules!$A$5:$A$204)))),""))</f>
        <v/>
      </c>
    </row>
    <row r="84" customFormat="false" ht="15" hidden="false" customHeight="false" outlineLevel="0" collapsed="false">
      <c r="A84" s="23"/>
      <c r="B84" s="24"/>
      <c r="C84" s="25"/>
      <c r="D84" s="24"/>
      <c r="E84" s="21" t="str">
        <f aca="false">IF(OR(B84="",N(N84)=0,N84=1000),IF(B84="","","Check"),INDEX(Rules!$B:$B,N84))</f>
        <v/>
      </c>
      <c r="F84" s="21" t="str">
        <f aca="false">IF(OR(B84="",N(N84)=0,N84=1000),"",INDEX(Rules!$C:$C,N84))</f>
        <v/>
      </c>
      <c r="G84" s="24"/>
      <c r="H84" s="24"/>
      <c r="I84" s="20" t="str">
        <f aca="false">IF(B84="","",IF(G84&lt;&gt;"",G84,E84))</f>
        <v/>
      </c>
      <c r="J84" s="21" t="str">
        <f aca="false">IF(B84="","",IF(H84&lt;&gt;"",H84,F84))</f>
        <v/>
      </c>
      <c r="K84" s="26" t="str">
        <f aca="false">IF(A84="","",DATE(YEAR(A84),MONTH(A84),1))</f>
        <v/>
      </c>
      <c r="L84" s="21" t="str">
        <f aca="false">IF(J84="",IF(B84="","",IF(N(C84)&gt;=0,"Income","Expense")),IFERROR(INDEX(Lists!$B$2:$B$30,MATCH(J84,Lists!$A$2:$A$30,0)),""))</f>
        <v/>
      </c>
      <c r="M84" s="24"/>
      <c r="N84" s="27" t="str">
        <f aca="false">IF(B84="","",IFERROR(1000-SUMPRODUCT(MAX(ISNUMBER(SEARCH(Rules!$A$5:$A$204,B84))*(Rules!$A$5:$A$204&lt;&gt;"")*(1000-ROW(Rules!$A$5:$A$204)))),""))</f>
        <v/>
      </c>
    </row>
    <row r="85" customFormat="false" ht="15" hidden="false" customHeight="false" outlineLevel="0" collapsed="false">
      <c r="A85" s="23"/>
      <c r="B85" s="24"/>
      <c r="C85" s="25"/>
      <c r="D85" s="24"/>
      <c r="E85" s="21" t="str">
        <f aca="false">IF(OR(B85="",N(N85)=0,N85=1000),IF(B85="","","Check"),INDEX(Rules!$B:$B,N85))</f>
        <v/>
      </c>
      <c r="F85" s="21" t="str">
        <f aca="false">IF(OR(B85="",N(N85)=0,N85=1000),"",INDEX(Rules!$C:$C,N85))</f>
        <v/>
      </c>
      <c r="G85" s="24"/>
      <c r="H85" s="24"/>
      <c r="I85" s="20" t="str">
        <f aca="false">IF(B85="","",IF(G85&lt;&gt;"",G85,E85))</f>
        <v/>
      </c>
      <c r="J85" s="21" t="str">
        <f aca="false">IF(B85="","",IF(H85&lt;&gt;"",H85,F85))</f>
        <v/>
      </c>
      <c r="K85" s="26" t="str">
        <f aca="false">IF(A85="","",DATE(YEAR(A85),MONTH(A85),1))</f>
        <v/>
      </c>
      <c r="L85" s="21" t="str">
        <f aca="false">IF(J85="",IF(B85="","",IF(N(C85)&gt;=0,"Income","Expense")),IFERROR(INDEX(Lists!$B$2:$B$30,MATCH(J85,Lists!$A$2:$A$30,0)),""))</f>
        <v/>
      </c>
      <c r="M85" s="24"/>
      <c r="N85" s="27" t="str">
        <f aca="false">IF(B85="","",IFERROR(1000-SUMPRODUCT(MAX(ISNUMBER(SEARCH(Rules!$A$5:$A$204,B85))*(Rules!$A$5:$A$204&lt;&gt;"")*(1000-ROW(Rules!$A$5:$A$204)))),""))</f>
        <v/>
      </c>
    </row>
    <row r="86" customFormat="false" ht="15" hidden="false" customHeight="false" outlineLevel="0" collapsed="false">
      <c r="A86" s="23"/>
      <c r="B86" s="24"/>
      <c r="C86" s="25"/>
      <c r="D86" s="24"/>
      <c r="E86" s="21" t="str">
        <f aca="false">IF(OR(B86="",N(N86)=0,N86=1000),IF(B86="","","Check"),INDEX(Rules!$B:$B,N86))</f>
        <v/>
      </c>
      <c r="F86" s="21" t="str">
        <f aca="false">IF(OR(B86="",N(N86)=0,N86=1000),"",INDEX(Rules!$C:$C,N86))</f>
        <v/>
      </c>
      <c r="G86" s="24"/>
      <c r="H86" s="24"/>
      <c r="I86" s="20" t="str">
        <f aca="false">IF(B86="","",IF(G86&lt;&gt;"",G86,E86))</f>
        <v/>
      </c>
      <c r="J86" s="21" t="str">
        <f aca="false">IF(B86="","",IF(H86&lt;&gt;"",H86,F86))</f>
        <v/>
      </c>
      <c r="K86" s="26" t="str">
        <f aca="false">IF(A86="","",DATE(YEAR(A86),MONTH(A86),1))</f>
        <v/>
      </c>
      <c r="L86" s="21" t="str">
        <f aca="false">IF(J86="",IF(B86="","",IF(N(C86)&gt;=0,"Income","Expense")),IFERROR(INDEX(Lists!$B$2:$B$30,MATCH(J86,Lists!$A$2:$A$30,0)),""))</f>
        <v/>
      </c>
      <c r="M86" s="24"/>
      <c r="N86" s="27" t="str">
        <f aca="false">IF(B86="","",IFERROR(1000-SUMPRODUCT(MAX(ISNUMBER(SEARCH(Rules!$A$5:$A$204,B86))*(Rules!$A$5:$A$204&lt;&gt;"")*(1000-ROW(Rules!$A$5:$A$204)))),""))</f>
        <v/>
      </c>
    </row>
    <row r="87" customFormat="false" ht="15" hidden="false" customHeight="false" outlineLevel="0" collapsed="false">
      <c r="A87" s="23"/>
      <c r="B87" s="24"/>
      <c r="C87" s="25"/>
      <c r="D87" s="24"/>
      <c r="E87" s="21" t="str">
        <f aca="false">IF(OR(B87="",N(N87)=0,N87=1000),IF(B87="","","Check"),INDEX(Rules!$B:$B,N87))</f>
        <v/>
      </c>
      <c r="F87" s="21" t="str">
        <f aca="false">IF(OR(B87="",N(N87)=0,N87=1000),"",INDEX(Rules!$C:$C,N87))</f>
        <v/>
      </c>
      <c r="G87" s="24"/>
      <c r="H87" s="24"/>
      <c r="I87" s="20" t="str">
        <f aca="false">IF(B87="","",IF(G87&lt;&gt;"",G87,E87))</f>
        <v/>
      </c>
      <c r="J87" s="21" t="str">
        <f aca="false">IF(B87="","",IF(H87&lt;&gt;"",H87,F87))</f>
        <v/>
      </c>
      <c r="K87" s="26" t="str">
        <f aca="false">IF(A87="","",DATE(YEAR(A87),MONTH(A87),1))</f>
        <v/>
      </c>
      <c r="L87" s="21" t="str">
        <f aca="false">IF(J87="",IF(B87="","",IF(N(C87)&gt;=0,"Income","Expense")),IFERROR(INDEX(Lists!$B$2:$B$30,MATCH(J87,Lists!$A$2:$A$30,0)),""))</f>
        <v/>
      </c>
      <c r="M87" s="24"/>
      <c r="N87" s="27" t="str">
        <f aca="false">IF(B87="","",IFERROR(1000-SUMPRODUCT(MAX(ISNUMBER(SEARCH(Rules!$A$5:$A$204,B87))*(Rules!$A$5:$A$204&lt;&gt;"")*(1000-ROW(Rules!$A$5:$A$204)))),""))</f>
        <v/>
      </c>
    </row>
    <row r="88" customFormat="false" ht="15" hidden="false" customHeight="false" outlineLevel="0" collapsed="false">
      <c r="A88" s="23"/>
      <c r="B88" s="24"/>
      <c r="C88" s="25"/>
      <c r="D88" s="24"/>
      <c r="E88" s="21" t="str">
        <f aca="false">IF(OR(B88="",N(N88)=0,N88=1000),IF(B88="","","Check"),INDEX(Rules!$B:$B,N88))</f>
        <v/>
      </c>
      <c r="F88" s="21" t="str">
        <f aca="false">IF(OR(B88="",N(N88)=0,N88=1000),"",INDEX(Rules!$C:$C,N88))</f>
        <v/>
      </c>
      <c r="G88" s="24"/>
      <c r="H88" s="24"/>
      <c r="I88" s="20" t="str">
        <f aca="false">IF(B88="","",IF(G88&lt;&gt;"",G88,E88))</f>
        <v/>
      </c>
      <c r="J88" s="21" t="str">
        <f aca="false">IF(B88="","",IF(H88&lt;&gt;"",H88,F88))</f>
        <v/>
      </c>
      <c r="K88" s="26" t="str">
        <f aca="false">IF(A88="","",DATE(YEAR(A88),MONTH(A88),1))</f>
        <v/>
      </c>
      <c r="L88" s="21" t="str">
        <f aca="false">IF(J88="",IF(B88="","",IF(N(C88)&gt;=0,"Income","Expense")),IFERROR(INDEX(Lists!$B$2:$B$30,MATCH(J88,Lists!$A$2:$A$30,0)),""))</f>
        <v/>
      </c>
      <c r="M88" s="24"/>
      <c r="N88" s="27" t="str">
        <f aca="false">IF(B88="","",IFERROR(1000-SUMPRODUCT(MAX(ISNUMBER(SEARCH(Rules!$A$5:$A$204,B88))*(Rules!$A$5:$A$204&lt;&gt;"")*(1000-ROW(Rules!$A$5:$A$204)))),""))</f>
        <v/>
      </c>
    </row>
    <row r="89" customFormat="false" ht="15" hidden="false" customHeight="false" outlineLevel="0" collapsed="false">
      <c r="A89" s="23"/>
      <c r="B89" s="24"/>
      <c r="C89" s="25"/>
      <c r="D89" s="24"/>
      <c r="E89" s="21" t="str">
        <f aca="false">IF(OR(B89="",N(N89)=0,N89=1000),IF(B89="","","Check"),INDEX(Rules!$B:$B,N89))</f>
        <v/>
      </c>
      <c r="F89" s="21" t="str">
        <f aca="false">IF(OR(B89="",N(N89)=0,N89=1000),"",INDEX(Rules!$C:$C,N89))</f>
        <v/>
      </c>
      <c r="G89" s="24"/>
      <c r="H89" s="24"/>
      <c r="I89" s="20" t="str">
        <f aca="false">IF(B89="","",IF(G89&lt;&gt;"",G89,E89))</f>
        <v/>
      </c>
      <c r="J89" s="21" t="str">
        <f aca="false">IF(B89="","",IF(H89&lt;&gt;"",H89,F89))</f>
        <v/>
      </c>
      <c r="K89" s="26" t="str">
        <f aca="false">IF(A89="","",DATE(YEAR(A89),MONTH(A89),1))</f>
        <v/>
      </c>
      <c r="L89" s="21" t="str">
        <f aca="false">IF(J89="",IF(B89="","",IF(N(C89)&gt;=0,"Income","Expense")),IFERROR(INDEX(Lists!$B$2:$B$30,MATCH(J89,Lists!$A$2:$A$30,0)),""))</f>
        <v/>
      </c>
      <c r="M89" s="24"/>
      <c r="N89" s="27" t="str">
        <f aca="false">IF(B89="","",IFERROR(1000-SUMPRODUCT(MAX(ISNUMBER(SEARCH(Rules!$A$5:$A$204,B89))*(Rules!$A$5:$A$204&lt;&gt;"")*(1000-ROW(Rules!$A$5:$A$204)))),""))</f>
        <v/>
      </c>
    </row>
    <row r="90" customFormat="false" ht="15" hidden="false" customHeight="false" outlineLevel="0" collapsed="false">
      <c r="A90" s="23"/>
      <c r="B90" s="24"/>
      <c r="C90" s="25"/>
      <c r="D90" s="24"/>
      <c r="E90" s="21" t="str">
        <f aca="false">IF(OR(B90="",N(N90)=0,N90=1000),IF(B90="","","Check"),INDEX(Rules!$B:$B,N90))</f>
        <v/>
      </c>
      <c r="F90" s="21" t="str">
        <f aca="false">IF(OR(B90="",N(N90)=0,N90=1000),"",INDEX(Rules!$C:$C,N90))</f>
        <v/>
      </c>
      <c r="G90" s="24"/>
      <c r="H90" s="24"/>
      <c r="I90" s="20" t="str">
        <f aca="false">IF(B90="","",IF(G90&lt;&gt;"",G90,E90))</f>
        <v/>
      </c>
      <c r="J90" s="21" t="str">
        <f aca="false">IF(B90="","",IF(H90&lt;&gt;"",H90,F90))</f>
        <v/>
      </c>
      <c r="K90" s="26" t="str">
        <f aca="false">IF(A90="","",DATE(YEAR(A90),MONTH(A90),1))</f>
        <v/>
      </c>
      <c r="L90" s="21" t="str">
        <f aca="false">IF(J90="",IF(B90="","",IF(N(C90)&gt;=0,"Income","Expense")),IFERROR(INDEX(Lists!$B$2:$B$30,MATCH(J90,Lists!$A$2:$A$30,0)),""))</f>
        <v/>
      </c>
      <c r="M90" s="24"/>
      <c r="N90" s="27" t="str">
        <f aca="false">IF(B90="","",IFERROR(1000-SUMPRODUCT(MAX(ISNUMBER(SEARCH(Rules!$A$5:$A$204,B90))*(Rules!$A$5:$A$204&lt;&gt;"")*(1000-ROW(Rules!$A$5:$A$204)))),""))</f>
        <v/>
      </c>
    </row>
    <row r="91" customFormat="false" ht="15" hidden="false" customHeight="false" outlineLevel="0" collapsed="false">
      <c r="A91" s="23"/>
      <c r="B91" s="24"/>
      <c r="C91" s="25"/>
      <c r="D91" s="24"/>
      <c r="E91" s="21" t="str">
        <f aca="false">IF(OR(B91="",N(N91)=0,N91=1000),IF(B91="","","Check"),INDEX(Rules!$B:$B,N91))</f>
        <v/>
      </c>
      <c r="F91" s="21" t="str">
        <f aca="false">IF(OR(B91="",N(N91)=0,N91=1000),"",INDEX(Rules!$C:$C,N91))</f>
        <v/>
      </c>
      <c r="G91" s="24"/>
      <c r="H91" s="24"/>
      <c r="I91" s="20" t="str">
        <f aca="false">IF(B91="","",IF(G91&lt;&gt;"",G91,E91))</f>
        <v/>
      </c>
      <c r="J91" s="21" t="str">
        <f aca="false">IF(B91="","",IF(H91&lt;&gt;"",H91,F91))</f>
        <v/>
      </c>
      <c r="K91" s="26" t="str">
        <f aca="false">IF(A91="","",DATE(YEAR(A91),MONTH(A91),1))</f>
        <v/>
      </c>
      <c r="L91" s="21" t="str">
        <f aca="false">IF(J91="",IF(B91="","",IF(N(C91)&gt;=0,"Income","Expense")),IFERROR(INDEX(Lists!$B$2:$B$30,MATCH(J91,Lists!$A$2:$A$30,0)),""))</f>
        <v/>
      </c>
      <c r="M91" s="24"/>
      <c r="N91" s="27" t="str">
        <f aca="false">IF(B91="","",IFERROR(1000-SUMPRODUCT(MAX(ISNUMBER(SEARCH(Rules!$A$5:$A$204,B91))*(Rules!$A$5:$A$204&lt;&gt;"")*(1000-ROW(Rules!$A$5:$A$204)))),""))</f>
        <v/>
      </c>
    </row>
    <row r="92" customFormat="false" ht="15" hidden="false" customHeight="false" outlineLevel="0" collapsed="false">
      <c r="A92" s="23"/>
      <c r="B92" s="24"/>
      <c r="C92" s="25"/>
      <c r="D92" s="24"/>
      <c r="E92" s="21" t="str">
        <f aca="false">IF(OR(B92="",N(N92)=0,N92=1000),IF(B92="","","Check"),INDEX(Rules!$B:$B,N92))</f>
        <v/>
      </c>
      <c r="F92" s="21" t="str">
        <f aca="false">IF(OR(B92="",N(N92)=0,N92=1000),"",INDEX(Rules!$C:$C,N92))</f>
        <v/>
      </c>
      <c r="G92" s="24"/>
      <c r="H92" s="24"/>
      <c r="I92" s="20" t="str">
        <f aca="false">IF(B92="","",IF(G92&lt;&gt;"",G92,E92))</f>
        <v/>
      </c>
      <c r="J92" s="21" t="str">
        <f aca="false">IF(B92="","",IF(H92&lt;&gt;"",H92,F92))</f>
        <v/>
      </c>
      <c r="K92" s="26" t="str">
        <f aca="false">IF(A92="","",DATE(YEAR(A92),MONTH(A92),1))</f>
        <v/>
      </c>
      <c r="L92" s="21" t="str">
        <f aca="false">IF(J92="",IF(B92="","",IF(N(C92)&gt;=0,"Income","Expense")),IFERROR(INDEX(Lists!$B$2:$B$30,MATCH(J92,Lists!$A$2:$A$30,0)),""))</f>
        <v/>
      </c>
      <c r="M92" s="24"/>
      <c r="N92" s="27" t="str">
        <f aca="false">IF(B92="","",IFERROR(1000-SUMPRODUCT(MAX(ISNUMBER(SEARCH(Rules!$A$5:$A$204,B92))*(Rules!$A$5:$A$204&lt;&gt;"")*(1000-ROW(Rules!$A$5:$A$204)))),""))</f>
        <v/>
      </c>
    </row>
    <row r="93" customFormat="false" ht="15" hidden="false" customHeight="false" outlineLevel="0" collapsed="false">
      <c r="A93" s="23"/>
      <c r="B93" s="24"/>
      <c r="C93" s="25"/>
      <c r="D93" s="24"/>
      <c r="E93" s="21" t="str">
        <f aca="false">IF(OR(B93="",N(N93)=0,N93=1000),IF(B93="","","Check"),INDEX(Rules!$B:$B,N93))</f>
        <v/>
      </c>
      <c r="F93" s="21" t="str">
        <f aca="false">IF(OR(B93="",N(N93)=0,N93=1000),"",INDEX(Rules!$C:$C,N93))</f>
        <v/>
      </c>
      <c r="G93" s="24"/>
      <c r="H93" s="24"/>
      <c r="I93" s="20" t="str">
        <f aca="false">IF(B93="","",IF(G93&lt;&gt;"",G93,E93))</f>
        <v/>
      </c>
      <c r="J93" s="21" t="str">
        <f aca="false">IF(B93="","",IF(H93&lt;&gt;"",H93,F93))</f>
        <v/>
      </c>
      <c r="K93" s="26" t="str">
        <f aca="false">IF(A93="","",DATE(YEAR(A93),MONTH(A93),1))</f>
        <v/>
      </c>
      <c r="L93" s="21" t="str">
        <f aca="false">IF(J93="",IF(B93="","",IF(N(C93)&gt;=0,"Income","Expense")),IFERROR(INDEX(Lists!$B$2:$B$30,MATCH(J93,Lists!$A$2:$A$30,0)),""))</f>
        <v/>
      </c>
      <c r="M93" s="24"/>
      <c r="N93" s="27" t="str">
        <f aca="false">IF(B93="","",IFERROR(1000-SUMPRODUCT(MAX(ISNUMBER(SEARCH(Rules!$A$5:$A$204,B93))*(Rules!$A$5:$A$204&lt;&gt;"")*(1000-ROW(Rules!$A$5:$A$204)))),""))</f>
        <v/>
      </c>
    </row>
    <row r="94" customFormat="false" ht="15" hidden="false" customHeight="false" outlineLevel="0" collapsed="false">
      <c r="A94" s="23"/>
      <c r="B94" s="24"/>
      <c r="C94" s="25"/>
      <c r="D94" s="24"/>
      <c r="E94" s="21" t="str">
        <f aca="false">IF(OR(B94="",N(N94)=0,N94=1000),IF(B94="","","Check"),INDEX(Rules!$B:$B,N94))</f>
        <v/>
      </c>
      <c r="F94" s="21" t="str">
        <f aca="false">IF(OR(B94="",N(N94)=0,N94=1000),"",INDEX(Rules!$C:$C,N94))</f>
        <v/>
      </c>
      <c r="G94" s="24"/>
      <c r="H94" s="24"/>
      <c r="I94" s="20" t="str">
        <f aca="false">IF(B94="","",IF(G94&lt;&gt;"",G94,E94))</f>
        <v/>
      </c>
      <c r="J94" s="21" t="str">
        <f aca="false">IF(B94="","",IF(H94&lt;&gt;"",H94,F94))</f>
        <v/>
      </c>
      <c r="K94" s="26" t="str">
        <f aca="false">IF(A94="","",DATE(YEAR(A94),MONTH(A94),1))</f>
        <v/>
      </c>
      <c r="L94" s="21" t="str">
        <f aca="false">IF(J94="",IF(B94="","",IF(N(C94)&gt;=0,"Income","Expense")),IFERROR(INDEX(Lists!$B$2:$B$30,MATCH(J94,Lists!$A$2:$A$30,0)),""))</f>
        <v/>
      </c>
      <c r="M94" s="24"/>
      <c r="N94" s="27" t="str">
        <f aca="false">IF(B94="","",IFERROR(1000-SUMPRODUCT(MAX(ISNUMBER(SEARCH(Rules!$A$5:$A$204,B94))*(Rules!$A$5:$A$204&lt;&gt;"")*(1000-ROW(Rules!$A$5:$A$204)))),""))</f>
        <v/>
      </c>
    </row>
    <row r="95" customFormat="false" ht="15" hidden="false" customHeight="false" outlineLevel="0" collapsed="false">
      <c r="A95" s="23"/>
      <c r="B95" s="24"/>
      <c r="C95" s="25"/>
      <c r="D95" s="24"/>
      <c r="E95" s="21" t="str">
        <f aca="false">IF(OR(B95="",N(N95)=0,N95=1000),IF(B95="","","Check"),INDEX(Rules!$B:$B,N95))</f>
        <v/>
      </c>
      <c r="F95" s="21" t="str">
        <f aca="false">IF(OR(B95="",N(N95)=0,N95=1000),"",INDEX(Rules!$C:$C,N95))</f>
        <v/>
      </c>
      <c r="G95" s="24"/>
      <c r="H95" s="24"/>
      <c r="I95" s="20" t="str">
        <f aca="false">IF(B95="","",IF(G95&lt;&gt;"",G95,E95))</f>
        <v/>
      </c>
      <c r="J95" s="21" t="str">
        <f aca="false">IF(B95="","",IF(H95&lt;&gt;"",H95,F95))</f>
        <v/>
      </c>
      <c r="K95" s="26" t="str">
        <f aca="false">IF(A95="","",DATE(YEAR(A95),MONTH(A95),1))</f>
        <v/>
      </c>
      <c r="L95" s="21" t="str">
        <f aca="false">IF(J95="",IF(B95="","",IF(N(C95)&gt;=0,"Income","Expense")),IFERROR(INDEX(Lists!$B$2:$B$30,MATCH(J95,Lists!$A$2:$A$30,0)),""))</f>
        <v/>
      </c>
      <c r="M95" s="24"/>
      <c r="N95" s="27" t="str">
        <f aca="false">IF(B95="","",IFERROR(1000-SUMPRODUCT(MAX(ISNUMBER(SEARCH(Rules!$A$5:$A$204,B95))*(Rules!$A$5:$A$204&lt;&gt;"")*(1000-ROW(Rules!$A$5:$A$204)))),""))</f>
        <v/>
      </c>
    </row>
    <row r="96" customFormat="false" ht="15" hidden="false" customHeight="false" outlineLevel="0" collapsed="false">
      <c r="A96" s="23"/>
      <c r="B96" s="24"/>
      <c r="C96" s="25"/>
      <c r="D96" s="24"/>
      <c r="E96" s="21" t="str">
        <f aca="false">IF(OR(B96="",N(N96)=0,N96=1000),IF(B96="","","Check"),INDEX(Rules!$B:$B,N96))</f>
        <v/>
      </c>
      <c r="F96" s="21" t="str">
        <f aca="false">IF(OR(B96="",N(N96)=0,N96=1000),"",INDEX(Rules!$C:$C,N96))</f>
        <v/>
      </c>
      <c r="G96" s="24"/>
      <c r="H96" s="24"/>
      <c r="I96" s="20" t="str">
        <f aca="false">IF(B96="","",IF(G96&lt;&gt;"",G96,E96))</f>
        <v/>
      </c>
      <c r="J96" s="21" t="str">
        <f aca="false">IF(B96="","",IF(H96&lt;&gt;"",H96,F96))</f>
        <v/>
      </c>
      <c r="K96" s="26" t="str">
        <f aca="false">IF(A96="","",DATE(YEAR(A96),MONTH(A96),1))</f>
        <v/>
      </c>
      <c r="L96" s="21" t="str">
        <f aca="false">IF(J96="",IF(B96="","",IF(N(C96)&gt;=0,"Income","Expense")),IFERROR(INDEX(Lists!$B$2:$B$30,MATCH(J96,Lists!$A$2:$A$30,0)),""))</f>
        <v/>
      </c>
      <c r="M96" s="24"/>
      <c r="N96" s="27" t="str">
        <f aca="false">IF(B96="","",IFERROR(1000-SUMPRODUCT(MAX(ISNUMBER(SEARCH(Rules!$A$5:$A$204,B96))*(Rules!$A$5:$A$204&lt;&gt;"")*(1000-ROW(Rules!$A$5:$A$204)))),""))</f>
        <v/>
      </c>
    </row>
    <row r="97" customFormat="false" ht="15" hidden="false" customHeight="false" outlineLevel="0" collapsed="false">
      <c r="A97" s="23"/>
      <c r="B97" s="24"/>
      <c r="C97" s="25"/>
      <c r="D97" s="24"/>
      <c r="E97" s="21" t="str">
        <f aca="false">IF(OR(B97="",N(N97)=0,N97=1000),IF(B97="","","Check"),INDEX(Rules!$B:$B,N97))</f>
        <v/>
      </c>
      <c r="F97" s="21" t="str">
        <f aca="false">IF(OR(B97="",N(N97)=0,N97=1000),"",INDEX(Rules!$C:$C,N97))</f>
        <v/>
      </c>
      <c r="G97" s="24"/>
      <c r="H97" s="24"/>
      <c r="I97" s="20" t="str">
        <f aca="false">IF(B97="","",IF(G97&lt;&gt;"",G97,E97))</f>
        <v/>
      </c>
      <c r="J97" s="21" t="str">
        <f aca="false">IF(B97="","",IF(H97&lt;&gt;"",H97,F97))</f>
        <v/>
      </c>
      <c r="K97" s="26" t="str">
        <f aca="false">IF(A97="","",DATE(YEAR(A97),MONTH(A97),1))</f>
        <v/>
      </c>
      <c r="L97" s="21" t="str">
        <f aca="false">IF(J97="",IF(B97="","",IF(N(C97)&gt;=0,"Income","Expense")),IFERROR(INDEX(Lists!$B$2:$B$30,MATCH(J97,Lists!$A$2:$A$30,0)),""))</f>
        <v/>
      </c>
      <c r="M97" s="24"/>
      <c r="N97" s="27" t="str">
        <f aca="false">IF(B97="","",IFERROR(1000-SUMPRODUCT(MAX(ISNUMBER(SEARCH(Rules!$A$5:$A$204,B97))*(Rules!$A$5:$A$204&lt;&gt;"")*(1000-ROW(Rules!$A$5:$A$204)))),""))</f>
        <v/>
      </c>
    </row>
    <row r="98" customFormat="false" ht="15" hidden="false" customHeight="false" outlineLevel="0" collapsed="false">
      <c r="A98" s="23"/>
      <c r="B98" s="24"/>
      <c r="C98" s="25"/>
      <c r="D98" s="24"/>
      <c r="E98" s="21" t="str">
        <f aca="false">IF(OR(B98="",N(N98)=0,N98=1000),IF(B98="","","Check"),INDEX(Rules!$B:$B,N98))</f>
        <v/>
      </c>
      <c r="F98" s="21" t="str">
        <f aca="false">IF(OR(B98="",N(N98)=0,N98=1000),"",INDEX(Rules!$C:$C,N98))</f>
        <v/>
      </c>
      <c r="G98" s="24"/>
      <c r="H98" s="24"/>
      <c r="I98" s="20" t="str">
        <f aca="false">IF(B98="","",IF(G98&lt;&gt;"",G98,E98))</f>
        <v/>
      </c>
      <c r="J98" s="21" t="str">
        <f aca="false">IF(B98="","",IF(H98&lt;&gt;"",H98,F98))</f>
        <v/>
      </c>
      <c r="K98" s="26" t="str">
        <f aca="false">IF(A98="","",DATE(YEAR(A98),MONTH(A98),1))</f>
        <v/>
      </c>
      <c r="L98" s="21" t="str">
        <f aca="false">IF(J98="",IF(B98="","",IF(N(C98)&gt;=0,"Income","Expense")),IFERROR(INDEX(Lists!$B$2:$B$30,MATCH(J98,Lists!$A$2:$A$30,0)),""))</f>
        <v/>
      </c>
      <c r="M98" s="24"/>
      <c r="N98" s="27" t="str">
        <f aca="false">IF(B98="","",IFERROR(1000-SUMPRODUCT(MAX(ISNUMBER(SEARCH(Rules!$A$5:$A$204,B98))*(Rules!$A$5:$A$204&lt;&gt;"")*(1000-ROW(Rules!$A$5:$A$204)))),""))</f>
        <v/>
      </c>
    </row>
    <row r="99" customFormat="false" ht="15" hidden="false" customHeight="false" outlineLevel="0" collapsed="false">
      <c r="A99" s="23"/>
      <c r="B99" s="24"/>
      <c r="C99" s="25"/>
      <c r="D99" s="24"/>
      <c r="E99" s="21" t="str">
        <f aca="false">IF(OR(B99="",N(N99)=0,N99=1000),IF(B99="","","Check"),INDEX(Rules!$B:$B,N99))</f>
        <v/>
      </c>
      <c r="F99" s="21" t="str">
        <f aca="false">IF(OR(B99="",N(N99)=0,N99=1000),"",INDEX(Rules!$C:$C,N99))</f>
        <v/>
      </c>
      <c r="G99" s="24"/>
      <c r="H99" s="24"/>
      <c r="I99" s="20" t="str">
        <f aca="false">IF(B99="","",IF(G99&lt;&gt;"",G99,E99))</f>
        <v/>
      </c>
      <c r="J99" s="21" t="str">
        <f aca="false">IF(B99="","",IF(H99&lt;&gt;"",H99,F99))</f>
        <v/>
      </c>
      <c r="K99" s="26" t="str">
        <f aca="false">IF(A99="","",DATE(YEAR(A99),MONTH(A99),1))</f>
        <v/>
      </c>
      <c r="L99" s="21" t="str">
        <f aca="false">IF(J99="",IF(B99="","",IF(N(C99)&gt;=0,"Income","Expense")),IFERROR(INDEX(Lists!$B$2:$B$30,MATCH(J99,Lists!$A$2:$A$30,0)),""))</f>
        <v/>
      </c>
      <c r="M99" s="24"/>
      <c r="N99" s="27" t="str">
        <f aca="false">IF(B99="","",IFERROR(1000-SUMPRODUCT(MAX(ISNUMBER(SEARCH(Rules!$A$5:$A$204,B99))*(Rules!$A$5:$A$204&lt;&gt;"")*(1000-ROW(Rules!$A$5:$A$204)))),""))</f>
        <v/>
      </c>
    </row>
    <row r="100" customFormat="false" ht="15" hidden="false" customHeight="false" outlineLevel="0" collapsed="false">
      <c r="A100" s="23"/>
      <c r="B100" s="24"/>
      <c r="C100" s="25"/>
      <c r="D100" s="24"/>
      <c r="E100" s="21" t="str">
        <f aca="false">IF(OR(B100="",N(N100)=0,N100=1000),IF(B100="","","Check"),INDEX(Rules!$B:$B,N100))</f>
        <v/>
      </c>
      <c r="F100" s="21" t="str">
        <f aca="false">IF(OR(B100="",N(N100)=0,N100=1000),"",INDEX(Rules!$C:$C,N100))</f>
        <v/>
      </c>
      <c r="G100" s="24"/>
      <c r="H100" s="24"/>
      <c r="I100" s="20" t="str">
        <f aca="false">IF(B100="","",IF(G100&lt;&gt;"",G100,E100))</f>
        <v/>
      </c>
      <c r="J100" s="21" t="str">
        <f aca="false">IF(B100="","",IF(H100&lt;&gt;"",H100,F100))</f>
        <v/>
      </c>
      <c r="K100" s="26" t="str">
        <f aca="false">IF(A100="","",DATE(YEAR(A100),MONTH(A100),1))</f>
        <v/>
      </c>
      <c r="L100" s="21" t="str">
        <f aca="false">IF(J100="",IF(B100="","",IF(N(C100)&gt;=0,"Income","Expense")),IFERROR(INDEX(Lists!$B$2:$B$30,MATCH(J100,Lists!$A$2:$A$30,0)),""))</f>
        <v/>
      </c>
      <c r="M100" s="24"/>
      <c r="N100" s="27" t="str">
        <f aca="false">IF(B100="","",IFERROR(1000-SUMPRODUCT(MAX(ISNUMBER(SEARCH(Rules!$A$5:$A$204,B100))*(Rules!$A$5:$A$204&lt;&gt;"")*(1000-ROW(Rules!$A$5:$A$204)))),""))</f>
        <v/>
      </c>
    </row>
    <row r="101" customFormat="false" ht="15" hidden="false" customHeight="false" outlineLevel="0" collapsed="false">
      <c r="A101" s="23"/>
      <c r="B101" s="24"/>
      <c r="C101" s="25"/>
      <c r="D101" s="24"/>
      <c r="E101" s="21" t="str">
        <f aca="false">IF(OR(B101="",N(N101)=0,N101=1000),IF(B101="","","Check"),INDEX(Rules!$B:$B,N101))</f>
        <v/>
      </c>
      <c r="F101" s="21" t="str">
        <f aca="false">IF(OR(B101="",N(N101)=0,N101=1000),"",INDEX(Rules!$C:$C,N101))</f>
        <v/>
      </c>
      <c r="G101" s="24"/>
      <c r="H101" s="24"/>
      <c r="I101" s="20" t="str">
        <f aca="false">IF(B101="","",IF(G101&lt;&gt;"",G101,E101))</f>
        <v/>
      </c>
      <c r="J101" s="21" t="str">
        <f aca="false">IF(B101="","",IF(H101&lt;&gt;"",H101,F101))</f>
        <v/>
      </c>
      <c r="K101" s="26" t="str">
        <f aca="false">IF(A101="","",DATE(YEAR(A101),MONTH(A101),1))</f>
        <v/>
      </c>
      <c r="L101" s="21" t="str">
        <f aca="false">IF(J101="",IF(B101="","",IF(N(C101)&gt;=0,"Income","Expense")),IFERROR(INDEX(Lists!$B$2:$B$30,MATCH(J101,Lists!$A$2:$A$30,0)),""))</f>
        <v/>
      </c>
      <c r="M101" s="24"/>
      <c r="N101" s="27" t="str">
        <f aca="false">IF(B101="","",IFERROR(1000-SUMPRODUCT(MAX(ISNUMBER(SEARCH(Rules!$A$5:$A$204,B101))*(Rules!$A$5:$A$204&lt;&gt;"")*(1000-ROW(Rules!$A$5:$A$204)))),""))</f>
        <v/>
      </c>
    </row>
    <row r="102" customFormat="false" ht="15" hidden="false" customHeight="false" outlineLevel="0" collapsed="false">
      <c r="A102" s="23"/>
      <c r="B102" s="24"/>
      <c r="C102" s="25"/>
      <c r="D102" s="24"/>
      <c r="E102" s="21" t="str">
        <f aca="false">IF(OR(B102="",N(N102)=0,N102=1000),IF(B102="","","Check"),INDEX(Rules!$B:$B,N102))</f>
        <v/>
      </c>
      <c r="F102" s="21" t="str">
        <f aca="false">IF(OR(B102="",N(N102)=0,N102=1000),"",INDEX(Rules!$C:$C,N102))</f>
        <v/>
      </c>
      <c r="G102" s="24"/>
      <c r="H102" s="24"/>
      <c r="I102" s="20" t="str">
        <f aca="false">IF(B102="","",IF(G102&lt;&gt;"",G102,E102))</f>
        <v/>
      </c>
      <c r="J102" s="21" t="str">
        <f aca="false">IF(B102="","",IF(H102&lt;&gt;"",H102,F102))</f>
        <v/>
      </c>
      <c r="K102" s="26" t="str">
        <f aca="false">IF(A102="","",DATE(YEAR(A102),MONTH(A102),1))</f>
        <v/>
      </c>
      <c r="L102" s="21" t="str">
        <f aca="false">IF(J102="",IF(B102="","",IF(N(C102)&gt;=0,"Income","Expense")),IFERROR(INDEX(Lists!$B$2:$B$30,MATCH(J102,Lists!$A$2:$A$30,0)),""))</f>
        <v/>
      </c>
      <c r="M102" s="24"/>
      <c r="N102" s="27" t="str">
        <f aca="false">IF(B102="","",IFERROR(1000-SUMPRODUCT(MAX(ISNUMBER(SEARCH(Rules!$A$5:$A$204,B102))*(Rules!$A$5:$A$204&lt;&gt;"")*(1000-ROW(Rules!$A$5:$A$204)))),""))</f>
        <v/>
      </c>
    </row>
    <row r="103" customFormat="false" ht="15" hidden="false" customHeight="false" outlineLevel="0" collapsed="false">
      <c r="A103" s="23"/>
      <c r="B103" s="24"/>
      <c r="C103" s="25"/>
      <c r="D103" s="24"/>
      <c r="E103" s="21" t="str">
        <f aca="false">IF(OR(B103="",N(N103)=0,N103=1000),IF(B103="","","Check"),INDEX(Rules!$B:$B,N103))</f>
        <v/>
      </c>
      <c r="F103" s="21" t="str">
        <f aca="false">IF(OR(B103="",N(N103)=0,N103=1000),"",INDEX(Rules!$C:$C,N103))</f>
        <v/>
      </c>
      <c r="G103" s="24"/>
      <c r="H103" s="24"/>
      <c r="I103" s="20" t="str">
        <f aca="false">IF(B103="","",IF(G103&lt;&gt;"",G103,E103))</f>
        <v/>
      </c>
      <c r="J103" s="21" t="str">
        <f aca="false">IF(B103="","",IF(H103&lt;&gt;"",H103,F103))</f>
        <v/>
      </c>
      <c r="K103" s="26" t="str">
        <f aca="false">IF(A103="","",DATE(YEAR(A103),MONTH(A103),1))</f>
        <v/>
      </c>
      <c r="L103" s="21" t="str">
        <f aca="false">IF(J103="",IF(B103="","",IF(N(C103)&gt;=0,"Income","Expense")),IFERROR(INDEX(Lists!$B$2:$B$30,MATCH(J103,Lists!$A$2:$A$30,0)),""))</f>
        <v/>
      </c>
      <c r="M103" s="24"/>
      <c r="N103" s="27" t="str">
        <f aca="false">IF(B103="","",IFERROR(1000-SUMPRODUCT(MAX(ISNUMBER(SEARCH(Rules!$A$5:$A$204,B103))*(Rules!$A$5:$A$204&lt;&gt;"")*(1000-ROW(Rules!$A$5:$A$204)))),""))</f>
        <v/>
      </c>
    </row>
    <row r="104" customFormat="false" ht="15" hidden="false" customHeight="false" outlineLevel="0" collapsed="false">
      <c r="A104" s="23"/>
      <c r="B104" s="24"/>
      <c r="C104" s="25"/>
      <c r="D104" s="24"/>
      <c r="E104" s="21" t="str">
        <f aca="false">IF(OR(B104="",N(N104)=0,N104=1000),IF(B104="","","Check"),INDEX(Rules!$B:$B,N104))</f>
        <v/>
      </c>
      <c r="F104" s="21" t="str">
        <f aca="false">IF(OR(B104="",N(N104)=0,N104=1000),"",INDEX(Rules!$C:$C,N104))</f>
        <v/>
      </c>
      <c r="G104" s="24"/>
      <c r="H104" s="24"/>
      <c r="I104" s="20" t="str">
        <f aca="false">IF(B104="","",IF(G104&lt;&gt;"",G104,E104))</f>
        <v/>
      </c>
      <c r="J104" s="21" t="str">
        <f aca="false">IF(B104="","",IF(H104&lt;&gt;"",H104,F104))</f>
        <v/>
      </c>
      <c r="K104" s="26" t="str">
        <f aca="false">IF(A104="","",DATE(YEAR(A104),MONTH(A104),1))</f>
        <v/>
      </c>
      <c r="L104" s="21" t="str">
        <f aca="false">IF(J104="",IF(B104="","",IF(N(C104)&gt;=0,"Income","Expense")),IFERROR(INDEX(Lists!$B$2:$B$30,MATCH(J104,Lists!$A$2:$A$30,0)),""))</f>
        <v/>
      </c>
      <c r="M104" s="24"/>
      <c r="N104" s="27" t="str">
        <f aca="false">IF(B104="","",IFERROR(1000-SUMPRODUCT(MAX(ISNUMBER(SEARCH(Rules!$A$5:$A$204,B104))*(Rules!$A$5:$A$204&lt;&gt;"")*(1000-ROW(Rules!$A$5:$A$204)))),""))</f>
        <v/>
      </c>
    </row>
    <row r="105" customFormat="false" ht="15" hidden="false" customHeight="false" outlineLevel="0" collapsed="false">
      <c r="A105" s="23"/>
      <c r="B105" s="24"/>
      <c r="C105" s="25"/>
      <c r="D105" s="24"/>
      <c r="E105" s="21" t="str">
        <f aca="false">IF(OR(B105="",N(N105)=0,N105=1000),IF(B105="","","Check"),INDEX(Rules!$B:$B,N105))</f>
        <v/>
      </c>
      <c r="F105" s="21" t="str">
        <f aca="false">IF(OR(B105="",N(N105)=0,N105=1000),"",INDEX(Rules!$C:$C,N105))</f>
        <v/>
      </c>
      <c r="G105" s="24"/>
      <c r="H105" s="24"/>
      <c r="I105" s="20" t="str">
        <f aca="false">IF(B105="","",IF(G105&lt;&gt;"",G105,E105))</f>
        <v/>
      </c>
      <c r="J105" s="21" t="str">
        <f aca="false">IF(B105="","",IF(H105&lt;&gt;"",H105,F105))</f>
        <v/>
      </c>
      <c r="K105" s="26" t="str">
        <f aca="false">IF(A105="","",DATE(YEAR(A105),MONTH(A105),1))</f>
        <v/>
      </c>
      <c r="L105" s="21" t="str">
        <f aca="false">IF(J105="",IF(B105="","",IF(N(C105)&gt;=0,"Income","Expense")),IFERROR(INDEX(Lists!$B$2:$B$30,MATCH(J105,Lists!$A$2:$A$30,0)),""))</f>
        <v/>
      </c>
      <c r="M105" s="24"/>
      <c r="N105" s="27" t="str">
        <f aca="false">IF(B105="","",IFERROR(1000-SUMPRODUCT(MAX(ISNUMBER(SEARCH(Rules!$A$5:$A$204,B105))*(Rules!$A$5:$A$204&lt;&gt;"")*(1000-ROW(Rules!$A$5:$A$204)))),""))</f>
        <v/>
      </c>
    </row>
    <row r="106" customFormat="false" ht="15" hidden="false" customHeight="false" outlineLevel="0" collapsed="false">
      <c r="A106" s="23"/>
      <c r="B106" s="24"/>
      <c r="C106" s="25"/>
      <c r="D106" s="24"/>
      <c r="E106" s="21" t="str">
        <f aca="false">IF(OR(B106="",N(N106)=0,N106=1000),IF(B106="","","Check"),INDEX(Rules!$B:$B,N106))</f>
        <v/>
      </c>
      <c r="F106" s="21" t="str">
        <f aca="false">IF(OR(B106="",N(N106)=0,N106=1000),"",INDEX(Rules!$C:$C,N106))</f>
        <v/>
      </c>
      <c r="G106" s="24"/>
      <c r="H106" s="24"/>
      <c r="I106" s="20" t="str">
        <f aca="false">IF(B106="","",IF(G106&lt;&gt;"",G106,E106))</f>
        <v/>
      </c>
      <c r="J106" s="21" t="str">
        <f aca="false">IF(B106="","",IF(H106&lt;&gt;"",H106,F106))</f>
        <v/>
      </c>
      <c r="K106" s="26" t="str">
        <f aca="false">IF(A106="","",DATE(YEAR(A106),MONTH(A106),1))</f>
        <v/>
      </c>
      <c r="L106" s="21" t="str">
        <f aca="false">IF(J106="",IF(B106="","",IF(N(C106)&gt;=0,"Income","Expense")),IFERROR(INDEX(Lists!$B$2:$B$30,MATCH(J106,Lists!$A$2:$A$30,0)),""))</f>
        <v/>
      </c>
      <c r="M106" s="24"/>
      <c r="N106" s="27" t="str">
        <f aca="false">IF(B106="","",IFERROR(1000-SUMPRODUCT(MAX(ISNUMBER(SEARCH(Rules!$A$5:$A$204,B106))*(Rules!$A$5:$A$204&lt;&gt;"")*(1000-ROW(Rules!$A$5:$A$204)))),""))</f>
        <v/>
      </c>
    </row>
    <row r="107" customFormat="false" ht="15" hidden="false" customHeight="false" outlineLevel="0" collapsed="false">
      <c r="A107" s="23"/>
      <c r="B107" s="24"/>
      <c r="C107" s="25"/>
      <c r="D107" s="24"/>
      <c r="E107" s="21" t="str">
        <f aca="false">IF(OR(B107="",N(N107)=0,N107=1000),IF(B107="","","Check"),INDEX(Rules!$B:$B,N107))</f>
        <v/>
      </c>
      <c r="F107" s="21" t="str">
        <f aca="false">IF(OR(B107="",N(N107)=0,N107=1000),"",INDEX(Rules!$C:$C,N107))</f>
        <v/>
      </c>
      <c r="G107" s="24"/>
      <c r="H107" s="24"/>
      <c r="I107" s="20" t="str">
        <f aca="false">IF(B107="","",IF(G107&lt;&gt;"",G107,E107))</f>
        <v/>
      </c>
      <c r="J107" s="21" t="str">
        <f aca="false">IF(B107="","",IF(H107&lt;&gt;"",H107,F107))</f>
        <v/>
      </c>
      <c r="K107" s="26" t="str">
        <f aca="false">IF(A107="","",DATE(YEAR(A107),MONTH(A107),1))</f>
        <v/>
      </c>
      <c r="L107" s="21" t="str">
        <f aca="false">IF(J107="",IF(B107="","",IF(N(C107)&gt;=0,"Income","Expense")),IFERROR(INDEX(Lists!$B$2:$B$30,MATCH(J107,Lists!$A$2:$A$30,0)),""))</f>
        <v/>
      </c>
      <c r="M107" s="24"/>
      <c r="N107" s="27" t="str">
        <f aca="false">IF(B107="","",IFERROR(1000-SUMPRODUCT(MAX(ISNUMBER(SEARCH(Rules!$A$5:$A$204,B107))*(Rules!$A$5:$A$204&lt;&gt;"")*(1000-ROW(Rules!$A$5:$A$204)))),""))</f>
        <v/>
      </c>
    </row>
    <row r="108" customFormat="false" ht="15" hidden="false" customHeight="false" outlineLevel="0" collapsed="false">
      <c r="A108" s="23"/>
      <c r="B108" s="24"/>
      <c r="C108" s="25"/>
      <c r="D108" s="24"/>
      <c r="E108" s="21" t="str">
        <f aca="false">IF(OR(B108="",N(N108)=0,N108=1000),IF(B108="","","Check"),INDEX(Rules!$B:$B,N108))</f>
        <v/>
      </c>
      <c r="F108" s="21" t="str">
        <f aca="false">IF(OR(B108="",N(N108)=0,N108=1000),"",INDEX(Rules!$C:$C,N108))</f>
        <v/>
      </c>
      <c r="G108" s="24"/>
      <c r="H108" s="24"/>
      <c r="I108" s="20" t="str">
        <f aca="false">IF(B108="","",IF(G108&lt;&gt;"",G108,E108))</f>
        <v/>
      </c>
      <c r="J108" s="21" t="str">
        <f aca="false">IF(B108="","",IF(H108&lt;&gt;"",H108,F108))</f>
        <v/>
      </c>
      <c r="K108" s="26" t="str">
        <f aca="false">IF(A108="","",DATE(YEAR(A108),MONTH(A108),1))</f>
        <v/>
      </c>
      <c r="L108" s="21" t="str">
        <f aca="false">IF(J108="",IF(B108="","",IF(N(C108)&gt;=0,"Income","Expense")),IFERROR(INDEX(Lists!$B$2:$B$30,MATCH(J108,Lists!$A$2:$A$30,0)),""))</f>
        <v/>
      </c>
      <c r="M108" s="24"/>
      <c r="N108" s="27" t="str">
        <f aca="false">IF(B108="","",IFERROR(1000-SUMPRODUCT(MAX(ISNUMBER(SEARCH(Rules!$A$5:$A$204,B108))*(Rules!$A$5:$A$204&lt;&gt;"")*(1000-ROW(Rules!$A$5:$A$204)))),""))</f>
        <v/>
      </c>
    </row>
    <row r="109" customFormat="false" ht="15" hidden="false" customHeight="false" outlineLevel="0" collapsed="false">
      <c r="A109" s="23"/>
      <c r="B109" s="24"/>
      <c r="C109" s="25"/>
      <c r="D109" s="24"/>
      <c r="E109" s="21" t="str">
        <f aca="false">IF(OR(B109="",N(N109)=0,N109=1000),IF(B109="","","Check"),INDEX(Rules!$B:$B,N109))</f>
        <v/>
      </c>
      <c r="F109" s="21" t="str">
        <f aca="false">IF(OR(B109="",N(N109)=0,N109=1000),"",INDEX(Rules!$C:$C,N109))</f>
        <v/>
      </c>
      <c r="G109" s="24"/>
      <c r="H109" s="24"/>
      <c r="I109" s="20" t="str">
        <f aca="false">IF(B109="","",IF(G109&lt;&gt;"",G109,E109))</f>
        <v/>
      </c>
      <c r="J109" s="21" t="str">
        <f aca="false">IF(B109="","",IF(H109&lt;&gt;"",H109,F109))</f>
        <v/>
      </c>
      <c r="K109" s="26" t="str">
        <f aca="false">IF(A109="","",DATE(YEAR(A109),MONTH(A109),1))</f>
        <v/>
      </c>
      <c r="L109" s="21" t="str">
        <f aca="false">IF(J109="",IF(B109="","",IF(N(C109)&gt;=0,"Income","Expense")),IFERROR(INDEX(Lists!$B$2:$B$30,MATCH(J109,Lists!$A$2:$A$30,0)),""))</f>
        <v/>
      </c>
      <c r="M109" s="24"/>
      <c r="N109" s="27" t="str">
        <f aca="false">IF(B109="","",IFERROR(1000-SUMPRODUCT(MAX(ISNUMBER(SEARCH(Rules!$A$5:$A$204,B109))*(Rules!$A$5:$A$204&lt;&gt;"")*(1000-ROW(Rules!$A$5:$A$204)))),""))</f>
        <v/>
      </c>
    </row>
    <row r="110" customFormat="false" ht="15" hidden="false" customHeight="false" outlineLevel="0" collapsed="false">
      <c r="A110" s="23"/>
      <c r="B110" s="24"/>
      <c r="C110" s="25"/>
      <c r="D110" s="24"/>
      <c r="E110" s="21" t="str">
        <f aca="false">IF(OR(B110="",N(N110)=0,N110=1000),IF(B110="","","Check"),INDEX(Rules!$B:$B,N110))</f>
        <v/>
      </c>
      <c r="F110" s="21" t="str">
        <f aca="false">IF(OR(B110="",N(N110)=0,N110=1000),"",INDEX(Rules!$C:$C,N110))</f>
        <v/>
      </c>
      <c r="G110" s="24"/>
      <c r="H110" s="24"/>
      <c r="I110" s="20" t="str">
        <f aca="false">IF(B110="","",IF(G110&lt;&gt;"",G110,E110))</f>
        <v/>
      </c>
      <c r="J110" s="21" t="str">
        <f aca="false">IF(B110="","",IF(H110&lt;&gt;"",H110,F110))</f>
        <v/>
      </c>
      <c r="K110" s="26" t="str">
        <f aca="false">IF(A110="","",DATE(YEAR(A110),MONTH(A110),1))</f>
        <v/>
      </c>
      <c r="L110" s="21" t="str">
        <f aca="false">IF(J110="",IF(B110="","",IF(N(C110)&gt;=0,"Income","Expense")),IFERROR(INDEX(Lists!$B$2:$B$30,MATCH(J110,Lists!$A$2:$A$30,0)),""))</f>
        <v/>
      </c>
      <c r="M110" s="24"/>
      <c r="N110" s="27" t="str">
        <f aca="false">IF(B110="","",IFERROR(1000-SUMPRODUCT(MAX(ISNUMBER(SEARCH(Rules!$A$5:$A$204,B110))*(Rules!$A$5:$A$204&lt;&gt;"")*(1000-ROW(Rules!$A$5:$A$204)))),""))</f>
        <v/>
      </c>
    </row>
    <row r="111" customFormat="false" ht="15" hidden="false" customHeight="false" outlineLevel="0" collapsed="false">
      <c r="A111" s="23"/>
      <c r="B111" s="24"/>
      <c r="C111" s="25"/>
      <c r="D111" s="24"/>
      <c r="E111" s="21" t="str">
        <f aca="false">IF(OR(B111="",N(N111)=0,N111=1000),IF(B111="","","Check"),INDEX(Rules!$B:$B,N111))</f>
        <v/>
      </c>
      <c r="F111" s="21" t="str">
        <f aca="false">IF(OR(B111="",N(N111)=0,N111=1000),"",INDEX(Rules!$C:$C,N111))</f>
        <v/>
      </c>
      <c r="G111" s="24"/>
      <c r="H111" s="24"/>
      <c r="I111" s="20" t="str">
        <f aca="false">IF(B111="","",IF(G111&lt;&gt;"",G111,E111))</f>
        <v/>
      </c>
      <c r="J111" s="21" t="str">
        <f aca="false">IF(B111="","",IF(H111&lt;&gt;"",H111,F111))</f>
        <v/>
      </c>
      <c r="K111" s="26" t="str">
        <f aca="false">IF(A111="","",DATE(YEAR(A111),MONTH(A111),1))</f>
        <v/>
      </c>
      <c r="L111" s="21" t="str">
        <f aca="false">IF(J111="",IF(B111="","",IF(N(C111)&gt;=0,"Income","Expense")),IFERROR(INDEX(Lists!$B$2:$B$30,MATCH(J111,Lists!$A$2:$A$30,0)),""))</f>
        <v/>
      </c>
      <c r="M111" s="24"/>
      <c r="N111" s="27" t="str">
        <f aca="false">IF(B111="","",IFERROR(1000-SUMPRODUCT(MAX(ISNUMBER(SEARCH(Rules!$A$5:$A$204,B111))*(Rules!$A$5:$A$204&lt;&gt;"")*(1000-ROW(Rules!$A$5:$A$204)))),""))</f>
        <v/>
      </c>
    </row>
    <row r="112" customFormat="false" ht="15" hidden="false" customHeight="false" outlineLevel="0" collapsed="false">
      <c r="A112" s="23"/>
      <c r="B112" s="24"/>
      <c r="C112" s="25"/>
      <c r="D112" s="24"/>
      <c r="E112" s="21" t="str">
        <f aca="false">IF(OR(B112="",N(N112)=0,N112=1000),IF(B112="","","Check"),INDEX(Rules!$B:$B,N112))</f>
        <v/>
      </c>
      <c r="F112" s="21" t="str">
        <f aca="false">IF(OR(B112="",N(N112)=0,N112=1000),"",INDEX(Rules!$C:$C,N112))</f>
        <v/>
      </c>
      <c r="G112" s="24"/>
      <c r="H112" s="24"/>
      <c r="I112" s="20" t="str">
        <f aca="false">IF(B112="","",IF(G112&lt;&gt;"",G112,E112))</f>
        <v/>
      </c>
      <c r="J112" s="21" t="str">
        <f aca="false">IF(B112="","",IF(H112&lt;&gt;"",H112,F112))</f>
        <v/>
      </c>
      <c r="K112" s="26" t="str">
        <f aca="false">IF(A112="","",DATE(YEAR(A112),MONTH(A112),1))</f>
        <v/>
      </c>
      <c r="L112" s="21" t="str">
        <f aca="false">IF(J112="",IF(B112="","",IF(N(C112)&gt;=0,"Income","Expense")),IFERROR(INDEX(Lists!$B$2:$B$30,MATCH(J112,Lists!$A$2:$A$30,0)),""))</f>
        <v/>
      </c>
      <c r="M112" s="24"/>
      <c r="N112" s="27" t="str">
        <f aca="false">IF(B112="","",IFERROR(1000-SUMPRODUCT(MAX(ISNUMBER(SEARCH(Rules!$A$5:$A$204,B112))*(Rules!$A$5:$A$204&lt;&gt;"")*(1000-ROW(Rules!$A$5:$A$204)))),""))</f>
        <v/>
      </c>
    </row>
    <row r="113" customFormat="false" ht="15" hidden="false" customHeight="false" outlineLevel="0" collapsed="false">
      <c r="A113" s="23"/>
      <c r="B113" s="24"/>
      <c r="C113" s="25"/>
      <c r="D113" s="24"/>
      <c r="E113" s="21" t="str">
        <f aca="false">IF(OR(B113="",N(N113)=0,N113=1000),IF(B113="","","Check"),INDEX(Rules!$B:$B,N113))</f>
        <v/>
      </c>
      <c r="F113" s="21" t="str">
        <f aca="false">IF(OR(B113="",N(N113)=0,N113=1000),"",INDEX(Rules!$C:$C,N113))</f>
        <v/>
      </c>
      <c r="G113" s="24"/>
      <c r="H113" s="24"/>
      <c r="I113" s="20" t="str">
        <f aca="false">IF(B113="","",IF(G113&lt;&gt;"",G113,E113))</f>
        <v/>
      </c>
      <c r="J113" s="21" t="str">
        <f aca="false">IF(B113="","",IF(H113&lt;&gt;"",H113,F113))</f>
        <v/>
      </c>
      <c r="K113" s="26" t="str">
        <f aca="false">IF(A113="","",DATE(YEAR(A113),MONTH(A113),1))</f>
        <v/>
      </c>
      <c r="L113" s="21" t="str">
        <f aca="false">IF(J113="",IF(B113="","",IF(N(C113)&gt;=0,"Income","Expense")),IFERROR(INDEX(Lists!$B$2:$B$30,MATCH(J113,Lists!$A$2:$A$30,0)),""))</f>
        <v/>
      </c>
      <c r="M113" s="24"/>
      <c r="N113" s="27" t="str">
        <f aca="false">IF(B113="","",IFERROR(1000-SUMPRODUCT(MAX(ISNUMBER(SEARCH(Rules!$A$5:$A$204,B113))*(Rules!$A$5:$A$204&lt;&gt;"")*(1000-ROW(Rules!$A$5:$A$204)))),""))</f>
        <v/>
      </c>
    </row>
    <row r="114" customFormat="false" ht="15" hidden="false" customHeight="false" outlineLevel="0" collapsed="false">
      <c r="A114" s="23"/>
      <c r="B114" s="24"/>
      <c r="C114" s="25"/>
      <c r="D114" s="24"/>
      <c r="E114" s="21" t="str">
        <f aca="false">IF(OR(B114="",N(N114)=0,N114=1000),IF(B114="","","Check"),INDEX(Rules!$B:$B,N114))</f>
        <v/>
      </c>
      <c r="F114" s="21" t="str">
        <f aca="false">IF(OR(B114="",N(N114)=0,N114=1000),"",INDEX(Rules!$C:$C,N114))</f>
        <v/>
      </c>
      <c r="G114" s="24"/>
      <c r="H114" s="24"/>
      <c r="I114" s="20" t="str">
        <f aca="false">IF(B114="","",IF(G114&lt;&gt;"",G114,E114))</f>
        <v/>
      </c>
      <c r="J114" s="21" t="str">
        <f aca="false">IF(B114="","",IF(H114&lt;&gt;"",H114,F114))</f>
        <v/>
      </c>
      <c r="K114" s="26" t="str">
        <f aca="false">IF(A114="","",DATE(YEAR(A114),MONTH(A114),1))</f>
        <v/>
      </c>
      <c r="L114" s="21" t="str">
        <f aca="false">IF(J114="",IF(B114="","",IF(N(C114)&gt;=0,"Income","Expense")),IFERROR(INDEX(Lists!$B$2:$B$30,MATCH(J114,Lists!$A$2:$A$30,0)),""))</f>
        <v/>
      </c>
      <c r="M114" s="24"/>
      <c r="N114" s="27" t="str">
        <f aca="false">IF(B114="","",IFERROR(1000-SUMPRODUCT(MAX(ISNUMBER(SEARCH(Rules!$A$5:$A$204,B114))*(Rules!$A$5:$A$204&lt;&gt;"")*(1000-ROW(Rules!$A$5:$A$204)))),""))</f>
        <v/>
      </c>
    </row>
    <row r="115" customFormat="false" ht="15" hidden="false" customHeight="false" outlineLevel="0" collapsed="false">
      <c r="A115" s="23"/>
      <c r="B115" s="24"/>
      <c r="C115" s="25"/>
      <c r="D115" s="24"/>
      <c r="E115" s="21" t="str">
        <f aca="false">IF(OR(B115="",N(N115)=0,N115=1000),IF(B115="","","Check"),INDEX(Rules!$B:$B,N115))</f>
        <v/>
      </c>
      <c r="F115" s="21" t="str">
        <f aca="false">IF(OR(B115="",N(N115)=0,N115=1000),"",INDEX(Rules!$C:$C,N115))</f>
        <v/>
      </c>
      <c r="G115" s="24"/>
      <c r="H115" s="24"/>
      <c r="I115" s="20" t="str">
        <f aca="false">IF(B115="","",IF(G115&lt;&gt;"",G115,E115))</f>
        <v/>
      </c>
      <c r="J115" s="21" t="str">
        <f aca="false">IF(B115="","",IF(H115&lt;&gt;"",H115,F115))</f>
        <v/>
      </c>
      <c r="K115" s="26" t="str">
        <f aca="false">IF(A115="","",DATE(YEAR(A115),MONTH(A115),1))</f>
        <v/>
      </c>
      <c r="L115" s="21" t="str">
        <f aca="false">IF(J115="",IF(B115="","",IF(N(C115)&gt;=0,"Income","Expense")),IFERROR(INDEX(Lists!$B$2:$B$30,MATCH(J115,Lists!$A$2:$A$30,0)),""))</f>
        <v/>
      </c>
      <c r="M115" s="24"/>
      <c r="N115" s="27" t="str">
        <f aca="false">IF(B115="","",IFERROR(1000-SUMPRODUCT(MAX(ISNUMBER(SEARCH(Rules!$A$5:$A$204,B115))*(Rules!$A$5:$A$204&lt;&gt;"")*(1000-ROW(Rules!$A$5:$A$204)))),""))</f>
        <v/>
      </c>
    </row>
    <row r="116" customFormat="false" ht="15" hidden="false" customHeight="false" outlineLevel="0" collapsed="false">
      <c r="A116" s="23"/>
      <c r="B116" s="24"/>
      <c r="C116" s="25"/>
      <c r="D116" s="24"/>
      <c r="E116" s="21" t="str">
        <f aca="false">IF(OR(B116="",N(N116)=0,N116=1000),IF(B116="","","Check"),INDEX(Rules!$B:$B,N116))</f>
        <v/>
      </c>
      <c r="F116" s="21" t="str">
        <f aca="false">IF(OR(B116="",N(N116)=0,N116=1000),"",INDEX(Rules!$C:$C,N116))</f>
        <v/>
      </c>
      <c r="G116" s="24"/>
      <c r="H116" s="24"/>
      <c r="I116" s="20" t="str">
        <f aca="false">IF(B116="","",IF(G116&lt;&gt;"",G116,E116))</f>
        <v/>
      </c>
      <c r="J116" s="21" t="str">
        <f aca="false">IF(B116="","",IF(H116&lt;&gt;"",H116,F116))</f>
        <v/>
      </c>
      <c r="K116" s="26" t="str">
        <f aca="false">IF(A116="","",DATE(YEAR(A116),MONTH(A116),1))</f>
        <v/>
      </c>
      <c r="L116" s="21" t="str">
        <f aca="false">IF(J116="",IF(B116="","",IF(N(C116)&gt;=0,"Income","Expense")),IFERROR(INDEX(Lists!$B$2:$B$30,MATCH(J116,Lists!$A$2:$A$30,0)),""))</f>
        <v/>
      </c>
      <c r="M116" s="24"/>
      <c r="N116" s="27" t="str">
        <f aca="false">IF(B116="","",IFERROR(1000-SUMPRODUCT(MAX(ISNUMBER(SEARCH(Rules!$A$5:$A$204,B116))*(Rules!$A$5:$A$204&lt;&gt;"")*(1000-ROW(Rules!$A$5:$A$204)))),""))</f>
        <v/>
      </c>
    </row>
    <row r="117" customFormat="false" ht="15" hidden="false" customHeight="false" outlineLevel="0" collapsed="false">
      <c r="A117" s="23"/>
      <c r="B117" s="24"/>
      <c r="C117" s="25"/>
      <c r="D117" s="24"/>
      <c r="E117" s="21" t="str">
        <f aca="false">IF(OR(B117="",N(N117)=0,N117=1000),IF(B117="","","Check"),INDEX(Rules!$B:$B,N117))</f>
        <v/>
      </c>
      <c r="F117" s="21" t="str">
        <f aca="false">IF(OR(B117="",N(N117)=0,N117=1000),"",INDEX(Rules!$C:$C,N117))</f>
        <v/>
      </c>
      <c r="G117" s="24"/>
      <c r="H117" s="24"/>
      <c r="I117" s="20" t="str">
        <f aca="false">IF(B117="","",IF(G117&lt;&gt;"",G117,E117))</f>
        <v/>
      </c>
      <c r="J117" s="21" t="str">
        <f aca="false">IF(B117="","",IF(H117&lt;&gt;"",H117,F117))</f>
        <v/>
      </c>
      <c r="K117" s="26" t="str">
        <f aca="false">IF(A117="","",DATE(YEAR(A117),MONTH(A117),1))</f>
        <v/>
      </c>
      <c r="L117" s="21" t="str">
        <f aca="false">IF(J117="",IF(B117="","",IF(N(C117)&gt;=0,"Income","Expense")),IFERROR(INDEX(Lists!$B$2:$B$30,MATCH(J117,Lists!$A$2:$A$30,0)),""))</f>
        <v/>
      </c>
      <c r="M117" s="24"/>
      <c r="N117" s="27" t="str">
        <f aca="false">IF(B117="","",IFERROR(1000-SUMPRODUCT(MAX(ISNUMBER(SEARCH(Rules!$A$5:$A$204,B117))*(Rules!$A$5:$A$204&lt;&gt;"")*(1000-ROW(Rules!$A$5:$A$204)))),""))</f>
        <v/>
      </c>
    </row>
    <row r="118" customFormat="false" ht="15" hidden="false" customHeight="false" outlineLevel="0" collapsed="false">
      <c r="A118" s="23"/>
      <c r="B118" s="24"/>
      <c r="C118" s="25"/>
      <c r="D118" s="24"/>
      <c r="E118" s="21" t="str">
        <f aca="false">IF(OR(B118="",N(N118)=0,N118=1000),IF(B118="","","Check"),INDEX(Rules!$B:$B,N118))</f>
        <v/>
      </c>
      <c r="F118" s="21" t="str">
        <f aca="false">IF(OR(B118="",N(N118)=0,N118=1000),"",INDEX(Rules!$C:$C,N118))</f>
        <v/>
      </c>
      <c r="G118" s="24"/>
      <c r="H118" s="24"/>
      <c r="I118" s="20" t="str">
        <f aca="false">IF(B118="","",IF(G118&lt;&gt;"",G118,E118))</f>
        <v/>
      </c>
      <c r="J118" s="21" t="str">
        <f aca="false">IF(B118="","",IF(H118&lt;&gt;"",H118,F118))</f>
        <v/>
      </c>
      <c r="K118" s="26" t="str">
        <f aca="false">IF(A118="","",DATE(YEAR(A118),MONTH(A118),1))</f>
        <v/>
      </c>
      <c r="L118" s="21" t="str">
        <f aca="false">IF(J118="",IF(B118="","",IF(N(C118)&gt;=0,"Income","Expense")),IFERROR(INDEX(Lists!$B$2:$B$30,MATCH(J118,Lists!$A$2:$A$30,0)),""))</f>
        <v/>
      </c>
      <c r="M118" s="24"/>
      <c r="N118" s="27" t="str">
        <f aca="false">IF(B118="","",IFERROR(1000-SUMPRODUCT(MAX(ISNUMBER(SEARCH(Rules!$A$5:$A$204,B118))*(Rules!$A$5:$A$204&lt;&gt;"")*(1000-ROW(Rules!$A$5:$A$204)))),""))</f>
        <v/>
      </c>
    </row>
    <row r="119" customFormat="false" ht="15" hidden="false" customHeight="false" outlineLevel="0" collapsed="false">
      <c r="A119" s="23"/>
      <c r="B119" s="24"/>
      <c r="C119" s="25"/>
      <c r="D119" s="24"/>
      <c r="E119" s="21" t="str">
        <f aca="false">IF(OR(B119="",N(N119)=0,N119=1000),IF(B119="","","Check"),INDEX(Rules!$B:$B,N119))</f>
        <v/>
      </c>
      <c r="F119" s="21" t="str">
        <f aca="false">IF(OR(B119="",N(N119)=0,N119=1000),"",INDEX(Rules!$C:$C,N119))</f>
        <v/>
      </c>
      <c r="G119" s="24"/>
      <c r="H119" s="24"/>
      <c r="I119" s="20" t="str">
        <f aca="false">IF(B119="","",IF(G119&lt;&gt;"",G119,E119))</f>
        <v/>
      </c>
      <c r="J119" s="21" t="str">
        <f aca="false">IF(B119="","",IF(H119&lt;&gt;"",H119,F119))</f>
        <v/>
      </c>
      <c r="K119" s="26" t="str">
        <f aca="false">IF(A119="","",DATE(YEAR(A119),MONTH(A119),1))</f>
        <v/>
      </c>
      <c r="L119" s="21" t="str">
        <f aca="false">IF(J119="",IF(B119="","",IF(N(C119)&gt;=0,"Income","Expense")),IFERROR(INDEX(Lists!$B$2:$B$30,MATCH(J119,Lists!$A$2:$A$30,0)),""))</f>
        <v/>
      </c>
      <c r="M119" s="24"/>
      <c r="N119" s="27" t="str">
        <f aca="false">IF(B119="","",IFERROR(1000-SUMPRODUCT(MAX(ISNUMBER(SEARCH(Rules!$A$5:$A$204,B119))*(Rules!$A$5:$A$204&lt;&gt;"")*(1000-ROW(Rules!$A$5:$A$204)))),""))</f>
        <v/>
      </c>
    </row>
    <row r="120" customFormat="false" ht="15" hidden="false" customHeight="false" outlineLevel="0" collapsed="false">
      <c r="A120" s="23"/>
      <c r="B120" s="24"/>
      <c r="C120" s="25"/>
      <c r="D120" s="24"/>
      <c r="E120" s="21" t="str">
        <f aca="false">IF(OR(B120="",N(N120)=0,N120=1000),IF(B120="","","Check"),INDEX(Rules!$B:$B,N120))</f>
        <v/>
      </c>
      <c r="F120" s="21" t="str">
        <f aca="false">IF(OR(B120="",N(N120)=0,N120=1000),"",INDEX(Rules!$C:$C,N120))</f>
        <v/>
      </c>
      <c r="G120" s="24"/>
      <c r="H120" s="24"/>
      <c r="I120" s="20" t="str">
        <f aca="false">IF(B120="","",IF(G120&lt;&gt;"",G120,E120))</f>
        <v/>
      </c>
      <c r="J120" s="21" t="str">
        <f aca="false">IF(B120="","",IF(H120&lt;&gt;"",H120,F120))</f>
        <v/>
      </c>
      <c r="K120" s="26" t="str">
        <f aca="false">IF(A120="","",DATE(YEAR(A120),MONTH(A120),1))</f>
        <v/>
      </c>
      <c r="L120" s="21" t="str">
        <f aca="false">IF(J120="",IF(B120="","",IF(N(C120)&gt;=0,"Income","Expense")),IFERROR(INDEX(Lists!$B$2:$B$30,MATCH(J120,Lists!$A$2:$A$30,0)),""))</f>
        <v/>
      </c>
      <c r="M120" s="24"/>
      <c r="N120" s="27" t="str">
        <f aca="false">IF(B120="","",IFERROR(1000-SUMPRODUCT(MAX(ISNUMBER(SEARCH(Rules!$A$5:$A$204,B120))*(Rules!$A$5:$A$204&lt;&gt;"")*(1000-ROW(Rules!$A$5:$A$204)))),""))</f>
        <v/>
      </c>
    </row>
    <row r="121" customFormat="false" ht="15" hidden="false" customHeight="false" outlineLevel="0" collapsed="false">
      <c r="A121" s="23"/>
      <c r="B121" s="24"/>
      <c r="C121" s="25"/>
      <c r="D121" s="24"/>
      <c r="E121" s="21" t="str">
        <f aca="false">IF(OR(B121="",N(N121)=0,N121=1000),IF(B121="","","Check"),INDEX(Rules!$B:$B,N121))</f>
        <v/>
      </c>
      <c r="F121" s="21" t="str">
        <f aca="false">IF(OR(B121="",N(N121)=0,N121=1000),"",INDEX(Rules!$C:$C,N121))</f>
        <v/>
      </c>
      <c r="G121" s="24"/>
      <c r="H121" s="24"/>
      <c r="I121" s="20" t="str">
        <f aca="false">IF(B121="","",IF(G121&lt;&gt;"",G121,E121))</f>
        <v/>
      </c>
      <c r="J121" s="21" t="str">
        <f aca="false">IF(B121="","",IF(H121&lt;&gt;"",H121,F121))</f>
        <v/>
      </c>
      <c r="K121" s="26" t="str">
        <f aca="false">IF(A121="","",DATE(YEAR(A121),MONTH(A121),1))</f>
        <v/>
      </c>
      <c r="L121" s="21" t="str">
        <f aca="false">IF(J121="",IF(B121="","",IF(N(C121)&gt;=0,"Income","Expense")),IFERROR(INDEX(Lists!$B$2:$B$30,MATCH(J121,Lists!$A$2:$A$30,0)),""))</f>
        <v/>
      </c>
      <c r="M121" s="24"/>
      <c r="N121" s="27" t="str">
        <f aca="false">IF(B121="","",IFERROR(1000-SUMPRODUCT(MAX(ISNUMBER(SEARCH(Rules!$A$5:$A$204,B121))*(Rules!$A$5:$A$204&lt;&gt;"")*(1000-ROW(Rules!$A$5:$A$204)))),""))</f>
        <v/>
      </c>
    </row>
    <row r="122" customFormat="false" ht="15" hidden="false" customHeight="false" outlineLevel="0" collapsed="false">
      <c r="A122" s="23"/>
      <c r="B122" s="24"/>
      <c r="C122" s="25"/>
      <c r="D122" s="24"/>
      <c r="E122" s="21" t="str">
        <f aca="false">IF(OR(B122="",N(N122)=0,N122=1000),IF(B122="","","Check"),INDEX(Rules!$B:$B,N122))</f>
        <v/>
      </c>
      <c r="F122" s="21" t="str">
        <f aca="false">IF(OR(B122="",N(N122)=0,N122=1000),"",INDEX(Rules!$C:$C,N122))</f>
        <v/>
      </c>
      <c r="G122" s="24"/>
      <c r="H122" s="24"/>
      <c r="I122" s="20" t="str">
        <f aca="false">IF(B122="","",IF(G122&lt;&gt;"",G122,E122))</f>
        <v/>
      </c>
      <c r="J122" s="21" t="str">
        <f aca="false">IF(B122="","",IF(H122&lt;&gt;"",H122,F122))</f>
        <v/>
      </c>
      <c r="K122" s="26" t="str">
        <f aca="false">IF(A122="","",DATE(YEAR(A122),MONTH(A122),1))</f>
        <v/>
      </c>
      <c r="L122" s="21" t="str">
        <f aca="false">IF(J122="",IF(B122="","",IF(N(C122)&gt;=0,"Income","Expense")),IFERROR(INDEX(Lists!$B$2:$B$30,MATCH(J122,Lists!$A$2:$A$30,0)),""))</f>
        <v/>
      </c>
      <c r="M122" s="24"/>
      <c r="N122" s="27" t="str">
        <f aca="false">IF(B122="","",IFERROR(1000-SUMPRODUCT(MAX(ISNUMBER(SEARCH(Rules!$A$5:$A$204,B122))*(Rules!$A$5:$A$204&lt;&gt;"")*(1000-ROW(Rules!$A$5:$A$204)))),""))</f>
        <v/>
      </c>
    </row>
    <row r="123" customFormat="false" ht="15" hidden="false" customHeight="false" outlineLevel="0" collapsed="false">
      <c r="A123" s="23"/>
      <c r="B123" s="24"/>
      <c r="C123" s="25"/>
      <c r="D123" s="24"/>
      <c r="E123" s="21" t="str">
        <f aca="false">IF(OR(B123="",N(N123)=0,N123=1000),IF(B123="","","Check"),INDEX(Rules!$B:$B,N123))</f>
        <v/>
      </c>
      <c r="F123" s="21" t="str">
        <f aca="false">IF(OR(B123="",N(N123)=0,N123=1000),"",INDEX(Rules!$C:$C,N123))</f>
        <v/>
      </c>
      <c r="G123" s="24"/>
      <c r="H123" s="24"/>
      <c r="I123" s="20" t="str">
        <f aca="false">IF(B123="","",IF(G123&lt;&gt;"",G123,E123))</f>
        <v/>
      </c>
      <c r="J123" s="21" t="str">
        <f aca="false">IF(B123="","",IF(H123&lt;&gt;"",H123,F123))</f>
        <v/>
      </c>
      <c r="K123" s="26" t="str">
        <f aca="false">IF(A123="","",DATE(YEAR(A123),MONTH(A123),1))</f>
        <v/>
      </c>
      <c r="L123" s="21" t="str">
        <f aca="false">IF(J123="",IF(B123="","",IF(N(C123)&gt;=0,"Income","Expense")),IFERROR(INDEX(Lists!$B$2:$B$30,MATCH(J123,Lists!$A$2:$A$30,0)),""))</f>
        <v/>
      </c>
      <c r="M123" s="24"/>
      <c r="N123" s="27" t="str">
        <f aca="false">IF(B123="","",IFERROR(1000-SUMPRODUCT(MAX(ISNUMBER(SEARCH(Rules!$A$5:$A$204,B123))*(Rules!$A$5:$A$204&lt;&gt;"")*(1000-ROW(Rules!$A$5:$A$204)))),""))</f>
        <v/>
      </c>
    </row>
    <row r="124" customFormat="false" ht="15" hidden="false" customHeight="false" outlineLevel="0" collapsed="false">
      <c r="A124" s="23"/>
      <c r="B124" s="24"/>
      <c r="C124" s="25"/>
      <c r="D124" s="24"/>
      <c r="E124" s="21" t="str">
        <f aca="false">IF(OR(B124="",N(N124)=0,N124=1000),IF(B124="","","Check"),INDEX(Rules!$B:$B,N124))</f>
        <v/>
      </c>
      <c r="F124" s="21" t="str">
        <f aca="false">IF(OR(B124="",N(N124)=0,N124=1000),"",INDEX(Rules!$C:$C,N124))</f>
        <v/>
      </c>
      <c r="G124" s="24"/>
      <c r="H124" s="24"/>
      <c r="I124" s="20" t="str">
        <f aca="false">IF(B124="","",IF(G124&lt;&gt;"",G124,E124))</f>
        <v/>
      </c>
      <c r="J124" s="21" t="str">
        <f aca="false">IF(B124="","",IF(H124&lt;&gt;"",H124,F124))</f>
        <v/>
      </c>
      <c r="K124" s="26" t="str">
        <f aca="false">IF(A124="","",DATE(YEAR(A124),MONTH(A124),1))</f>
        <v/>
      </c>
      <c r="L124" s="21" t="str">
        <f aca="false">IF(J124="",IF(B124="","",IF(N(C124)&gt;=0,"Income","Expense")),IFERROR(INDEX(Lists!$B$2:$B$30,MATCH(J124,Lists!$A$2:$A$30,0)),""))</f>
        <v/>
      </c>
      <c r="M124" s="24"/>
      <c r="N124" s="27" t="str">
        <f aca="false">IF(B124="","",IFERROR(1000-SUMPRODUCT(MAX(ISNUMBER(SEARCH(Rules!$A$5:$A$204,B124))*(Rules!$A$5:$A$204&lt;&gt;"")*(1000-ROW(Rules!$A$5:$A$204)))),""))</f>
        <v/>
      </c>
    </row>
    <row r="125" customFormat="false" ht="15" hidden="false" customHeight="false" outlineLevel="0" collapsed="false">
      <c r="A125" s="23"/>
      <c r="B125" s="24"/>
      <c r="C125" s="25"/>
      <c r="D125" s="24"/>
      <c r="E125" s="21" t="str">
        <f aca="false">IF(OR(B125="",N(N125)=0,N125=1000),IF(B125="","","Check"),INDEX(Rules!$B:$B,N125))</f>
        <v/>
      </c>
      <c r="F125" s="21" t="str">
        <f aca="false">IF(OR(B125="",N(N125)=0,N125=1000),"",INDEX(Rules!$C:$C,N125))</f>
        <v/>
      </c>
      <c r="G125" s="24"/>
      <c r="H125" s="24"/>
      <c r="I125" s="20" t="str">
        <f aca="false">IF(B125="","",IF(G125&lt;&gt;"",G125,E125))</f>
        <v/>
      </c>
      <c r="J125" s="21" t="str">
        <f aca="false">IF(B125="","",IF(H125&lt;&gt;"",H125,F125))</f>
        <v/>
      </c>
      <c r="K125" s="26" t="str">
        <f aca="false">IF(A125="","",DATE(YEAR(A125),MONTH(A125),1))</f>
        <v/>
      </c>
      <c r="L125" s="21" t="str">
        <f aca="false">IF(J125="",IF(B125="","",IF(N(C125)&gt;=0,"Income","Expense")),IFERROR(INDEX(Lists!$B$2:$B$30,MATCH(J125,Lists!$A$2:$A$30,0)),""))</f>
        <v/>
      </c>
      <c r="M125" s="24"/>
      <c r="N125" s="27" t="str">
        <f aca="false">IF(B125="","",IFERROR(1000-SUMPRODUCT(MAX(ISNUMBER(SEARCH(Rules!$A$5:$A$204,B125))*(Rules!$A$5:$A$204&lt;&gt;"")*(1000-ROW(Rules!$A$5:$A$204)))),""))</f>
        <v/>
      </c>
    </row>
    <row r="126" customFormat="false" ht="15" hidden="false" customHeight="false" outlineLevel="0" collapsed="false">
      <c r="A126" s="23"/>
      <c r="B126" s="24"/>
      <c r="C126" s="25"/>
      <c r="D126" s="24"/>
      <c r="E126" s="21" t="str">
        <f aca="false">IF(OR(B126="",N(N126)=0,N126=1000),IF(B126="","","Check"),INDEX(Rules!$B:$B,N126))</f>
        <v/>
      </c>
      <c r="F126" s="21" t="str">
        <f aca="false">IF(OR(B126="",N(N126)=0,N126=1000),"",INDEX(Rules!$C:$C,N126))</f>
        <v/>
      </c>
      <c r="G126" s="24"/>
      <c r="H126" s="24"/>
      <c r="I126" s="20" t="str">
        <f aca="false">IF(B126="","",IF(G126&lt;&gt;"",G126,E126))</f>
        <v/>
      </c>
      <c r="J126" s="21" t="str">
        <f aca="false">IF(B126="","",IF(H126&lt;&gt;"",H126,F126))</f>
        <v/>
      </c>
      <c r="K126" s="26" t="str">
        <f aca="false">IF(A126="","",DATE(YEAR(A126),MONTH(A126),1))</f>
        <v/>
      </c>
      <c r="L126" s="21" t="str">
        <f aca="false">IF(J126="",IF(B126="","",IF(N(C126)&gt;=0,"Income","Expense")),IFERROR(INDEX(Lists!$B$2:$B$30,MATCH(J126,Lists!$A$2:$A$30,0)),""))</f>
        <v/>
      </c>
      <c r="M126" s="24"/>
      <c r="N126" s="27" t="str">
        <f aca="false">IF(B126="","",IFERROR(1000-SUMPRODUCT(MAX(ISNUMBER(SEARCH(Rules!$A$5:$A$204,B126))*(Rules!$A$5:$A$204&lt;&gt;"")*(1000-ROW(Rules!$A$5:$A$204)))),""))</f>
        <v/>
      </c>
    </row>
    <row r="127" customFormat="false" ht="15" hidden="false" customHeight="false" outlineLevel="0" collapsed="false">
      <c r="A127" s="23"/>
      <c r="B127" s="24"/>
      <c r="C127" s="25"/>
      <c r="D127" s="24"/>
      <c r="E127" s="21" t="str">
        <f aca="false">IF(OR(B127="",N(N127)=0,N127=1000),IF(B127="","","Check"),INDEX(Rules!$B:$B,N127))</f>
        <v/>
      </c>
      <c r="F127" s="21" t="str">
        <f aca="false">IF(OR(B127="",N(N127)=0,N127=1000),"",INDEX(Rules!$C:$C,N127))</f>
        <v/>
      </c>
      <c r="G127" s="24"/>
      <c r="H127" s="24"/>
      <c r="I127" s="20" t="str">
        <f aca="false">IF(B127="","",IF(G127&lt;&gt;"",G127,E127))</f>
        <v/>
      </c>
      <c r="J127" s="21" t="str">
        <f aca="false">IF(B127="","",IF(H127&lt;&gt;"",H127,F127))</f>
        <v/>
      </c>
      <c r="K127" s="26" t="str">
        <f aca="false">IF(A127="","",DATE(YEAR(A127),MONTH(A127),1))</f>
        <v/>
      </c>
      <c r="L127" s="21" t="str">
        <f aca="false">IF(J127="",IF(B127="","",IF(N(C127)&gt;=0,"Income","Expense")),IFERROR(INDEX(Lists!$B$2:$B$30,MATCH(J127,Lists!$A$2:$A$30,0)),""))</f>
        <v/>
      </c>
      <c r="M127" s="24"/>
      <c r="N127" s="27" t="str">
        <f aca="false">IF(B127="","",IFERROR(1000-SUMPRODUCT(MAX(ISNUMBER(SEARCH(Rules!$A$5:$A$204,B127))*(Rules!$A$5:$A$204&lt;&gt;"")*(1000-ROW(Rules!$A$5:$A$204)))),""))</f>
        <v/>
      </c>
    </row>
    <row r="128" customFormat="false" ht="15" hidden="false" customHeight="false" outlineLevel="0" collapsed="false">
      <c r="A128" s="23"/>
      <c r="B128" s="24"/>
      <c r="C128" s="25"/>
      <c r="D128" s="24"/>
      <c r="E128" s="21" t="str">
        <f aca="false">IF(OR(B128="",N(N128)=0,N128=1000),IF(B128="","","Check"),INDEX(Rules!$B:$B,N128))</f>
        <v/>
      </c>
      <c r="F128" s="21" t="str">
        <f aca="false">IF(OR(B128="",N(N128)=0,N128=1000),"",INDEX(Rules!$C:$C,N128))</f>
        <v/>
      </c>
      <c r="G128" s="24"/>
      <c r="H128" s="24"/>
      <c r="I128" s="20" t="str">
        <f aca="false">IF(B128="","",IF(G128&lt;&gt;"",G128,E128))</f>
        <v/>
      </c>
      <c r="J128" s="21" t="str">
        <f aca="false">IF(B128="","",IF(H128&lt;&gt;"",H128,F128))</f>
        <v/>
      </c>
      <c r="K128" s="26" t="str">
        <f aca="false">IF(A128="","",DATE(YEAR(A128),MONTH(A128),1))</f>
        <v/>
      </c>
      <c r="L128" s="21" t="str">
        <f aca="false">IF(J128="",IF(B128="","",IF(N(C128)&gt;=0,"Income","Expense")),IFERROR(INDEX(Lists!$B$2:$B$30,MATCH(J128,Lists!$A$2:$A$30,0)),""))</f>
        <v/>
      </c>
      <c r="M128" s="24"/>
      <c r="N128" s="27" t="str">
        <f aca="false">IF(B128="","",IFERROR(1000-SUMPRODUCT(MAX(ISNUMBER(SEARCH(Rules!$A$5:$A$204,B128))*(Rules!$A$5:$A$204&lt;&gt;"")*(1000-ROW(Rules!$A$5:$A$204)))),""))</f>
        <v/>
      </c>
    </row>
    <row r="129" customFormat="false" ht="15" hidden="false" customHeight="false" outlineLevel="0" collapsed="false">
      <c r="A129" s="23"/>
      <c r="B129" s="24"/>
      <c r="C129" s="25"/>
      <c r="D129" s="24"/>
      <c r="E129" s="21" t="str">
        <f aca="false">IF(OR(B129="",N(N129)=0,N129=1000),IF(B129="","","Check"),INDEX(Rules!$B:$B,N129))</f>
        <v/>
      </c>
      <c r="F129" s="21" t="str">
        <f aca="false">IF(OR(B129="",N(N129)=0,N129=1000),"",INDEX(Rules!$C:$C,N129))</f>
        <v/>
      </c>
      <c r="G129" s="24"/>
      <c r="H129" s="24"/>
      <c r="I129" s="20" t="str">
        <f aca="false">IF(B129="","",IF(G129&lt;&gt;"",G129,E129))</f>
        <v/>
      </c>
      <c r="J129" s="21" t="str">
        <f aca="false">IF(B129="","",IF(H129&lt;&gt;"",H129,F129))</f>
        <v/>
      </c>
      <c r="K129" s="26" t="str">
        <f aca="false">IF(A129="","",DATE(YEAR(A129),MONTH(A129),1))</f>
        <v/>
      </c>
      <c r="L129" s="21" t="str">
        <f aca="false">IF(J129="",IF(B129="","",IF(N(C129)&gt;=0,"Income","Expense")),IFERROR(INDEX(Lists!$B$2:$B$30,MATCH(J129,Lists!$A$2:$A$30,0)),""))</f>
        <v/>
      </c>
      <c r="M129" s="24"/>
      <c r="N129" s="27" t="str">
        <f aca="false">IF(B129="","",IFERROR(1000-SUMPRODUCT(MAX(ISNUMBER(SEARCH(Rules!$A$5:$A$204,B129))*(Rules!$A$5:$A$204&lt;&gt;"")*(1000-ROW(Rules!$A$5:$A$204)))),""))</f>
        <v/>
      </c>
    </row>
    <row r="130" customFormat="false" ht="15" hidden="false" customHeight="false" outlineLevel="0" collapsed="false">
      <c r="A130" s="23"/>
      <c r="B130" s="24"/>
      <c r="C130" s="25"/>
      <c r="D130" s="24"/>
      <c r="E130" s="21" t="str">
        <f aca="false">IF(OR(B130="",N(N130)=0,N130=1000),IF(B130="","","Check"),INDEX(Rules!$B:$B,N130))</f>
        <v/>
      </c>
      <c r="F130" s="21" t="str">
        <f aca="false">IF(OR(B130="",N(N130)=0,N130=1000),"",INDEX(Rules!$C:$C,N130))</f>
        <v/>
      </c>
      <c r="G130" s="24"/>
      <c r="H130" s="24"/>
      <c r="I130" s="20" t="str">
        <f aca="false">IF(B130="","",IF(G130&lt;&gt;"",G130,E130))</f>
        <v/>
      </c>
      <c r="J130" s="21" t="str">
        <f aca="false">IF(B130="","",IF(H130&lt;&gt;"",H130,F130))</f>
        <v/>
      </c>
      <c r="K130" s="26" t="str">
        <f aca="false">IF(A130="","",DATE(YEAR(A130),MONTH(A130),1))</f>
        <v/>
      </c>
      <c r="L130" s="21" t="str">
        <f aca="false">IF(J130="",IF(B130="","",IF(N(C130)&gt;=0,"Income","Expense")),IFERROR(INDEX(Lists!$B$2:$B$30,MATCH(J130,Lists!$A$2:$A$30,0)),""))</f>
        <v/>
      </c>
      <c r="M130" s="24"/>
      <c r="N130" s="27" t="str">
        <f aca="false">IF(B130="","",IFERROR(1000-SUMPRODUCT(MAX(ISNUMBER(SEARCH(Rules!$A$5:$A$204,B130))*(Rules!$A$5:$A$204&lt;&gt;"")*(1000-ROW(Rules!$A$5:$A$204)))),""))</f>
        <v/>
      </c>
    </row>
    <row r="131" customFormat="false" ht="15" hidden="false" customHeight="false" outlineLevel="0" collapsed="false">
      <c r="A131" s="23"/>
      <c r="B131" s="24"/>
      <c r="C131" s="25"/>
      <c r="D131" s="24"/>
      <c r="E131" s="21" t="str">
        <f aca="false">IF(OR(B131="",N(N131)=0,N131=1000),IF(B131="","","Check"),INDEX(Rules!$B:$B,N131))</f>
        <v/>
      </c>
      <c r="F131" s="21" t="str">
        <f aca="false">IF(OR(B131="",N(N131)=0,N131=1000),"",INDEX(Rules!$C:$C,N131))</f>
        <v/>
      </c>
      <c r="G131" s="24"/>
      <c r="H131" s="24"/>
      <c r="I131" s="20" t="str">
        <f aca="false">IF(B131="","",IF(G131&lt;&gt;"",G131,E131))</f>
        <v/>
      </c>
      <c r="J131" s="21" t="str">
        <f aca="false">IF(B131="","",IF(H131&lt;&gt;"",H131,F131))</f>
        <v/>
      </c>
      <c r="K131" s="26" t="str">
        <f aca="false">IF(A131="","",DATE(YEAR(A131),MONTH(A131),1))</f>
        <v/>
      </c>
      <c r="L131" s="21" t="str">
        <f aca="false">IF(J131="",IF(B131="","",IF(N(C131)&gt;=0,"Income","Expense")),IFERROR(INDEX(Lists!$B$2:$B$30,MATCH(J131,Lists!$A$2:$A$30,0)),""))</f>
        <v/>
      </c>
      <c r="M131" s="24"/>
      <c r="N131" s="27" t="str">
        <f aca="false">IF(B131="","",IFERROR(1000-SUMPRODUCT(MAX(ISNUMBER(SEARCH(Rules!$A$5:$A$204,B131))*(Rules!$A$5:$A$204&lt;&gt;"")*(1000-ROW(Rules!$A$5:$A$204)))),""))</f>
        <v/>
      </c>
    </row>
    <row r="132" customFormat="false" ht="15" hidden="false" customHeight="false" outlineLevel="0" collapsed="false">
      <c r="A132" s="23"/>
      <c r="B132" s="24"/>
      <c r="C132" s="25"/>
      <c r="D132" s="24"/>
      <c r="E132" s="21" t="str">
        <f aca="false">IF(OR(B132="",N(N132)=0,N132=1000),IF(B132="","","Check"),INDEX(Rules!$B:$B,N132))</f>
        <v/>
      </c>
      <c r="F132" s="21" t="str">
        <f aca="false">IF(OR(B132="",N(N132)=0,N132=1000),"",INDEX(Rules!$C:$C,N132))</f>
        <v/>
      </c>
      <c r="G132" s="24"/>
      <c r="H132" s="24"/>
      <c r="I132" s="20" t="str">
        <f aca="false">IF(B132="","",IF(G132&lt;&gt;"",G132,E132))</f>
        <v/>
      </c>
      <c r="J132" s="21" t="str">
        <f aca="false">IF(B132="","",IF(H132&lt;&gt;"",H132,F132))</f>
        <v/>
      </c>
      <c r="K132" s="26" t="str">
        <f aca="false">IF(A132="","",DATE(YEAR(A132),MONTH(A132),1))</f>
        <v/>
      </c>
      <c r="L132" s="21" t="str">
        <f aca="false">IF(J132="",IF(B132="","",IF(N(C132)&gt;=0,"Income","Expense")),IFERROR(INDEX(Lists!$B$2:$B$30,MATCH(J132,Lists!$A$2:$A$30,0)),""))</f>
        <v/>
      </c>
      <c r="M132" s="24"/>
      <c r="N132" s="27" t="str">
        <f aca="false">IF(B132="","",IFERROR(1000-SUMPRODUCT(MAX(ISNUMBER(SEARCH(Rules!$A$5:$A$204,B132))*(Rules!$A$5:$A$204&lt;&gt;"")*(1000-ROW(Rules!$A$5:$A$204)))),""))</f>
        <v/>
      </c>
    </row>
    <row r="133" customFormat="false" ht="15" hidden="false" customHeight="false" outlineLevel="0" collapsed="false">
      <c r="A133" s="23"/>
      <c r="B133" s="24"/>
      <c r="C133" s="25"/>
      <c r="D133" s="24"/>
      <c r="E133" s="21" t="str">
        <f aca="false">IF(OR(B133="",N(N133)=0,N133=1000),IF(B133="","","Check"),INDEX(Rules!$B:$B,N133))</f>
        <v/>
      </c>
      <c r="F133" s="21" t="str">
        <f aca="false">IF(OR(B133="",N(N133)=0,N133=1000),"",INDEX(Rules!$C:$C,N133))</f>
        <v/>
      </c>
      <c r="G133" s="24"/>
      <c r="H133" s="24"/>
      <c r="I133" s="20" t="str">
        <f aca="false">IF(B133="","",IF(G133&lt;&gt;"",G133,E133))</f>
        <v/>
      </c>
      <c r="J133" s="21" t="str">
        <f aca="false">IF(B133="","",IF(H133&lt;&gt;"",H133,F133))</f>
        <v/>
      </c>
      <c r="K133" s="26" t="str">
        <f aca="false">IF(A133="","",DATE(YEAR(A133),MONTH(A133),1))</f>
        <v/>
      </c>
      <c r="L133" s="21" t="str">
        <f aca="false">IF(J133="",IF(B133="","",IF(N(C133)&gt;=0,"Income","Expense")),IFERROR(INDEX(Lists!$B$2:$B$30,MATCH(J133,Lists!$A$2:$A$30,0)),""))</f>
        <v/>
      </c>
      <c r="M133" s="24"/>
      <c r="N133" s="27" t="str">
        <f aca="false">IF(B133="","",IFERROR(1000-SUMPRODUCT(MAX(ISNUMBER(SEARCH(Rules!$A$5:$A$204,B133))*(Rules!$A$5:$A$204&lt;&gt;"")*(1000-ROW(Rules!$A$5:$A$204)))),""))</f>
        <v/>
      </c>
    </row>
    <row r="134" customFormat="false" ht="15" hidden="false" customHeight="false" outlineLevel="0" collapsed="false">
      <c r="A134" s="23"/>
      <c r="B134" s="24"/>
      <c r="C134" s="25"/>
      <c r="D134" s="24"/>
      <c r="E134" s="21" t="str">
        <f aca="false">IF(OR(B134="",N(N134)=0,N134=1000),IF(B134="","","Check"),INDEX(Rules!$B:$B,N134))</f>
        <v/>
      </c>
      <c r="F134" s="21" t="str">
        <f aca="false">IF(OR(B134="",N(N134)=0,N134=1000),"",INDEX(Rules!$C:$C,N134))</f>
        <v/>
      </c>
      <c r="G134" s="24"/>
      <c r="H134" s="24"/>
      <c r="I134" s="20" t="str">
        <f aca="false">IF(B134="","",IF(G134&lt;&gt;"",G134,E134))</f>
        <v/>
      </c>
      <c r="J134" s="21" t="str">
        <f aca="false">IF(B134="","",IF(H134&lt;&gt;"",H134,F134))</f>
        <v/>
      </c>
      <c r="K134" s="26" t="str">
        <f aca="false">IF(A134="","",DATE(YEAR(A134),MONTH(A134),1))</f>
        <v/>
      </c>
      <c r="L134" s="21" t="str">
        <f aca="false">IF(J134="",IF(B134="","",IF(N(C134)&gt;=0,"Income","Expense")),IFERROR(INDEX(Lists!$B$2:$B$30,MATCH(J134,Lists!$A$2:$A$30,0)),""))</f>
        <v/>
      </c>
      <c r="M134" s="24"/>
      <c r="N134" s="27" t="str">
        <f aca="false">IF(B134="","",IFERROR(1000-SUMPRODUCT(MAX(ISNUMBER(SEARCH(Rules!$A$5:$A$204,B134))*(Rules!$A$5:$A$204&lt;&gt;"")*(1000-ROW(Rules!$A$5:$A$204)))),""))</f>
        <v/>
      </c>
    </row>
    <row r="135" customFormat="false" ht="15" hidden="false" customHeight="false" outlineLevel="0" collapsed="false">
      <c r="A135" s="23"/>
      <c r="B135" s="24"/>
      <c r="C135" s="25"/>
      <c r="D135" s="24"/>
      <c r="E135" s="21" t="str">
        <f aca="false">IF(OR(B135="",N(N135)=0,N135=1000),IF(B135="","","Check"),INDEX(Rules!$B:$B,N135))</f>
        <v/>
      </c>
      <c r="F135" s="21" t="str">
        <f aca="false">IF(OR(B135="",N(N135)=0,N135=1000),"",INDEX(Rules!$C:$C,N135))</f>
        <v/>
      </c>
      <c r="G135" s="24"/>
      <c r="H135" s="24"/>
      <c r="I135" s="20" t="str">
        <f aca="false">IF(B135="","",IF(G135&lt;&gt;"",G135,E135))</f>
        <v/>
      </c>
      <c r="J135" s="21" t="str">
        <f aca="false">IF(B135="","",IF(H135&lt;&gt;"",H135,F135))</f>
        <v/>
      </c>
      <c r="K135" s="26" t="str">
        <f aca="false">IF(A135="","",DATE(YEAR(A135),MONTH(A135),1))</f>
        <v/>
      </c>
      <c r="L135" s="21" t="str">
        <f aca="false">IF(J135="",IF(B135="","",IF(N(C135)&gt;=0,"Income","Expense")),IFERROR(INDEX(Lists!$B$2:$B$30,MATCH(J135,Lists!$A$2:$A$30,0)),""))</f>
        <v/>
      </c>
      <c r="M135" s="24"/>
      <c r="N135" s="27" t="str">
        <f aca="false">IF(B135="","",IFERROR(1000-SUMPRODUCT(MAX(ISNUMBER(SEARCH(Rules!$A$5:$A$204,B135))*(Rules!$A$5:$A$204&lt;&gt;"")*(1000-ROW(Rules!$A$5:$A$204)))),""))</f>
        <v/>
      </c>
    </row>
    <row r="136" customFormat="false" ht="15" hidden="false" customHeight="false" outlineLevel="0" collapsed="false">
      <c r="A136" s="23"/>
      <c r="B136" s="24"/>
      <c r="C136" s="25"/>
      <c r="D136" s="24"/>
      <c r="E136" s="21" t="str">
        <f aca="false">IF(OR(B136="",N(N136)=0,N136=1000),IF(B136="","","Check"),INDEX(Rules!$B:$B,N136))</f>
        <v/>
      </c>
      <c r="F136" s="21" t="str">
        <f aca="false">IF(OR(B136="",N(N136)=0,N136=1000),"",INDEX(Rules!$C:$C,N136))</f>
        <v/>
      </c>
      <c r="G136" s="24"/>
      <c r="H136" s="24"/>
      <c r="I136" s="20" t="str">
        <f aca="false">IF(B136="","",IF(G136&lt;&gt;"",G136,E136))</f>
        <v/>
      </c>
      <c r="J136" s="21" t="str">
        <f aca="false">IF(B136="","",IF(H136&lt;&gt;"",H136,F136))</f>
        <v/>
      </c>
      <c r="K136" s="26" t="str">
        <f aca="false">IF(A136="","",DATE(YEAR(A136),MONTH(A136),1))</f>
        <v/>
      </c>
      <c r="L136" s="21" t="str">
        <f aca="false">IF(J136="",IF(B136="","",IF(N(C136)&gt;=0,"Income","Expense")),IFERROR(INDEX(Lists!$B$2:$B$30,MATCH(J136,Lists!$A$2:$A$30,0)),""))</f>
        <v/>
      </c>
      <c r="M136" s="24"/>
      <c r="N136" s="27" t="str">
        <f aca="false">IF(B136="","",IFERROR(1000-SUMPRODUCT(MAX(ISNUMBER(SEARCH(Rules!$A$5:$A$204,B136))*(Rules!$A$5:$A$204&lt;&gt;"")*(1000-ROW(Rules!$A$5:$A$204)))),""))</f>
        <v/>
      </c>
    </row>
    <row r="137" customFormat="false" ht="15" hidden="false" customHeight="false" outlineLevel="0" collapsed="false">
      <c r="A137" s="23"/>
      <c r="B137" s="24"/>
      <c r="C137" s="25"/>
      <c r="D137" s="24"/>
      <c r="E137" s="21" t="str">
        <f aca="false">IF(OR(B137="",N(N137)=0,N137=1000),IF(B137="","","Check"),INDEX(Rules!$B:$B,N137))</f>
        <v/>
      </c>
      <c r="F137" s="21" t="str">
        <f aca="false">IF(OR(B137="",N(N137)=0,N137=1000),"",INDEX(Rules!$C:$C,N137))</f>
        <v/>
      </c>
      <c r="G137" s="24"/>
      <c r="H137" s="24"/>
      <c r="I137" s="20" t="str">
        <f aca="false">IF(B137="","",IF(G137&lt;&gt;"",G137,E137))</f>
        <v/>
      </c>
      <c r="J137" s="21" t="str">
        <f aca="false">IF(B137="","",IF(H137&lt;&gt;"",H137,F137))</f>
        <v/>
      </c>
      <c r="K137" s="26" t="str">
        <f aca="false">IF(A137="","",DATE(YEAR(A137),MONTH(A137),1))</f>
        <v/>
      </c>
      <c r="L137" s="21" t="str">
        <f aca="false">IF(J137="",IF(B137="","",IF(N(C137)&gt;=0,"Income","Expense")),IFERROR(INDEX(Lists!$B$2:$B$30,MATCH(J137,Lists!$A$2:$A$30,0)),""))</f>
        <v/>
      </c>
      <c r="M137" s="24"/>
      <c r="N137" s="27" t="str">
        <f aca="false">IF(B137="","",IFERROR(1000-SUMPRODUCT(MAX(ISNUMBER(SEARCH(Rules!$A$5:$A$204,B137))*(Rules!$A$5:$A$204&lt;&gt;"")*(1000-ROW(Rules!$A$5:$A$204)))),""))</f>
        <v/>
      </c>
    </row>
    <row r="138" customFormat="false" ht="15" hidden="false" customHeight="false" outlineLevel="0" collapsed="false">
      <c r="A138" s="23"/>
      <c r="B138" s="24"/>
      <c r="C138" s="25"/>
      <c r="D138" s="24"/>
      <c r="E138" s="21" t="str">
        <f aca="false">IF(OR(B138="",N(N138)=0,N138=1000),IF(B138="","","Check"),INDEX(Rules!$B:$B,N138))</f>
        <v/>
      </c>
      <c r="F138" s="21" t="str">
        <f aca="false">IF(OR(B138="",N(N138)=0,N138=1000),"",INDEX(Rules!$C:$C,N138))</f>
        <v/>
      </c>
      <c r="G138" s="24"/>
      <c r="H138" s="24"/>
      <c r="I138" s="20" t="str">
        <f aca="false">IF(B138="","",IF(G138&lt;&gt;"",G138,E138))</f>
        <v/>
      </c>
      <c r="J138" s="21" t="str">
        <f aca="false">IF(B138="","",IF(H138&lt;&gt;"",H138,F138))</f>
        <v/>
      </c>
      <c r="K138" s="26" t="str">
        <f aca="false">IF(A138="","",DATE(YEAR(A138),MONTH(A138),1))</f>
        <v/>
      </c>
      <c r="L138" s="21" t="str">
        <f aca="false">IF(J138="",IF(B138="","",IF(N(C138)&gt;=0,"Income","Expense")),IFERROR(INDEX(Lists!$B$2:$B$30,MATCH(J138,Lists!$A$2:$A$30,0)),""))</f>
        <v/>
      </c>
      <c r="M138" s="24"/>
      <c r="N138" s="27" t="str">
        <f aca="false">IF(B138="","",IFERROR(1000-SUMPRODUCT(MAX(ISNUMBER(SEARCH(Rules!$A$5:$A$204,B138))*(Rules!$A$5:$A$204&lt;&gt;"")*(1000-ROW(Rules!$A$5:$A$204)))),""))</f>
        <v/>
      </c>
    </row>
    <row r="139" customFormat="false" ht="15" hidden="false" customHeight="false" outlineLevel="0" collapsed="false">
      <c r="A139" s="23"/>
      <c r="B139" s="24"/>
      <c r="C139" s="25"/>
      <c r="D139" s="24"/>
      <c r="E139" s="21" t="str">
        <f aca="false">IF(OR(B139="",N(N139)=0,N139=1000),IF(B139="","","Check"),INDEX(Rules!$B:$B,N139))</f>
        <v/>
      </c>
      <c r="F139" s="21" t="str">
        <f aca="false">IF(OR(B139="",N(N139)=0,N139=1000),"",INDEX(Rules!$C:$C,N139))</f>
        <v/>
      </c>
      <c r="G139" s="24"/>
      <c r="H139" s="24"/>
      <c r="I139" s="20" t="str">
        <f aca="false">IF(B139="","",IF(G139&lt;&gt;"",G139,E139))</f>
        <v/>
      </c>
      <c r="J139" s="21" t="str">
        <f aca="false">IF(B139="","",IF(H139&lt;&gt;"",H139,F139))</f>
        <v/>
      </c>
      <c r="K139" s="26" t="str">
        <f aca="false">IF(A139="","",DATE(YEAR(A139),MONTH(A139),1))</f>
        <v/>
      </c>
      <c r="L139" s="21" t="str">
        <f aca="false">IF(J139="",IF(B139="","",IF(N(C139)&gt;=0,"Income","Expense")),IFERROR(INDEX(Lists!$B$2:$B$30,MATCH(J139,Lists!$A$2:$A$30,0)),""))</f>
        <v/>
      </c>
      <c r="M139" s="24"/>
      <c r="N139" s="27" t="str">
        <f aca="false">IF(B139="","",IFERROR(1000-SUMPRODUCT(MAX(ISNUMBER(SEARCH(Rules!$A$5:$A$204,B139))*(Rules!$A$5:$A$204&lt;&gt;"")*(1000-ROW(Rules!$A$5:$A$204)))),""))</f>
        <v/>
      </c>
    </row>
    <row r="140" customFormat="false" ht="15" hidden="false" customHeight="false" outlineLevel="0" collapsed="false">
      <c r="A140" s="23"/>
      <c r="B140" s="24"/>
      <c r="C140" s="25"/>
      <c r="D140" s="24"/>
      <c r="E140" s="21" t="str">
        <f aca="false">IF(OR(B140="",N(N140)=0,N140=1000),IF(B140="","","Check"),INDEX(Rules!$B:$B,N140))</f>
        <v/>
      </c>
      <c r="F140" s="21" t="str">
        <f aca="false">IF(OR(B140="",N(N140)=0,N140=1000),"",INDEX(Rules!$C:$C,N140))</f>
        <v/>
      </c>
      <c r="G140" s="24"/>
      <c r="H140" s="24"/>
      <c r="I140" s="20" t="str">
        <f aca="false">IF(B140="","",IF(G140&lt;&gt;"",G140,E140))</f>
        <v/>
      </c>
      <c r="J140" s="21" t="str">
        <f aca="false">IF(B140="","",IF(H140&lt;&gt;"",H140,F140))</f>
        <v/>
      </c>
      <c r="K140" s="26" t="str">
        <f aca="false">IF(A140="","",DATE(YEAR(A140),MONTH(A140),1))</f>
        <v/>
      </c>
      <c r="L140" s="21" t="str">
        <f aca="false">IF(J140="",IF(B140="","",IF(N(C140)&gt;=0,"Income","Expense")),IFERROR(INDEX(Lists!$B$2:$B$30,MATCH(J140,Lists!$A$2:$A$30,0)),""))</f>
        <v/>
      </c>
      <c r="M140" s="24"/>
      <c r="N140" s="27" t="str">
        <f aca="false">IF(B140="","",IFERROR(1000-SUMPRODUCT(MAX(ISNUMBER(SEARCH(Rules!$A$5:$A$204,B140))*(Rules!$A$5:$A$204&lt;&gt;"")*(1000-ROW(Rules!$A$5:$A$204)))),""))</f>
        <v/>
      </c>
    </row>
    <row r="141" customFormat="false" ht="15" hidden="false" customHeight="false" outlineLevel="0" collapsed="false">
      <c r="A141" s="23"/>
      <c r="B141" s="24"/>
      <c r="C141" s="25"/>
      <c r="D141" s="24"/>
      <c r="E141" s="21" t="str">
        <f aca="false">IF(OR(B141="",N(N141)=0,N141=1000),IF(B141="","","Check"),INDEX(Rules!$B:$B,N141))</f>
        <v/>
      </c>
      <c r="F141" s="21" t="str">
        <f aca="false">IF(OR(B141="",N(N141)=0,N141=1000),"",INDEX(Rules!$C:$C,N141))</f>
        <v/>
      </c>
      <c r="G141" s="24"/>
      <c r="H141" s="24"/>
      <c r="I141" s="20" t="str">
        <f aca="false">IF(B141="","",IF(G141&lt;&gt;"",G141,E141))</f>
        <v/>
      </c>
      <c r="J141" s="21" t="str">
        <f aca="false">IF(B141="","",IF(H141&lt;&gt;"",H141,F141))</f>
        <v/>
      </c>
      <c r="K141" s="26" t="str">
        <f aca="false">IF(A141="","",DATE(YEAR(A141),MONTH(A141),1))</f>
        <v/>
      </c>
      <c r="L141" s="21" t="str">
        <f aca="false">IF(J141="",IF(B141="","",IF(N(C141)&gt;=0,"Income","Expense")),IFERROR(INDEX(Lists!$B$2:$B$30,MATCH(J141,Lists!$A$2:$A$30,0)),""))</f>
        <v/>
      </c>
      <c r="M141" s="24"/>
      <c r="N141" s="27" t="str">
        <f aca="false">IF(B141="","",IFERROR(1000-SUMPRODUCT(MAX(ISNUMBER(SEARCH(Rules!$A$5:$A$204,B141))*(Rules!$A$5:$A$204&lt;&gt;"")*(1000-ROW(Rules!$A$5:$A$204)))),""))</f>
        <v/>
      </c>
    </row>
    <row r="142" customFormat="false" ht="15" hidden="false" customHeight="false" outlineLevel="0" collapsed="false">
      <c r="A142" s="23"/>
      <c r="B142" s="24"/>
      <c r="C142" s="25"/>
      <c r="D142" s="24"/>
      <c r="E142" s="21" t="str">
        <f aca="false">IF(OR(B142="",N(N142)=0,N142=1000),IF(B142="","","Check"),INDEX(Rules!$B:$B,N142))</f>
        <v/>
      </c>
      <c r="F142" s="21" t="str">
        <f aca="false">IF(OR(B142="",N(N142)=0,N142=1000),"",INDEX(Rules!$C:$C,N142))</f>
        <v/>
      </c>
      <c r="G142" s="24"/>
      <c r="H142" s="24"/>
      <c r="I142" s="20" t="str">
        <f aca="false">IF(B142="","",IF(G142&lt;&gt;"",G142,E142))</f>
        <v/>
      </c>
      <c r="J142" s="21" t="str">
        <f aca="false">IF(B142="","",IF(H142&lt;&gt;"",H142,F142))</f>
        <v/>
      </c>
      <c r="K142" s="26" t="str">
        <f aca="false">IF(A142="","",DATE(YEAR(A142),MONTH(A142),1))</f>
        <v/>
      </c>
      <c r="L142" s="21" t="str">
        <f aca="false">IF(J142="",IF(B142="","",IF(N(C142)&gt;=0,"Income","Expense")),IFERROR(INDEX(Lists!$B$2:$B$30,MATCH(J142,Lists!$A$2:$A$30,0)),""))</f>
        <v/>
      </c>
      <c r="M142" s="24"/>
      <c r="N142" s="27" t="str">
        <f aca="false">IF(B142="","",IFERROR(1000-SUMPRODUCT(MAX(ISNUMBER(SEARCH(Rules!$A$5:$A$204,B142))*(Rules!$A$5:$A$204&lt;&gt;"")*(1000-ROW(Rules!$A$5:$A$204)))),""))</f>
        <v/>
      </c>
    </row>
    <row r="143" customFormat="false" ht="15" hidden="false" customHeight="false" outlineLevel="0" collapsed="false">
      <c r="A143" s="23"/>
      <c r="B143" s="24"/>
      <c r="C143" s="25"/>
      <c r="D143" s="24"/>
      <c r="E143" s="21" t="str">
        <f aca="false">IF(OR(B143="",N(N143)=0,N143=1000),IF(B143="","","Check"),INDEX(Rules!$B:$B,N143))</f>
        <v/>
      </c>
      <c r="F143" s="21" t="str">
        <f aca="false">IF(OR(B143="",N(N143)=0,N143=1000),"",INDEX(Rules!$C:$C,N143))</f>
        <v/>
      </c>
      <c r="G143" s="24"/>
      <c r="H143" s="24"/>
      <c r="I143" s="20" t="str">
        <f aca="false">IF(B143="","",IF(G143&lt;&gt;"",G143,E143))</f>
        <v/>
      </c>
      <c r="J143" s="21" t="str">
        <f aca="false">IF(B143="","",IF(H143&lt;&gt;"",H143,F143))</f>
        <v/>
      </c>
      <c r="K143" s="26" t="str">
        <f aca="false">IF(A143="","",DATE(YEAR(A143),MONTH(A143),1))</f>
        <v/>
      </c>
      <c r="L143" s="21" t="str">
        <f aca="false">IF(J143="",IF(B143="","",IF(N(C143)&gt;=0,"Income","Expense")),IFERROR(INDEX(Lists!$B$2:$B$30,MATCH(J143,Lists!$A$2:$A$30,0)),""))</f>
        <v/>
      </c>
      <c r="M143" s="24"/>
      <c r="N143" s="27" t="str">
        <f aca="false">IF(B143="","",IFERROR(1000-SUMPRODUCT(MAX(ISNUMBER(SEARCH(Rules!$A$5:$A$204,B143))*(Rules!$A$5:$A$204&lt;&gt;"")*(1000-ROW(Rules!$A$5:$A$204)))),""))</f>
        <v/>
      </c>
    </row>
    <row r="144" customFormat="false" ht="15" hidden="false" customHeight="false" outlineLevel="0" collapsed="false">
      <c r="A144" s="23"/>
      <c r="B144" s="24"/>
      <c r="C144" s="25"/>
      <c r="D144" s="24"/>
      <c r="E144" s="21" t="str">
        <f aca="false">IF(OR(B144="",N(N144)=0,N144=1000),IF(B144="","","Check"),INDEX(Rules!$B:$B,N144))</f>
        <v/>
      </c>
      <c r="F144" s="21" t="str">
        <f aca="false">IF(OR(B144="",N(N144)=0,N144=1000),"",INDEX(Rules!$C:$C,N144))</f>
        <v/>
      </c>
      <c r="G144" s="24"/>
      <c r="H144" s="24"/>
      <c r="I144" s="20" t="str">
        <f aca="false">IF(B144="","",IF(G144&lt;&gt;"",G144,E144))</f>
        <v/>
      </c>
      <c r="J144" s="21" t="str">
        <f aca="false">IF(B144="","",IF(H144&lt;&gt;"",H144,F144))</f>
        <v/>
      </c>
      <c r="K144" s="26" t="str">
        <f aca="false">IF(A144="","",DATE(YEAR(A144),MONTH(A144),1))</f>
        <v/>
      </c>
      <c r="L144" s="21" t="str">
        <f aca="false">IF(J144="",IF(B144="","",IF(N(C144)&gt;=0,"Income","Expense")),IFERROR(INDEX(Lists!$B$2:$B$30,MATCH(J144,Lists!$A$2:$A$30,0)),""))</f>
        <v/>
      </c>
      <c r="M144" s="24"/>
      <c r="N144" s="27" t="str">
        <f aca="false">IF(B144="","",IFERROR(1000-SUMPRODUCT(MAX(ISNUMBER(SEARCH(Rules!$A$5:$A$204,B144))*(Rules!$A$5:$A$204&lt;&gt;"")*(1000-ROW(Rules!$A$5:$A$204)))),""))</f>
        <v/>
      </c>
    </row>
    <row r="145" customFormat="false" ht="15" hidden="false" customHeight="false" outlineLevel="0" collapsed="false">
      <c r="A145" s="23"/>
      <c r="B145" s="24"/>
      <c r="C145" s="25"/>
      <c r="D145" s="24"/>
      <c r="E145" s="21" t="str">
        <f aca="false">IF(OR(B145="",N(N145)=0,N145=1000),IF(B145="","","Check"),INDEX(Rules!$B:$B,N145))</f>
        <v/>
      </c>
      <c r="F145" s="21" t="str">
        <f aca="false">IF(OR(B145="",N(N145)=0,N145=1000),"",INDEX(Rules!$C:$C,N145))</f>
        <v/>
      </c>
      <c r="G145" s="24"/>
      <c r="H145" s="24"/>
      <c r="I145" s="20" t="str">
        <f aca="false">IF(B145="","",IF(G145&lt;&gt;"",G145,E145))</f>
        <v/>
      </c>
      <c r="J145" s="21" t="str">
        <f aca="false">IF(B145="","",IF(H145&lt;&gt;"",H145,F145))</f>
        <v/>
      </c>
      <c r="K145" s="26" t="str">
        <f aca="false">IF(A145="","",DATE(YEAR(A145),MONTH(A145),1))</f>
        <v/>
      </c>
      <c r="L145" s="21" t="str">
        <f aca="false">IF(J145="",IF(B145="","",IF(N(C145)&gt;=0,"Income","Expense")),IFERROR(INDEX(Lists!$B$2:$B$30,MATCH(J145,Lists!$A$2:$A$30,0)),""))</f>
        <v/>
      </c>
      <c r="M145" s="24"/>
      <c r="N145" s="27" t="str">
        <f aca="false">IF(B145="","",IFERROR(1000-SUMPRODUCT(MAX(ISNUMBER(SEARCH(Rules!$A$5:$A$204,B145))*(Rules!$A$5:$A$204&lt;&gt;"")*(1000-ROW(Rules!$A$5:$A$204)))),""))</f>
        <v/>
      </c>
    </row>
    <row r="146" customFormat="false" ht="15" hidden="false" customHeight="false" outlineLevel="0" collapsed="false">
      <c r="A146" s="23"/>
      <c r="B146" s="24"/>
      <c r="C146" s="25"/>
      <c r="D146" s="24"/>
      <c r="E146" s="21" t="str">
        <f aca="false">IF(OR(B146="",N(N146)=0,N146=1000),IF(B146="","","Check"),INDEX(Rules!$B:$B,N146))</f>
        <v/>
      </c>
      <c r="F146" s="21" t="str">
        <f aca="false">IF(OR(B146="",N(N146)=0,N146=1000),"",INDEX(Rules!$C:$C,N146))</f>
        <v/>
      </c>
      <c r="G146" s="24"/>
      <c r="H146" s="24"/>
      <c r="I146" s="20" t="str">
        <f aca="false">IF(B146="","",IF(G146&lt;&gt;"",G146,E146))</f>
        <v/>
      </c>
      <c r="J146" s="21" t="str">
        <f aca="false">IF(B146="","",IF(H146&lt;&gt;"",H146,F146))</f>
        <v/>
      </c>
      <c r="K146" s="26" t="str">
        <f aca="false">IF(A146="","",DATE(YEAR(A146),MONTH(A146),1))</f>
        <v/>
      </c>
      <c r="L146" s="21" t="str">
        <f aca="false">IF(J146="",IF(B146="","",IF(N(C146)&gt;=0,"Income","Expense")),IFERROR(INDEX(Lists!$B$2:$B$30,MATCH(J146,Lists!$A$2:$A$30,0)),""))</f>
        <v/>
      </c>
      <c r="M146" s="24"/>
      <c r="N146" s="27" t="str">
        <f aca="false">IF(B146="","",IFERROR(1000-SUMPRODUCT(MAX(ISNUMBER(SEARCH(Rules!$A$5:$A$204,B146))*(Rules!$A$5:$A$204&lt;&gt;"")*(1000-ROW(Rules!$A$5:$A$204)))),""))</f>
        <v/>
      </c>
    </row>
    <row r="147" customFormat="false" ht="15" hidden="false" customHeight="false" outlineLevel="0" collapsed="false">
      <c r="A147" s="23"/>
      <c r="B147" s="24"/>
      <c r="C147" s="25"/>
      <c r="D147" s="24"/>
      <c r="E147" s="21" t="str">
        <f aca="false">IF(OR(B147="",N(N147)=0,N147=1000),IF(B147="","","Check"),INDEX(Rules!$B:$B,N147))</f>
        <v/>
      </c>
      <c r="F147" s="21" t="str">
        <f aca="false">IF(OR(B147="",N(N147)=0,N147=1000),"",INDEX(Rules!$C:$C,N147))</f>
        <v/>
      </c>
      <c r="G147" s="24"/>
      <c r="H147" s="24"/>
      <c r="I147" s="20" t="str">
        <f aca="false">IF(B147="","",IF(G147&lt;&gt;"",G147,E147))</f>
        <v/>
      </c>
      <c r="J147" s="21" t="str">
        <f aca="false">IF(B147="","",IF(H147&lt;&gt;"",H147,F147))</f>
        <v/>
      </c>
      <c r="K147" s="26" t="str">
        <f aca="false">IF(A147="","",DATE(YEAR(A147),MONTH(A147),1))</f>
        <v/>
      </c>
      <c r="L147" s="21" t="str">
        <f aca="false">IF(J147="",IF(B147="","",IF(N(C147)&gt;=0,"Income","Expense")),IFERROR(INDEX(Lists!$B$2:$B$30,MATCH(J147,Lists!$A$2:$A$30,0)),""))</f>
        <v/>
      </c>
      <c r="M147" s="24"/>
      <c r="N147" s="27" t="str">
        <f aca="false">IF(B147="","",IFERROR(1000-SUMPRODUCT(MAX(ISNUMBER(SEARCH(Rules!$A$5:$A$204,B147))*(Rules!$A$5:$A$204&lt;&gt;"")*(1000-ROW(Rules!$A$5:$A$204)))),""))</f>
        <v/>
      </c>
    </row>
    <row r="148" customFormat="false" ht="15" hidden="false" customHeight="false" outlineLevel="0" collapsed="false">
      <c r="A148" s="23"/>
      <c r="B148" s="24"/>
      <c r="C148" s="25"/>
      <c r="D148" s="24"/>
      <c r="E148" s="21" t="str">
        <f aca="false">IF(OR(B148="",N(N148)=0,N148=1000),IF(B148="","","Check"),INDEX(Rules!$B:$B,N148))</f>
        <v/>
      </c>
      <c r="F148" s="21" t="str">
        <f aca="false">IF(OR(B148="",N(N148)=0,N148=1000),"",INDEX(Rules!$C:$C,N148))</f>
        <v/>
      </c>
      <c r="G148" s="24"/>
      <c r="H148" s="24"/>
      <c r="I148" s="20" t="str">
        <f aca="false">IF(B148="","",IF(G148&lt;&gt;"",G148,E148))</f>
        <v/>
      </c>
      <c r="J148" s="21" t="str">
        <f aca="false">IF(B148="","",IF(H148&lt;&gt;"",H148,F148))</f>
        <v/>
      </c>
      <c r="K148" s="26" t="str">
        <f aca="false">IF(A148="","",DATE(YEAR(A148),MONTH(A148),1))</f>
        <v/>
      </c>
      <c r="L148" s="21" t="str">
        <f aca="false">IF(J148="",IF(B148="","",IF(N(C148)&gt;=0,"Income","Expense")),IFERROR(INDEX(Lists!$B$2:$B$30,MATCH(J148,Lists!$A$2:$A$30,0)),""))</f>
        <v/>
      </c>
      <c r="M148" s="24"/>
      <c r="N148" s="27" t="str">
        <f aca="false">IF(B148="","",IFERROR(1000-SUMPRODUCT(MAX(ISNUMBER(SEARCH(Rules!$A$5:$A$204,B148))*(Rules!$A$5:$A$204&lt;&gt;"")*(1000-ROW(Rules!$A$5:$A$204)))),""))</f>
        <v/>
      </c>
    </row>
    <row r="149" customFormat="false" ht="15" hidden="false" customHeight="false" outlineLevel="0" collapsed="false">
      <c r="A149" s="23"/>
      <c r="B149" s="24"/>
      <c r="C149" s="25"/>
      <c r="D149" s="24"/>
      <c r="E149" s="21" t="str">
        <f aca="false">IF(OR(B149="",N(N149)=0,N149=1000),IF(B149="","","Check"),INDEX(Rules!$B:$B,N149))</f>
        <v/>
      </c>
      <c r="F149" s="21" t="str">
        <f aca="false">IF(OR(B149="",N(N149)=0,N149=1000),"",INDEX(Rules!$C:$C,N149))</f>
        <v/>
      </c>
      <c r="G149" s="24"/>
      <c r="H149" s="24"/>
      <c r="I149" s="20" t="str">
        <f aca="false">IF(B149="","",IF(G149&lt;&gt;"",G149,E149))</f>
        <v/>
      </c>
      <c r="J149" s="21" t="str">
        <f aca="false">IF(B149="","",IF(H149&lt;&gt;"",H149,F149))</f>
        <v/>
      </c>
      <c r="K149" s="26" t="str">
        <f aca="false">IF(A149="","",DATE(YEAR(A149),MONTH(A149),1))</f>
        <v/>
      </c>
      <c r="L149" s="21" t="str">
        <f aca="false">IF(J149="",IF(B149="","",IF(N(C149)&gt;=0,"Income","Expense")),IFERROR(INDEX(Lists!$B$2:$B$30,MATCH(J149,Lists!$A$2:$A$30,0)),""))</f>
        <v/>
      </c>
      <c r="M149" s="24"/>
      <c r="N149" s="27" t="str">
        <f aca="false">IF(B149="","",IFERROR(1000-SUMPRODUCT(MAX(ISNUMBER(SEARCH(Rules!$A$5:$A$204,B149))*(Rules!$A$5:$A$204&lt;&gt;"")*(1000-ROW(Rules!$A$5:$A$204)))),""))</f>
        <v/>
      </c>
    </row>
    <row r="150" customFormat="false" ht="15" hidden="false" customHeight="false" outlineLevel="0" collapsed="false">
      <c r="A150" s="23"/>
      <c r="B150" s="24"/>
      <c r="C150" s="25"/>
      <c r="D150" s="24"/>
      <c r="E150" s="21" t="str">
        <f aca="false">IF(OR(B150="",N(N150)=0,N150=1000),IF(B150="","","Check"),INDEX(Rules!$B:$B,N150))</f>
        <v/>
      </c>
      <c r="F150" s="21" t="str">
        <f aca="false">IF(OR(B150="",N(N150)=0,N150=1000),"",INDEX(Rules!$C:$C,N150))</f>
        <v/>
      </c>
      <c r="G150" s="24"/>
      <c r="H150" s="24"/>
      <c r="I150" s="20" t="str">
        <f aca="false">IF(B150="","",IF(G150&lt;&gt;"",G150,E150))</f>
        <v/>
      </c>
      <c r="J150" s="21" t="str">
        <f aca="false">IF(B150="","",IF(H150&lt;&gt;"",H150,F150))</f>
        <v/>
      </c>
      <c r="K150" s="26" t="str">
        <f aca="false">IF(A150="","",DATE(YEAR(A150),MONTH(A150),1))</f>
        <v/>
      </c>
      <c r="L150" s="21" t="str">
        <f aca="false">IF(J150="",IF(B150="","",IF(N(C150)&gt;=0,"Income","Expense")),IFERROR(INDEX(Lists!$B$2:$B$30,MATCH(J150,Lists!$A$2:$A$30,0)),""))</f>
        <v/>
      </c>
      <c r="M150" s="24"/>
      <c r="N150" s="27" t="str">
        <f aca="false">IF(B150="","",IFERROR(1000-SUMPRODUCT(MAX(ISNUMBER(SEARCH(Rules!$A$5:$A$204,B150))*(Rules!$A$5:$A$204&lt;&gt;"")*(1000-ROW(Rules!$A$5:$A$204)))),""))</f>
        <v/>
      </c>
    </row>
    <row r="151" customFormat="false" ht="15" hidden="false" customHeight="false" outlineLevel="0" collapsed="false">
      <c r="A151" s="23"/>
      <c r="B151" s="24"/>
      <c r="C151" s="25"/>
      <c r="D151" s="24"/>
      <c r="E151" s="21" t="str">
        <f aca="false">IF(OR(B151="",N(N151)=0,N151=1000),IF(B151="","","Check"),INDEX(Rules!$B:$B,N151))</f>
        <v/>
      </c>
      <c r="F151" s="21" t="str">
        <f aca="false">IF(OR(B151="",N(N151)=0,N151=1000),"",INDEX(Rules!$C:$C,N151))</f>
        <v/>
      </c>
      <c r="G151" s="24"/>
      <c r="H151" s="24"/>
      <c r="I151" s="20" t="str">
        <f aca="false">IF(B151="","",IF(G151&lt;&gt;"",G151,E151))</f>
        <v/>
      </c>
      <c r="J151" s="21" t="str">
        <f aca="false">IF(B151="","",IF(H151&lt;&gt;"",H151,F151))</f>
        <v/>
      </c>
      <c r="K151" s="26" t="str">
        <f aca="false">IF(A151="","",DATE(YEAR(A151),MONTH(A151),1))</f>
        <v/>
      </c>
      <c r="L151" s="21" t="str">
        <f aca="false">IF(J151="",IF(B151="","",IF(N(C151)&gt;=0,"Income","Expense")),IFERROR(INDEX(Lists!$B$2:$B$30,MATCH(J151,Lists!$A$2:$A$30,0)),""))</f>
        <v/>
      </c>
      <c r="M151" s="24"/>
      <c r="N151" s="27" t="str">
        <f aca="false">IF(B151="","",IFERROR(1000-SUMPRODUCT(MAX(ISNUMBER(SEARCH(Rules!$A$5:$A$204,B151))*(Rules!$A$5:$A$204&lt;&gt;"")*(1000-ROW(Rules!$A$5:$A$204)))),""))</f>
        <v/>
      </c>
    </row>
    <row r="152" customFormat="false" ht="15" hidden="false" customHeight="false" outlineLevel="0" collapsed="false">
      <c r="A152" s="23"/>
      <c r="B152" s="24"/>
      <c r="C152" s="25"/>
      <c r="D152" s="24"/>
      <c r="E152" s="21" t="str">
        <f aca="false">IF(OR(B152="",N(N152)=0,N152=1000),IF(B152="","","Check"),INDEX(Rules!$B:$B,N152))</f>
        <v/>
      </c>
      <c r="F152" s="21" t="str">
        <f aca="false">IF(OR(B152="",N(N152)=0,N152=1000),"",INDEX(Rules!$C:$C,N152))</f>
        <v/>
      </c>
      <c r="G152" s="24"/>
      <c r="H152" s="24"/>
      <c r="I152" s="20" t="str">
        <f aca="false">IF(B152="","",IF(G152&lt;&gt;"",G152,E152))</f>
        <v/>
      </c>
      <c r="J152" s="21" t="str">
        <f aca="false">IF(B152="","",IF(H152&lt;&gt;"",H152,F152))</f>
        <v/>
      </c>
      <c r="K152" s="26" t="str">
        <f aca="false">IF(A152="","",DATE(YEAR(A152),MONTH(A152),1))</f>
        <v/>
      </c>
      <c r="L152" s="21" t="str">
        <f aca="false">IF(J152="",IF(B152="","",IF(N(C152)&gt;=0,"Income","Expense")),IFERROR(INDEX(Lists!$B$2:$B$30,MATCH(J152,Lists!$A$2:$A$30,0)),""))</f>
        <v/>
      </c>
      <c r="M152" s="24"/>
      <c r="N152" s="27" t="str">
        <f aca="false">IF(B152="","",IFERROR(1000-SUMPRODUCT(MAX(ISNUMBER(SEARCH(Rules!$A$5:$A$204,B152))*(Rules!$A$5:$A$204&lt;&gt;"")*(1000-ROW(Rules!$A$5:$A$204)))),""))</f>
        <v/>
      </c>
    </row>
    <row r="153" customFormat="false" ht="15" hidden="false" customHeight="false" outlineLevel="0" collapsed="false">
      <c r="A153" s="23"/>
      <c r="B153" s="24"/>
      <c r="C153" s="25"/>
      <c r="D153" s="24"/>
      <c r="E153" s="21" t="str">
        <f aca="false">IF(OR(B153="",N(N153)=0,N153=1000),IF(B153="","","Check"),INDEX(Rules!$B:$B,N153))</f>
        <v/>
      </c>
      <c r="F153" s="21" t="str">
        <f aca="false">IF(OR(B153="",N(N153)=0,N153=1000),"",INDEX(Rules!$C:$C,N153))</f>
        <v/>
      </c>
      <c r="G153" s="24"/>
      <c r="H153" s="24"/>
      <c r="I153" s="20" t="str">
        <f aca="false">IF(B153="","",IF(G153&lt;&gt;"",G153,E153))</f>
        <v/>
      </c>
      <c r="J153" s="21" t="str">
        <f aca="false">IF(B153="","",IF(H153&lt;&gt;"",H153,F153))</f>
        <v/>
      </c>
      <c r="K153" s="26" t="str">
        <f aca="false">IF(A153="","",DATE(YEAR(A153),MONTH(A153),1))</f>
        <v/>
      </c>
      <c r="L153" s="21" t="str">
        <f aca="false">IF(J153="",IF(B153="","",IF(N(C153)&gt;=0,"Income","Expense")),IFERROR(INDEX(Lists!$B$2:$B$30,MATCH(J153,Lists!$A$2:$A$30,0)),""))</f>
        <v/>
      </c>
      <c r="M153" s="24"/>
      <c r="N153" s="27" t="str">
        <f aca="false">IF(B153="","",IFERROR(1000-SUMPRODUCT(MAX(ISNUMBER(SEARCH(Rules!$A$5:$A$204,B153))*(Rules!$A$5:$A$204&lt;&gt;"")*(1000-ROW(Rules!$A$5:$A$204)))),""))</f>
        <v/>
      </c>
    </row>
    <row r="154" customFormat="false" ht="15" hidden="false" customHeight="false" outlineLevel="0" collapsed="false">
      <c r="A154" s="23"/>
      <c r="B154" s="24"/>
      <c r="C154" s="25"/>
      <c r="D154" s="24"/>
      <c r="E154" s="21" t="str">
        <f aca="false">IF(OR(B154="",N(N154)=0,N154=1000),IF(B154="","","Check"),INDEX(Rules!$B:$B,N154))</f>
        <v/>
      </c>
      <c r="F154" s="21" t="str">
        <f aca="false">IF(OR(B154="",N(N154)=0,N154=1000),"",INDEX(Rules!$C:$C,N154))</f>
        <v/>
      </c>
      <c r="G154" s="24"/>
      <c r="H154" s="24"/>
      <c r="I154" s="20" t="str">
        <f aca="false">IF(B154="","",IF(G154&lt;&gt;"",G154,E154))</f>
        <v/>
      </c>
      <c r="J154" s="21" t="str">
        <f aca="false">IF(B154="","",IF(H154&lt;&gt;"",H154,F154))</f>
        <v/>
      </c>
      <c r="K154" s="26" t="str">
        <f aca="false">IF(A154="","",DATE(YEAR(A154),MONTH(A154),1))</f>
        <v/>
      </c>
      <c r="L154" s="21" t="str">
        <f aca="false">IF(J154="",IF(B154="","",IF(N(C154)&gt;=0,"Income","Expense")),IFERROR(INDEX(Lists!$B$2:$B$30,MATCH(J154,Lists!$A$2:$A$30,0)),""))</f>
        <v/>
      </c>
      <c r="M154" s="24"/>
      <c r="N154" s="27" t="str">
        <f aca="false">IF(B154="","",IFERROR(1000-SUMPRODUCT(MAX(ISNUMBER(SEARCH(Rules!$A$5:$A$204,B154))*(Rules!$A$5:$A$204&lt;&gt;"")*(1000-ROW(Rules!$A$5:$A$204)))),""))</f>
        <v/>
      </c>
    </row>
    <row r="155" customFormat="false" ht="15" hidden="false" customHeight="false" outlineLevel="0" collapsed="false">
      <c r="A155" s="23"/>
      <c r="B155" s="24"/>
      <c r="C155" s="25"/>
      <c r="D155" s="24"/>
      <c r="E155" s="21" t="str">
        <f aca="false">IF(OR(B155="",N(N155)=0,N155=1000),IF(B155="","","Check"),INDEX(Rules!$B:$B,N155))</f>
        <v/>
      </c>
      <c r="F155" s="21" t="str">
        <f aca="false">IF(OR(B155="",N(N155)=0,N155=1000),"",INDEX(Rules!$C:$C,N155))</f>
        <v/>
      </c>
      <c r="G155" s="24"/>
      <c r="H155" s="24"/>
      <c r="I155" s="20" t="str">
        <f aca="false">IF(B155="","",IF(G155&lt;&gt;"",G155,E155))</f>
        <v/>
      </c>
      <c r="J155" s="21" t="str">
        <f aca="false">IF(B155="","",IF(H155&lt;&gt;"",H155,F155))</f>
        <v/>
      </c>
      <c r="K155" s="26" t="str">
        <f aca="false">IF(A155="","",DATE(YEAR(A155),MONTH(A155),1))</f>
        <v/>
      </c>
      <c r="L155" s="21" t="str">
        <f aca="false">IF(J155="",IF(B155="","",IF(N(C155)&gt;=0,"Income","Expense")),IFERROR(INDEX(Lists!$B$2:$B$30,MATCH(J155,Lists!$A$2:$A$30,0)),""))</f>
        <v/>
      </c>
      <c r="M155" s="24"/>
      <c r="N155" s="27" t="str">
        <f aca="false">IF(B155="","",IFERROR(1000-SUMPRODUCT(MAX(ISNUMBER(SEARCH(Rules!$A$5:$A$204,B155))*(Rules!$A$5:$A$204&lt;&gt;"")*(1000-ROW(Rules!$A$5:$A$204)))),""))</f>
        <v/>
      </c>
    </row>
    <row r="156" customFormat="false" ht="15" hidden="false" customHeight="false" outlineLevel="0" collapsed="false">
      <c r="A156" s="23"/>
      <c r="B156" s="24"/>
      <c r="C156" s="25"/>
      <c r="D156" s="24"/>
      <c r="E156" s="21" t="str">
        <f aca="false">IF(OR(B156="",N(N156)=0,N156=1000),IF(B156="","","Check"),INDEX(Rules!$B:$B,N156))</f>
        <v/>
      </c>
      <c r="F156" s="21" t="str">
        <f aca="false">IF(OR(B156="",N(N156)=0,N156=1000),"",INDEX(Rules!$C:$C,N156))</f>
        <v/>
      </c>
      <c r="G156" s="24"/>
      <c r="H156" s="24"/>
      <c r="I156" s="20" t="str">
        <f aca="false">IF(B156="","",IF(G156&lt;&gt;"",G156,E156))</f>
        <v/>
      </c>
      <c r="J156" s="21" t="str">
        <f aca="false">IF(B156="","",IF(H156&lt;&gt;"",H156,F156))</f>
        <v/>
      </c>
      <c r="K156" s="26" t="str">
        <f aca="false">IF(A156="","",DATE(YEAR(A156),MONTH(A156),1))</f>
        <v/>
      </c>
      <c r="L156" s="21" t="str">
        <f aca="false">IF(J156="",IF(B156="","",IF(N(C156)&gt;=0,"Income","Expense")),IFERROR(INDEX(Lists!$B$2:$B$30,MATCH(J156,Lists!$A$2:$A$30,0)),""))</f>
        <v/>
      </c>
      <c r="M156" s="24"/>
      <c r="N156" s="27" t="str">
        <f aca="false">IF(B156="","",IFERROR(1000-SUMPRODUCT(MAX(ISNUMBER(SEARCH(Rules!$A$5:$A$204,B156))*(Rules!$A$5:$A$204&lt;&gt;"")*(1000-ROW(Rules!$A$5:$A$204)))),""))</f>
        <v/>
      </c>
    </row>
    <row r="157" customFormat="false" ht="15" hidden="false" customHeight="false" outlineLevel="0" collapsed="false">
      <c r="A157" s="23"/>
      <c r="B157" s="24"/>
      <c r="C157" s="25"/>
      <c r="D157" s="24"/>
      <c r="E157" s="21" t="str">
        <f aca="false">IF(OR(B157="",N(N157)=0,N157=1000),IF(B157="","","Check"),INDEX(Rules!$B:$B,N157))</f>
        <v/>
      </c>
      <c r="F157" s="21" t="str">
        <f aca="false">IF(OR(B157="",N(N157)=0,N157=1000),"",INDEX(Rules!$C:$C,N157))</f>
        <v/>
      </c>
      <c r="G157" s="24"/>
      <c r="H157" s="24"/>
      <c r="I157" s="20" t="str">
        <f aca="false">IF(B157="","",IF(G157&lt;&gt;"",G157,E157))</f>
        <v/>
      </c>
      <c r="J157" s="21" t="str">
        <f aca="false">IF(B157="","",IF(H157&lt;&gt;"",H157,F157))</f>
        <v/>
      </c>
      <c r="K157" s="26" t="str">
        <f aca="false">IF(A157="","",DATE(YEAR(A157),MONTH(A157),1))</f>
        <v/>
      </c>
      <c r="L157" s="21" t="str">
        <f aca="false">IF(J157="",IF(B157="","",IF(N(C157)&gt;=0,"Income","Expense")),IFERROR(INDEX(Lists!$B$2:$B$30,MATCH(J157,Lists!$A$2:$A$30,0)),""))</f>
        <v/>
      </c>
      <c r="M157" s="24"/>
      <c r="N157" s="27" t="str">
        <f aca="false">IF(B157="","",IFERROR(1000-SUMPRODUCT(MAX(ISNUMBER(SEARCH(Rules!$A$5:$A$204,B157))*(Rules!$A$5:$A$204&lt;&gt;"")*(1000-ROW(Rules!$A$5:$A$204)))),""))</f>
        <v/>
      </c>
    </row>
    <row r="158" customFormat="false" ht="15" hidden="false" customHeight="false" outlineLevel="0" collapsed="false">
      <c r="A158" s="23"/>
      <c r="B158" s="24"/>
      <c r="C158" s="25"/>
      <c r="D158" s="24"/>
      <c r="E158" s="21" t="str">
        <f aca="false">IF(OR(B158="",N(N158)=0,N158=1000),IF(B158="","","Check"),INDEX(Rules!$B:$B,N158))</f>
        <v/>
      </c>
      <c r="F158" s="21" t="str">
        <f aca="false">IF(OR(B158="",N(N158)=0,N158=1000),"",INDEX(Rules!$C:$C,N158))</f>
        <v/>
      </c>
      <c r="G158" s="24"/>
      <c r="H158" s="24"/>
      <c r="I158" s="20" t="str">
        <f aca="false">IF(B158="","",IF(G158&lt;&gt;"",G158,E158))</f>
        <v/>
      </c>
      <c r="J158" s="21" t="str">
        <f aca="false">IF(B158="","",IF(H158&lt;&gt;"",H158,F158))</f>
        <v/>
      </c>
      <c r="K158" s="26" t="str">
        <f aca="false">IF(A158="","",DATE(YEAR(A158),MONTH(A158),1))</f>
        <v/>
      </c>
      <c r="L158" s="21" t="str">
        <f aca="false">IF(J158="",IF(B158="","",IF(N(C158)&gt;=0,"Income","Expense")),IFERROR(INDEX(Lists!$B$2:$B$30,MATCH(J158,Lists!$A$2:$A$30,0)),""))</f>
        <v/>
      </c>
      <c r="M158" s="24"/>
      <c r="N158" s="27" t="str">
        <f aca="false">IF(B158="","",IFERROR(1000-SUMPRODUCT(MAX(ISNUMBER(SEARCH(Rules!$A$5:$A$204,B158))*(Rules!$A$5:$A$204&lt;&gt;"")*(1000-ROW(Rules!$A$5:$A$204)))),""))</f>
        <v/>
      </c>
    </row>
    <row r="159" customFormat="false" ht="15" hidden="false" customHeight="false" outlineLevel="0" collapsed="false">
      <c r="A159" s="23"/>
      <c r="B159" s="24"/>
      <c r="C159" s="25"/>
      <c r="D159" s="24"/>
      <c r="E159" s="21" t="str">
        <f aca="false">IF(OR(B159="",N(N159)=0,N159=1000),IF(B159="","","Check"),INDEX(Rules!$B:$B,N159))</f>
        <v/>
      </c>
      <c r="F159" s="21" t="str">
        <f aca="false">IF(OR(B159="",N(N159)=0,N159=1000),"",INDEX(Rules!$C:$C,N159))</f>
        <v/>
      </c>
      <c r="G159" s="24"/>
      <c r="H159" s="24"/>
      <c r="I159" s="20" t="str">
        <f aca="false">IF(B159="","",IF(G159&lt;&gt;"",G159,E159))</f>
        <v/>
      </c>
      <c r="J159" s="21" t="str">
        <f aca="false">IF(B159="","",IF(H159&lt;&gt;"",H159,F159))</f>
        <v/>
      </c>
      <c r="K159" s="26" t="str">
        <f aca="false">IF(A159="","",DATE(YEAR(A159),MONTH(A159),1))</f>
        <v/>
      </c>
      <c r="L159" s="21" t="str">
        <f aca="false">IF(J159="",IF(B159="","",IF(N(C159)&gt;=0,"Income","Expense")),IFERROR(INDEX(Lists!$B$2:$B$30,MATCH(J159,Lists!$A$2:$A$30,0)),""))</f>
        <v/>
      </c>
      <c r="M159" s="24"/>
      <c r="N159" s="27" t="str">
        <f aca="false">IF(B159="","",IFERROR(1000-SUMPRODUCT(MAX(ISNUMBER(SEARCH(Rules!$A$5:$A$204,B159))*(Rules!$A$5:$A$204&lt;&gt;"")*(1000-ROW(Rules!$A$5:$A$204)))),""))</f>
        <v/>
      </c>
    </row>
    <row r="160" customFormat="false" ht="15" hidden="false" customHeight="false" outlineLevel="0" collapsed="false">
      <c r="A160" s="23"/>
      <c r="B160" s="24"/>
      <c r="C160" s="25"/>
      <c r="D160" s="24"/>
      <c r="E160" s="21" t="str">
        <f aca="false">IF(OR(B160="",N(N160)=0,N160=1000),IF(B160="","","Check"),INDEX(Rules!$B:$B,N160))</f>
        <v/>
      </c>
      <c r="F160" s="21" t="str">
        <f aca="false">IF(OR(B160="",N(N160)=0,N160=1000),"",INDEX(Rules!$C:$C,N160))</f>
        <v/>
      </c>
      <c r="G160" s="24"/>
      <c r="H160" s="24"/>
      <c r="I160" s="20" t="str">
        <f aca="false">IF(B160="","",IF(G160&lt;&gt;"",G160,E160))</f>
        <v/>
      </c>
      <c r="J160" s="21" t="str">
        <f aca="false">IF(B160="","",IF(H160&lt;&gt;"",H160,F160))</f>
        <v/>
      </c>
      <c r="K160" s="26" t="str">
        <f aca="false">IF(A160="","",DATE(YEAR(A160),MONTH(A160),1))</f>
        <v/>
      </c>
      <c r="L160" s="21" t="str">
        <f aca="false">IF(J160="",IF(B160="","",IF(N(C160)&gt;=0,"Income","Expense")),IFERROR(INDEX(Lists!$B$2:$B$30,MATCH(J160,Lists!$A$2:$A$30,0)),""))</f>
        <v/>
      </c>
      <c r="M160" s="24"/>
      <c r="N160" s="27" t="str">
        <f aca="false">IF(B160="","",IFERROR(1000-SUMPRODUCT(MAX(ISNUMBER(SEARCH(Rules!$A$5:$A$204,B160))*(Rules!$A$5:$A$204&lt;&gt;"")*(1000-ROW(Rules!$A$5:$A$204)))),""))</f>
        <v/>
      </c>
    </row>
    <row r="161" customFormat="false" ht="15" hidden="false" customHeight="false" outlineLevel="0" collapsed="false">
      <c r="A161" s="23"/>
      <c r="B161" s="24"/>
      <c r="C161" s="25"/>
      <c r="D161" s="24"/>
      <c r="E161" s="21" t="str">
        <f aca="false">IF(OR(B161="",N(N161)=0,N161=1000),IF(B161="","","Check"),INDEX(Rules!$B:$B,N161))</f>
        <v/>
      </c>
      <c r="F161" s="21" t="str">
        <f aca="false">IF(OR(B161="",N(N161)=0,N161=1000),"",INDEX(Rules!$C:$C,N161))</f>
        <v/>
      </c>
      <c r="G161" s="24"/>
      <c r="H161" s="24"/>
      <c r="I161" s="20" t="str">
        <f aca="false">IF(B161="","",IF(G161&lt;&gt;"",G161,E161))</f>
        <v/>
      </c>
      <c r="J161" s="21" t="str">
        <f aca="false">IF(B161="","",IF(H161&lt;&gt;"",H161,F161))</f>
        <v/>
      </c>
      <c r="K161" s="26" t="str">
        <f aca="false">IF(A161="","",DATE(YEAR(A161),MONTH(A161),1))</f>
        <v/>
      </c>
      <c r="L161" s="21" t="str">
        <f aca="false">IF(J161="",IF(B161="","",IF(N(C161)&gt;=0,"Income","Expense")),IFERROR(INDEX(Lists!$B$2:$B$30,MATCH(J161,Lists!$A$2:$A$30,0)),""))</f>
        <v/>
      </c>
      <c r="M161" s="24"/>
      <c r="N161" s="27" t="str">
        <f aca="false">IF(B161="","",IFERROR(1000-SUMPRODUCT(MAX(ISNUMBER(SEARCH(Rules!$A$5:$A$204,B161))*(Rules!$A$5:$A$204&lt;&gt;"")*(1000-ROW(Rules!$A$5:$A$204)))),""))</f>
        <v/>
      </c>
    </row>
    <row r="162" customFormat="false" ht="15" hidden="false" customHeight="false" outlineLevel="0" collapsed="false">
      <c r="A162" s="23"/>
      <c r="B162" s="24"/>
      <c r="C162" s="25"/>
      <c r="D162" s="24"/>
      <c r="E162" s="21" t="str">
        <f aca="false">IF(OR(B162="",N(N162)=0,N162=1000),IF(B162="","","Check"),INDEX(Rules!$B:$B,N162))</f>
        <v/>
      </c>
      <c r="F162" s="21" t="str">
        <f aca="false">IF(OR(B162="",N(N162)=0,N162=1000),"",INDEX(Rules!$C:$C,N162))</f>
        <v/>
      </c>
      <c r="G162" s="24"/>
      <c r="H162" s="24"/>
      <c r="I162" s="20" t="str">
        <f aca="false">IF(B162="","",IF(G162&lt;&gt;"",G162,E162))</f>
        <v/>
      </c>
      <c r="J162" s="21" t="str">
        <f aca="false">IF(B162="","",IF(H162&lt;&gt;"",H162,F162))</f>
        <v/>
      </c>
      <c r="K162" s="26" t="str">
        <f aca="false">IF(A162="","",DATE(YEAR(A162),MONTH(A162),1))</f>
        <v/>
      </c>
      <c r="L162" s="21" t="str">
        <f aca="false">IF(J162="",IF(B162="","",IF(N(C162)&gt;=0,"Income","Expense")),IFERROR(INDEX(Lists!$B$2:$B$30,MATCH(J162,Lists!$A$2:$A$30,0)),""))</f>
        <v/>
      </c>
      <c r="M162" s="24"/>
      <c r="N162" s="27" t="str">
        <f aca="false">IF(B162="","",IFERROR(1000-SUMPRODUCT(MAX(ISNUMBER(SEARCH(Rules!$A$5:$A$204,B162))*(Rules!$A$5:$A$204&lt;&gt;"")*(1000-ROW(Rules!$A$5:$A$204)))),""))</f>
        <v/>
      </c>
    </row>
    <row r="163" customFormat="false" ht="15" hidden="false" customHeight="false" outlineLevel="0" collapsed="false">
      <c r="A163" s="23"/>
      <c r="B163" s="24"/>
      <c r="C163" s="25"/>
      <c r="D163" s="24"/>
      <c r="E163" s="21" t="str">
        <f aca="false">IF(OR(B163="",N(N163)=0,N163=1000),IF(B163="","","Check"),INDEX(Rules!$B:$B,N163))</f>
        <v/>
      </c>
      <c r="F163" s="21" t="str">
        <f aca="false">IF(OR(B163="",N(N163)=0,N163=1000),"",INDEX(Rules!$C:$C,N163))</f>
        <v/>
      </c>
      <c r="G163" s="24"/>
      <c r="H163" s="24"/>
      <c r="I163" s="20" t="str">
        <f aca="false">IF(B163="","",IF(G163&lt;&gt;"",G163,E163))</f>
        <v/>
      </c>
      <c r="J163" s="21" t="str">
        <f aca="false">IF(B163="","",IF(H163&lt;&gt;"",H163,F163))</f>
        <v/>
      </c>
      <c r="K163" s="26" t="str">
        <f aca="false">IF(A163="","",DATE(YEAR(A163),MONTH(A163),1))</f>
        <v/>
      </c>
      <c r="L163" s="21" t="str">
        <f aca="false">IF(J163="",IF(B163="","",IF(N(C163)&gt;=0,"Income","Expense")),IFERROR(INDEX(Lists!$B$2:$B$30,MATCH(J163,Lists!$A$2:$A$30,0)),""))</f>
        <v/>
      </c>
      <c r="M163" s="24"/>
      <c r="N163" s="27" t="str">
        <f aca="false">IF(B163="","",IFERROR(1000-SUMPRODUCT(MAX(ISNUMBER(SEARCH(Rules!$A$5:$A$204,B163))*(Rules!$A$5:$A$204&lt;&gt;"")*(1000-ROW(Rules!$A$5:$A$204)))),""))</f>
        <v/>
      </c>
    </row>
    <row r="164" customFormat="false" ht="15" hidden="false" customHeight="false" outlineLevel="0" collapsed="false">
      <c r="A164" s="23"/>
      <c r="B164" s="24"/>
      <c r="C164" s="25"/>
      <c r="D164" s="24"/>
      <c r="E164" s="21" t="str">
        <f aca="false">IF(OR(B164="",N(N164)=0,N164=1000),IF(B164="","","Check"),INDEX(Rules!$B:$B,N164))</f>
        <v/>
      </c>
      <c r="F164" s="21" t="str">
        <f aca="false">IF(OR(B164="",N(N164)=0,N164=1000),"",INDEX(Rules!$C:$C,N164))</f>
        <v/>
      </c>
      <c r="G164" s="24"/>
      <c r="H164" s="24"/>
      <c r="I164" s="20" t="str">
        <f aca="false">IF(B164="","",IF(G164&lt;&gt;"",G164,E164))</f>
        <v/>
      </c>
      <c r="J164" s="21" t="str">
        <f aca="false">IF(B164="","",IF(H164&lt;&gt;"",H164,F164))</f>
        <v/>
      </c>
      <c r="K164" s="26" t="str">
        <f aca="false">IF(A164="","",DATE(YEAR(A164),MONTH(A164),1))</f>
        <v/>
      </c>
      <c r="L164" s="21" t="str">
        <f aca="false">IF(J164="",IF(B164="","",IF(N(C164)&gt;=0,"Income","Expense")),IFERROR(INDEX(Lists!$B$2:$B$30,MATCH(J164,Lists!$A$2:$A$30,0)),""))</f>
        <v/>
      </c>
      <c r="M164" s="24"/>
      <c r="N164" s="27" t="str">
        <f aca="false">IF(B164="","",IFERROR(1000-SUMPRODUCT(MAX(ISNUMBER(SEARCH(Rules!$A$5:$A$204,B164))*(Rules!$A$5:$A$204&lt;&gt;"")*(1000-ROW(Rules!$A$5:$A$204)))),""))</f>
        <v/>
      </c>
    </row>
    <row r="165" customFormat="false" ht="15" hidden="false" customHeight="false" outlineLevel="0" collapsed="false">
      <c r="A165" s="23"/>
      <c r="B165" s="24"/>
      <c r="C165" s="25"/>
      <c r="D165" s="24"/>
      <c r="E165" s="21" t="str">
        <f aca="false">IF(OR(B165="",N(N165)=0,N165=1000),IF(B165="","","Check"),INDEX(Rules!$B:$B,N165))</f>
        <v/>
      </c>
      <c r="F165" s="21" t="str">
        <f aca="false">IF(OR(B165="",N(N165)=0,N165=1000),"",INDEX(Rules!$C:$C,N165))</f>
        <v/>
      </c>
      <c r="G165" s="24"/>
      <c r="H165" s="24"/>
      <c r="I165" s="20" t="str">
        <f aca="false">IF(B165="","",IF(G165&lt;&gt;"",G165,E165))</f>
        <v/>
      </c>
      <c r="J165" s="21" t="str">
        <f aca="false">IF(B165="","",IF(H165&lt;&gt;"",H165,F165))</f>
        <v/>
      </c>
      <c r="K165" s="26" t="str">
        <f aca="false">IF(A165="","",DATE(YEAR(A165),MONTH(A165),1))</f>
        <v/>
      </c>
      <c r="L165" s="21" t="str">
        <f aca="false">IF(J165="",IF(B165="","",IF(N(C165)&gt;=0,"Income","Expense")),IFERROR(INDEX(Lists!$B$2:$B$30,MATCH(J165,Lists!$A$2:$A$30,0)),""))</f>
        <v/>
      </c>
      <c r="M165" s="24"/>
      <c r="N165" s="27" t="str">
        <f aca="false">IF(B165="","",IFERROR(1000-SUMPRODUCT(MAX(ISNUMBER(SEARCH(Rules!$A$5:$A$204,B165))*(Rules!$A$5:$A$204&lt;&gt;"")*(1000-ROW(Rules!$A$5:$A$204)))),""))</f>
        <v/>
      </c>
    </row>
    <row r="166" customFormat="false" ht="15" hidden="false" customHeight="false" outlineLevel="0" collapsed="false">
      <c r="A166" s="23"/>
      <c r="B166" s="24"/>
      <c r="C166" s="25"/>
      <c r="D166" s="24"/>
      <c r="E166" s="21" t="str">
        <f aca="false">IF(OR(B166="",N(N166)=0,N166=1000),IF(B166="","","Check"),INDEX(Rules!$B:$B,N166))</f>
        <v/>
      </c>
      <c r="F166" s="21" t="str">
        <f aca="false">IF(OR(B166="",N(N166)=0,N166=1000),"",INDEX(Rules!$C:$C,N166))</f>
        <v/>
      </c>
      <c r="G166" s="24"/>
      <c r="H166" s="24"/>
      <c r="I166" s="20" t="str">
        <f aca="false">IF(B166="","",IF(G166&lt;&gt;"",G166,E166))</f>
        <v/>
      </c>
      <c r="J166" s="21" t="str">
        <f aca="false">IF(B166="","",IF(H166&lt;&gt;"",H166,F166))</f>
        <v/>
      </c>
      <c r="K166" s="26" t="str">
        <f aca="false">IF(A166="","",DATE(YEAR(A166),MONTH(A166),1))</f>
        <v/>
      </c>
      <c r="L166" s="21" t="str">
        <f aca="false">IF(J166="",IF(B166="","",IF(N(C166)&gt;=0,"Income","Expense")),IFERROR(INDEX(Lists!$B$2:$B$30,MATCH(J166,Lists!$A$2:$A$30,0)),""))</f>
        <v/>
      </c>
      <c r="M166" s="24"/>
      <c r="N166" s="27" t="str">
        <f aca="false">IF(B166="","",IFERROR(1000-SUMPRODUCT(MAX(ISNUMBER(SEARCH(Rules!$A$5:$A$204,B166))*(Rules!$A$5:$A$204&lt;&gt;"")*(1000-ROW(Rules!$A$5:$A$204)))),""))</f>
        <v/>
      </c>
    </row>
    <row r="167" customFormat="false" ht="15" hidden="false" customHeight="false" outlineLevel="0" collapsed="false">
      <c r="A167" s="23"/>
      <c r="B167" s="24"/>
      <c r="C167" s="25"/>
      <c r="D167" s="24"/>
      <c r="E167" s="21" t="str">
        <f aca="false">IF(OR(B167="",N(N167)=0,N167=1000),IF(B167="","","Check"),INDEX(Rules!$B:$B,N167))</f>
        <v/>
      </c>
      <c r="F167" s="21" t="str">
        <f aca="false">IF(OR(B167="",N(N167)=0,N167=1000),"",INDEX(Rules!$C:$C,N167))</f>
        <v/>
      </c>
      <c r="G167" s="24"/>
      <c r="H167" s="24"/>
      <c r="I167" s="20" t="str">
        <f aca="false">IF(B167="","",IF(G167&lt;&gt;"",G167,E167))</f>
        <v/>
      </c>
      <c r="J167" s="21" t="str">
        <f aca="false">IF(B167="","",IF(H167&lt;&gt;"",H167,F167))</f>
        <v/>
      </c>
      <c r="K167" s="26" t="str">
        <f aca="false">IF(A167="","",DATE(YEAR(A167),MONTH(A167),1))</f>
        <v/>
      </c>
      <c r="L167" s="21" t="str">
        <f aca="false">IF(J167="",IF(B167="","",IF(N(C167)&gt;=0,"Income","Expense")),IFERROR(INDEX(Lists!$B$2:$B$30,MATCH(J167,Lists!$A$2:$A$30,0)),""))</f>
        <v/>
      </c>
      <c r="M167" s="24"/>
      <c r="N167" s="27" t="str">
        <f aca="false">IF(B167="","",IFERROR(1000-SUMPRODUCT(MAX(ISNUMBER(SEARCH(Rules!$A$5:$A$204,B167))*(Rules!$A$5:$A$204&lt;&gt;"")*(1000-ROW(Rules!$A$5:$A$204)))),""))</f>
        <v/>
      </c>
    </row>
    <row r="168" customFormat="false" ht="15" hidden="false" customHeight="false" outlineLevel="0" collapsed="false">
      <c r="A168" s="23"/>
      <c r="B168" s="24"/>
      <c r="C168" s="25"/>
      <c r="D168" s="24"/>
      <c r="E168" s="21" t="str">
        <f aca="false">IF(OR(B168="",N(N168)=0,N168=1000),IF(B168="","","Check"),INDEX(Rules!$B:$B,N168))</f>
        <v/>
      </c>
      <c r="F168" s="21" t="str">
        <f aca="false">IF(OR(B168="",N(N168)=0,N168=1000),"",INDEX(Rules!$C:$C,N168))</f>
        <v/>
      </c>
      <c r="G168" s="24"/>
      <c r="H168" s="24"/>
      <c r="I168" s="20" t="str">
        <f aca="false">IF(B168="","",IF(G168&lt;&gt;"",G168,E168))</f>
        <v/>
      </c>
      <c r="J168" s="21" t="str">
        <f aca="false">IF(B168="","",IF(H168&lt;&gt;"",H168,F168))</f>
        <v/>
      </c>
      <c r="K168" s="26" t="str">
        <f aca="false">IF(A168="","",DATE(YEAR(A168),MONTH(A168),1))</f>
        <v/>
      </c>
      <c r="L168" s="21" t="str">
        <f aca="false">IF(J168="",IF(B168="","",IF(N(C168)&gt;=0,"Income","Expense")),IFERROR(INDEX(Lists!$B$2:$B$30,MATCH(J168,Lists!$A$2:$A$30,0)),""))</f>
        <v/>
      </c>
      <c r="M168" s="24"/>
      <c r="N168" s="27" t="str">
        <f aca="false">IF(B168="","",IFERROR(1000-SUMPRODUCT(MAX(ISNUMBER(SEARCH(Rules!$A$5:$A$204,B168))*(Rules!$A$5:$A$204&lt;&gt;"")*(1000-ROW(Rules!$A$5:$A$204)))),""))</f>
        <v/>
      </c>
    </row>
    <row r="169" customFormat="false" ht="15" hidden="false" customHeight="false" outlineLevel="0" collapsed="false">
      <c r="A169" s="23"/>
      <c r="B169" s="24"/>
      <c r="C169" s="25"/>
      <c r="D169" s="24"/>
      <c r="E169" s="21" t="str">
        <f aca="false">IF(OR(B169="",N(N169)=0,N169=1000),IF(B169="","","Check"),INDEX(Rules!$B:$B,N169))</f>
        <v/>
      </c>
      <c r="F169" s="21" t="str">
        <f aca="false">IF(OR(B169="",N(N169)=0,N169=1000),"",INDEX(Rules!$C:$C,N169))</f>
        <v/>
      </c>
      <c r="G169" s="24"/>
      <c r="H169" s="24"/>
      <c r="I169" s="20" t="str">
        <f aca="false">IF(B169="","",IF(G169&lt;&gt;"",G169,E169))</f>
        <v/>
      </c>
      <c r="J169" s="21" t="str">
        <f aca="false">IF(B169="","",IF(H169&lt;&gt;"",H169,F169))</f>
        <v/>
      </c>
      <c r="K169" s="26" t="str">
        <f aca="false">IF(A169="","",DATE(YEAR(A169),MONTH(A169),1))</f>
        <v/>
      </c>
      <c r="L169" s="21" t="str">
        <f aca="false">IF(J169="",IF(B169="","",IF(N(C169)&gt;=0,"Income","Expense")),IFERROR(INDEX(Lists!$B$2:$B$30,MATCH(J169,Lists!$A$2:$A$30,0)),""))</f>
        <v/>
      </c>
      <c r="M169" s="24"/>
      <c r="N169" s="27" t="str">
        <f aca="false">IF(B169="","",IFERROR(1000-SUMPRODUCT(MAX(ISNUMBER(SEARCH(Rules!$A$5:$A$204,B169))*(Rules!$A$5:$A$204&lt;&gt;"")*(1000-ROW(Rules!$A$5:$A$204)))),""))</f>
        <v/>
      </c>
    </row>
    <row r="170" customFormat="false" ht="15" hidden="false" customHeight="false" outlineLevel="0" collapsed="false">
      <c r="A170" s="23"/>
      <c r="B170" s="24"/>
      <c r="C170" s="25"/>
      <c r="D170" s="24"/>
      <c r="E170" s="21" t="str">
        <f aca="false">IF(OR(B170="",N(N170)=0,N170=1000),IF(B170="","","Check"),INDEX(Rules!$B:$B,N170))</f>
        <v/>
      </c>
      <c r="F170" s="21" t="str">
        <f aca="false">IF(OR(B170="",N(N170)=0,N170=1000),"",INDEX(Rules!$C:$C,N170))</f>
        <v/>
      </c>
      <c r="G170" s="24"/>
      <c r="H170" s="24"/>
      <c r="I170" s="20" t="str">
        <f aca="false">IF(B170="","",IF(G170&lt;&gt;"",G170,E170))</f>
        <v/>
      </c>
      <c r="J170" s="21" t="str">
        <f aca="false">IF(B170="","",IF(H170&lt;&gt;"",H170,F170))</f>
        <v/>
      </c>
      <c r="K170" s="26" t="str">
        <f aca="false">IF(A170="","",DATE(YEAR(A170),MONTH(A170),1))</f>
        <v/>
      </c>
      <c r="L170" s="21" t="str">
        <f aca="false">IF(J170="",IF(B170="","",IF(N(C170)&gt;=0,"Income","Expense")),IFERROR(INDEX(Lists!$B$2:$B$30,MATCH(J170,Lists!$A$2:$A$30,0)),""))</f>
        <v/>
      </c>
      <c r="M170" s="24"/>
      <c r="N170" s="27" t="str">
        <f aca="false">IF(B170="","",IFERROR(1000-SUMPRODUCT(MAX(ISNUMBER(SEARCH(Rules!$A$5:$A$204,B170))*(Rules!$A$5:$A$204&lt;&gt;"")*(1000-ROW(Rules!$A$5:$A$204)))),""))</f>
        <v/>
      </c>
    </row>
    <row r="171" customFormat="false" ht="15" hidden="false" customHeight="false" outlineLevel="0" collapsed="false">
      <c r="A171" s="23"/>
      <c r="B171" s="24"/>
      <c r="C171" s="25"/>
      <c r="D171" s="24"/>
      <c r="E171" s="21" t="str">
        <f aca="false">IF(OR(B171="",N(N171)=0,N171=1000),IF(B171="","","Check"),INDEX(Rules!$B:$B,N171))</f>
        <v/>
      </c>
      <c r="F171" s="21" t="str">
        <f aca="false">IF(OR(B171="",N(N171)=0,N171=1000),"",INDEX(Rules!$C:$C,N171))</f>
        <v/>
      </c>
      <c r="G171" s="24"/>
      <c r="H171" s="24"/>
      <c r="I171" s="20" t="str">
        <f aca="false">IF(B171="","",IF(G171&lt;&gt;"",G171,E171))</f>
        <v/>
      </c>
      <c r="J171" s="21" t="str">
        <f aca="false">IF(B171="","",IF(H171&lt;&gt;"",H171,F171))</f>
        <v/>
      </c>
      <c r="K171" s="26" t="str">
        <f aca="false">IF(A171="","",DATE(YEAR(A171),MONTH(A171),1))</f>
        <v/>
      </c>
      <c r="L171" s="21" t="str">
        <f aca="false">IF(J171="",IF(B171="","",IF(N(C171)&gt;=0,"Income","Expense")),IFERROR(INDEX(Lists!$B$2:$B$30,MATCH(J171,Lists!$A$2:$A$30,0)),""))</f>
        <v/>
      </c>
      <c r="M171" s="24"/>
      <c r="N171" s="27" t="str">
        <f aca="false">IF(B171="","",IFERROR(1000-SUMPRODUCT(MAX(ISNUMBER(SEARCH(Rules!$A$5:$A$204,B171))*(Rules!$A$5:$A$204&lt;&gt;"")*(1000-ROW(Rules!$A$5:$A$204)))),""))</f>
        <v/>
      </c>
    </row>
    <row r="172" customFormat="false" ht="15" hidden="false" customHeight="false" outlineLevel="0" collapsed="false">
      <c r="A172" s="23"/>
      <c r="B172" s="24"/>
      <c r="C172" s="25"/>
      <c r="D172" s="24"/>
      <c r="E172" s="21" t="str">
        <f aca="false">IF(OR(B172="",N(N172)=0,N172=1000),IF(B172="","","Check"),INDEX(Rules!$B:$B,N172))</f>
        <v/>
      </c>
      <c r="F172" s="21" t="str">
        <f aca="false">IF(OR(B172="",N(N172)=0,N172=1000),"",INDEX(Rules!$C:$C,N172))</f>
        <v/>
      </c>
      <c r="G172" s="24"/>
      <c r="H172" s="24"/>
      <c r="I172" s="20" t="str">
        <f aca="false">IF(B172="","",IF(G172&lt;&gt;"",G172,E172))</f>
        <v/>
      </c>
      <c r="J172" s="21" t="str">
        <f aca="false">IF(B172="","",IF(H172&lt;&gt;"",H172,F172))</f>
        <v/>
      </c>
      <c r="K172" s="26" t="str">
        <f aca="false">IF(A172="","",DATE(YEAR(A172),MONTH(A172),1))</f>
        <v/>
      </c>
      <c r="L172" s="21" t="str">
        <f aca="false">IF(J172="",IF(B172="","",IF(N(C172)&gt;=0,"Income","Expense")),IFERROR(INDEX(Lists!$B$2:$B$30,MATCH(J172,Lists!$A$2:$A$30,0)),""))</f>
        <v/>
      </c>
      <c r="M172" s="24"/>
      <c r="N172" s="27" t="str">
        <f aca="false">IF(B172="","",IFERROR(1000-SUMPRODUCT(MAX(ISNUMBER(SEARCH(Rules!$A$5:$A$204,B172))*(Rules!$A$5:$A$204&lt;&gt;"")*(1000-ROW(Rules!$A$5:$A$204)))),""))</f>
        <v/>
      </c>
    </row>
    <row r="173" customFormat="false" ht="15" hidden="false" customHeight="false" outlineLevel="0" collapsed="false">
      <c r="A173" s="23"/>
      <c r="B173" s="24"/>
      <c r="C173" s="25"/>
      <c r="D173" s="24"/>
      <c r="E173" s="21" t="str">
        <f aca="false">IF(OR(B173="",N(N173)=0,N173=1000),IF(B173="","","Check"),INDEX(Rules!$B:$B,N173))</f>
        <v/>
      </c>
      <c r="F173" s="21" t="str">
        <f aca="false">IF(OR(B173="",N(N173)=0,N173=1000),"",INDEX(Rules!$C:$C,N173))</f>
        <v/>
      </c>
      <c r="G173" s="24"/>
      <c r="H173" s="24"/>
      <c r="I173" s="20" t="str">
        <f aca="false">IF(B173="","",IF(G173&lt;&gt;"",G173,E173))</f>
        <v/>
      </c>
      <c r="J173" s="21" t="str">
        <f aca="false">IF(B173="","",IF(H173&lt;&gt;"",H173,F173))</f>
        <v/>
      </c>
      <c r="K173" s="26" t="str">
        <f aca="false">IF(A173="","",DATE(YEAR(A173),MONTH(A173),1))</f>
        <v/>
      </c>
      <c r="L173" s="21" t="str">
        <f aca="false">IF(J173="",IF(B173="","",IF(N(C173)&gt;=0,"Income","Expense")),IFERROR(INDEX(Lists!$B$2:$B$30,MATCH(J173,Lists!$A$2:$A$30,0)),""))</f>
        <v/>
      </c>
      <c r="M173" s="24"/>
      <c r="N173" s="27" t="str">
        <f aca="false">IF(B173="","",IFERROR(1000-SUMPRODUCT(MAX(ISNUMBER(SEARCH(Rules!$A$5:$A$204,B173))*(Rules!$A$5:$A$204&lt;&gt;"")*(1000-ROW(Rules!$A$5:$A$204)))),""))</f>
        <v/>
      </c>
    </row>
    <row r="174" customFormat="false" ht="15" hidden="false" customHeight="false" outlineLevel="0" collapsed="false">
      <c r="A174" s="23"/>
      <c r="B174" s="24"/>
      <c r="C174" s="25"/>
      <c r="D174" s="24"/>
      <c r="E174" s="21" t="str">
        <f aca="false">IF(OR(B174="",N(N174)=0,N174=1000),IF(B174="","","Check"),INDEX(Rules!$B:$B,N174))</f>
        <v/>
      </c>
      <c r="F174" s="21" t="str">
        <f aca="false">IF(OR(B174="",N(N174)=0,N174=1000),"",INDEX(Rules!$C:$C,N174))</f>
        <v/>
      </c>
      <c r="G174" s="24"/>
      <c r="H174" s="24"/>
      <c r="I174" s="20" t="str">
        <f aca="false">IF(B174="","",IF(G174&lt;&gt;"",G174,E174))</f>
        <v/>
      </c>
      <c r="J174" s="21" t="str">
        <f aca="false">IF(B174="","",IF(H174&lt;&gt;"",H174,F174))</f>
        <v/>
      </c>
      <c r="K174" s="26" t="str">
        <f aca="false">IF(A174="","",DATE(YEAR(A174),MONTH(A174),1))</f>
        <v/>
      </c>
      <c r="L174" s="21" t="str">
        <f aca="false">IF(J174="",IF(B174="","",IF(N(C174)&gt;=0,"Income","Expense")),IFERROR(INDEX(Lists!$B$2:$B$30,MATCH(J174,Lists!$A$2:$A$30,0)),""))</f>
        <v/>
      </c>
      <c r="M174" s="24"/>
      <c r="N174" s="27" t="str">
        <f aca="false">IF(B174="","",IFERROR(1000-SUMPRODUCT(MAX(ISNUMBER(SEARCH(Rules!$A$5:$A$204,B174))*(Rules!$A$5:$A$204&lt;&gt;"")*(1000-ROW(Rules!$A$5:$A$204)))),""))</f>
        <v/>
      </c>
    </row>
    <row r="175" customFormat="false" ht="15" hidden="false" customHeight="false" outlineLevel="0" collapsed="false">
      <c r="A175" s="23"/>
      <c r="B175" s="24"/>
      <c r="C175" s="25"/>
      <c r="D175" s="24"/>
      <c r="E175" s="21" t="str">
        <f aca="false">IF(OR(B175="",N(N175)=0,N175=1000),IF(B175="","","Check"),INDEX(Rules!$B:$B,N175))</f>
        <v/>
      </c>
      <c r="F175" s="21" t="str">
        <f aca="false">IF(OR(B175="",N(N175)=0,N175=1000),"",INDEX(Rules!$C:$C,N175))</f>
        <v/>
      </c>
      <c r="G175" s="24"/>
      <c r="H175" s="24"/>
      <c r="I175" s="20" t="str">
        <f aca="false">IF(B175="","",IF(G175&lt;&gt;"",G175,E175))</f>
        <v/>
      </c>
      <c r="J175" s="21" t="str">
        <f aca="false">IF(B175="","",IF(H175&lt;&gt;"",H175,F175))</f>
        <v/>
      </c>
      <c r="K175" s="26" t="str">
        <f aca="false">IF(A175="","",DATE(YEAR(A175),MONTH(A175),1))</f>
        <v/>
      </c>
      <c r="L175" s="21" t="str">
        <f aca="false">IF(J175="",IF(B175="","",IF(N(C175)&gt;=0,"Income","Expense")),IFERROR(INDEX(Lists!$B$2:$B$30,MATCH(J175,Lists!$A$2:$A$30,0)),""))</f>
        <v/>
      </c>
      <c r="M175" s="24"/>
      <c r="N175" s="27" t="str">
        <f aca="false">IF(B175="","",IFERROR(1000-SUMPRODUCT(MAX(ISNUMBER(SEARCH(Rules!$A$5:$A$204,B175))*(Rules!$A$5:$A$204&lt;&gt;"")*(1000-ROW(Rules!$A$5:$A$204)))),""))</f>
        <v/>
      </c>
    </row>
    <row r="176" customFormat="false" ht="15" hidden="false" customHeight="false" outlineLevel="0" collapsed="false">
      <c r="A176" s="23"/>
      <c r="B176" s="24"/>
      <c r="C176" s="25"/>
      <c r="D176" s="24"/>
      <c r="E176" s="21" t="str">
        <f aca="false">IF(OR(B176="",N(N176)=0,N176=1000),IF(B176="","","Check"),INDEX(Rules!$B:$B,N176))</f>
        <v/>
      </c>
      <c r="F176" s="21" t="str">
        <f aca="false">IF(OR(B176="",N(N176)=0,N176=1000),"",INDEX(Rules!$C:$C,N176))</f>
        <v/>
      </c>
      <c r="G176" s="24"/>
      <c r="H176" s="24"/>
      <c r="I176" s="20" t="str">
        <f aca="false">IF(B176="","",IF(G176&lt;&gt;"",G176,E176))</f>
        <v/>
      </c>
      <c r="J176" s="21" t="str">
        <f aca="false">IF(B176="","",IF(H176&lt;&gt;"",H176,F176))</f>
        <v/>
      </c>
      <c r="K176" s="26" t="str">
        <f aca="false">IF(A176="","",DATE(YEAR(A176),MONTH(A176),1))</f>
        <v/>
      </c>
      <c r="L176" s="21" t="str">
        <f aca="false">IF(J176="",IF(B176="","",IF(N(C176)&gt;=0,"Income","Expense")),IFERROR(INDEX(Lists!$B$2:$B$30,MATCH(J176,Lists!$A$2:$A$30,0)),""))</f>
        <v/>
      </c>
      <c r="M176" s="24"/>
      <c r="N176" s="27" t="str">
        <f aca="false">IF(B176="","",IFERROR(1000-SUMPRODUCT(MAX(ISNUMBER(SEARCH(Rules!$A$5:$A$204,B176))*(Rules!$A$5:$A$204&lt;&gt;"")*(1000-ROW(Rules!$A$5:$A$204)))),""))</f>
        <v/>
      </c>
    </row>
    <row r="177" customFormat="false" ht="15" hidden="false" customHeight="false" outlineLevel="0" collapsed="false">
      <c r="A177" s="23"/>
      <c r="B177" s="24"/>
      <c r="C177" s="25"/>
      <c r="D177" s="24"/>
      <c r="E177" s="21" t="str">
        <f aca="false">IF(OR(B177="",N(N177)=0,N177=1000),IF(B177="","","Check"),INDEX(Rules!$B:$B,N177))</f>
        <v/>
      </c>
      <c r="F177" s="21" t="str">
        <f aca="false">IF(OR(B177="",N(N177)=0,N177=1000),"",INDEX(Rules!$C:$C,N177))</f>
        <v/>
      </c>
      <c r="G177" s="24"/>
      <c r="H177" s="24"/>
      <c r="I177" s="20" t="str">
        <f aca="false">IF(B177="","",IF(G177&lt;&gt;"",G177,E177))</f>
        <v/>
      </c>
      <c r="J177" s="21" t="str">
        <f aca="false">IF(B177="","",IF(H177&lt;&gt;"",H177,F177))</f>
        <v/>
      </c>
      <c r="K177" s="26" t="str">
        <f aca="false">IF(A177="","",DATE(YEAR(A177),MONTH(A177),1))</f>
        <v/>
      </c>
      <c r="L177" s="21" t="str">
        <f aca="false">IF(J177="",IF(B177="","",IF(N(C177)&gt;=0,"Income","Expense")),IFERROR(INDEX(Lists!$B$2:$B$30,MATCH(J177,Lists!$A$2:$A$30,0)),""))</f>
        <v/>
      </c>
      <c r="M177" s="24"/>
      <c r="N177" s="27" t="str">
        <f aca="false">IF(B177="","",IFERROR(1000-SUMPRODUCT(MAX(ISNUMBER(SEARCH(Rules!$A$5:$A$204,B177))*(Rules!$A$5:$A$204&lt;&gt;"")*(1000-ROW(Rules!$A$5:$A$204)))),""))</f>
        <v/>
      </c>
    </row>
    <row r="178" customFormat="false" ht="15" hidden="false" customHeight="false" outlineLevel="0" collapsed="false">
      <c r="A178" s="23"/>
      <c r="B178" s="24"/>
      <c r="C178" s="25"/>
      <c r="D178" s="24"/>
      <c r="E178" s="21" t="str">
        <f aca="false">IF(OR(B178="",N(N178)=0,N178=1000),IF(B178="","","Check"),INDEX(Rules!$B:$B,N178))</f>
        <v/>
      </c>
      <c r="F178" s="21" t="str">
        <f aca="false">IF(OR(B178="",N(N178)=0,N178=1000),"",INDEX(Rules!$C:$C,N178))</f>
        <v/>
      </c>
      <c r="G178" s="24"/>
      <c r="H178" s="24"/>
      <c r="I178" s="20" t="str">
        <f aca="false">IF(B178="","",IF(G178&lt;&gt;"",G178,E178))</f>
        <v/>
      </c>
      <c r="J178" s="21" t="str">
        <f aca="false">IF(B178="","",IF(H178&lt;&gt;"",H178,F178))</f>
        <v/>
      </c>
      <c r="K178" s="26" t="str">
        <f aca="false">IF(A178="","",DATE(YEAR(A178),MONTH(A178),1))</f>
        <v/>
      </c>
      <c r="L178" s="21" t="str">
        <f aca="false">IF(J178="",IF(B178="","",IF(N(C178)&gt;=0,"Income","Expense")),IFERROR(INDEX(Lists!$B$2:$B$30,MATCH(J178,Lists!$A$2:$A$30,0)),""))</f>
        <v/>
      </c>
      <c r="M178" s="24"/>
      <c r="N178" s="27" t="str">
        <f aca="false">IF(B178="","",IFERROR(1000-SUMPRODUCT(MAX(ISNUMBER(SEARCH(Rules!$A$5:$A$204,B178))*(Rules!$A$5:$A$204&lt;&gt;"")*(1000-ROW(Rules!$A$5:$A$204)))),""))</f>
        <v/>
      </c>
    </row>
    <row r="179" customFormat="false" ht="15" hidden="false" customHeight="false" outlineLevel="0" collapsed="false">
      <c r="A179" s="23"/>
      <c r="B179" s="24"/>
      <c r="C179" s="25"/>
      <c r="D179" s="24"/>
      <c r="E179" s="21" t="str">
        <f aca="false">IF(OR(B179="",N(N179)=0,N179=1000),IF(B179="","","Check"),INDEX(Rules!$B:$B,N179))</f>
        <v/>
      </c>
      <c r="F179" s="21" t="str">
        <f aca="false">IF(OR(B179="",N(N179)=0,N179=1000),"",INDEX(Rules!$C:$C,N179))</f>
        <v/>
      </c>
      <c r="G179" s="24"/>
      <c r="H179" s="24"/>
      <c r="I179" s="20" t="str">
        <f aca="false">IF(B179="","",IF(G179&lt;&gt;"",G179,E179))</f>
        <v/>
      </c>
      <c r="J179" s="21" t="str">
        <f aca="false">IF(B179="","",IF(H179&lt;&gt;"",H179,F179))</f>
        <v/>
      </c>
      <c r="K179" s="26" t="str">
        <f aca="false">IF(A179="","",DATE(YEAR(A179),MONTH(A179),1))</f>
        <v/>
      </c>
      <c r="L179" s="21" t="str">
        <f aca="false">IF(J179="",IF(B179="","",IF(N(C179)&gt;=0,"Income","Expense")),IFERROR(INDEX(Lists!$B$2:$B$30,MATCH(J179,Lists!$A$2:$A$30,0)),""))</f>
        <v/>
      </c>
      <c r="M179" s="24"/>
      <c r="N179" s="27" t="str">
        <f aca="false">IF(B179="","",IFERROR(1000-SUMPRODUCT(MAX(ISNUMBER(SEARCH(Rules!$A$5:$A$204,B179))*(Rules!$A$5:$A$204&lt;&gt;"")*(1000-ROW(Rules!$A$5:$A$204)))),""))</f>
        <v/>
      </c>
    </row>
    <row r="180" customFormat="false" ht="15" hidden="false" customHeight="false" outlineLevel="0" collapsed="false">
      <c r="A180" s="23"/>
      <c r="B180" s="24"/>
      <c r="C180" s="25"/>
      <c r="D180" s="24"/>
      <c r="E180" s="21" t="str">
        <f aca="false">IF(OR(B180="",N(N180)=0,N180=1000),IF(B180="","","Check"),INDEX(Rules!$B:$B,N180))</f>
        <v/>
      </c>
      <c r="F180" s="21" t="str">
        <f aca="false">IF(OR(B180="",N(N180)=0,N180=1000),"",INDEX(Rules!$C:$C,N180))</f>
        <v/>
      </c>
      <c r="G180" s="24"/>
      <c r="H180" s="24"/>
      <c r="I180" s="20" t="str">
        <f aca="false">IF(B180="","",IF(G180&lt;&gt;"",G180,E180))</f>
        <v/>
      </c>
      <c r="J180" s="21" t="str">
        <f aca="false">IF(B180="","",IF(H180&lt;&gt;"",H180,F180))</f>
        <v/>
      </c>
      <c r="K180" s="26" t="str">
        <f aca="false">IF(A180="","",DATE(YEAR(A180),MONTH(A180),1))</f>
        <v/>
      </c>
      <c r="L180" s="21" t="str">
        <f aca="false">IF(J180="",IF(B180="","",IF(N(C180)&gt;=0,"Income","Expense")),IFERROR(INDEX(Lists!$B$2:$B$30,MATCH(J180,Lists!$A$2:$A$30,0)),""))</f>
        <v/>
      </c>
      <c r="M180" s="24"/>
      <c r="N180" s="27" t="str">
        <f aca="false">IF(B180="","",IFERROR(1000-SUMPRODUCT(MAX(ISNUMBER(SEARCH(Rules!$A$5:$A$204,B180))*(Rules!$A$5:$A$204&lt;&gt;"")*(1000-ROW(Rules!$A$5:$A$204)))),""))</f>
        <v/>
      </c>
    </row>
    <row r="181" customFormat="false" ht="15" hidden="false" customHeight="false" outlineLevel="0" collapsed="false">
      <c r="A181" s="23"/>
      <c r="B181" s="24"/>
      <c r="C181" s="25"/>
      <c r="D181" s="24"/>
      <c r="E181" s="21" t="str">
        <f aca="false">IF(OR(B181="",N(N181)=0,N181=1000),IF(B181="","","Check"),INDEX(Rules!$B:$B,N181))</f>
        <v/>
      </c>
      <c r="F181" s="21" t="str">
        <f aca="false">IF(OR(B181="",N(N181)=0,N181=1000),"",INDEX(Rules!$C:$C,N181))</f>
        <v/>
      </c>
      <c r="G181" s="24"/>
      <c r="H181" s="24"/>
      <c r="I181" s="20" t="str">
        <f aca="false">IF(B181="","",IF(G181&lt;&gt;"",G181,E181))</f>
        <v/>
      </c>
      <c r="J181" s="21" t="str">
        <f aca="false">IF(B181="","",IF(H181&lt;&gt;"",H181,F181))</f>
        <v/>
      </c>
      <c r="K181" s="26" t="str">
        <f aca="false">IF(A181="","",DATE(YEAR(A181),MONTH(A181),1))</f>
        <v/>
      </c>
      <c r="L181" s="21" t="str">
        <f aca="false">IF(J181="",IF(B181="","",IF(N(C181)&gt;=0,"Income","Expense")),IFERROR(INDEX(Lists!$B$2:$B$30,MATCH(J181,Lists!$A$2:$A$30,0)),""))</f>
        <v/>
      </c>
      <c r="M181" s="24"/>
      <c r="N181" s="27" t="str">
        <f aca="false">IF(B181="","",IFERROR(1000-SUMPRODUCT(MAX(ISNUMBER(SEARCH(Rules!$A$5:$A$204,B181))*(Rules!$A$5:$A$204&lt;&gt;"")*(1000-ROW(Rules!$A$5:$A$204)))),""))</f>
        <v/>
      </c>
    </row>
    <row r="182" customFormat="false" ht="15" hidden="false" customHeight="false" outlineLevel="0" collapsed="false">
      <c r="A182" s="23"/>
      <c r="B182" s="24"/>
      <c r="C182" s="25"/>
      <c r="D182" s="24"/>
      <c r="E182" s="21" t="str">
        <f aca="false">IF(OR(B182="",N(N182)=0,N182=1000),IF(B182="","","Check"),INDEX(Rules!$B:$B,N182))</f>
        <v/>
      </c>
      <c r="F182" s="21" t="str">
        <f aca="false">IF(OR(B182="",N(N182)=0,N182=1000),"",INDEX(Rules!$C:$C,N182))</f>
        <v/>
      </c>
      <c r="G182" s="24"/>
      <c r="H182" s="24"/>
      <c r="I182" s="20" t="str">
        <f aca="false">IF(B182="","",IF(G182&lt;&gt;"",G182,E182))</f>
        <v/>
      </c>
      <c r="J182" s="21" t="str">
        <f aca="false">IF(B182="","",IF(H182&lt;&gt;"",H182,F182))</f>
        <v/>
      </c>
      <c r="K182" s="26" t="str">
        <f aca="false">IF(A182="","",DATE(YEAR(A182),MONTH(A182),1))</f>
        <v/>
      </c>
      <c r="L182" s="21" t="str">
        <f aca="false">IF(J182="",IF(B182="","",IF(N(C182)&gt;=0,"Income","Expense")),IFERROR(INDEX(Lists!$B$2:$B$30,MATCH(J182,Lists!$A$2:$A$30,0)),""))</f>
        <v/>
      </c>
      <c r="M182" s="24"/>
      <c r="N182" s="27" t="str">
        <f aca="false">IF(B182="","",IFERROR(1000-SUMPRODUCT(MAX(ISNUMBER(SEARCH(Rules!$A$5:$A$204,B182))*(Rules!$A$5:$A$204&lt;&gt;"")*(1000-ROW(Rules!$A$5:$A$204)))),""))</f>
        <v/>
      </c>
    </row>
    <row r="183" customFormat="false" ht="15" hidden="false" customHeight="false" outlineLevel="0" collapsed="false">
      <c r="A183" s="23"/>
      <c r="B183" s="24"/>
      <c r="C183" s="25"/>
      <c r="D183" s="24"/>
      <c r="E183" s="21" t="str">
        <f aca="false">IF(OR(B183="",N(N183)=0,N183=1000),IF(B183="","","Check"),INDEX(Rules!$B:$B,N183))</f>
        <v/>
      </c>
      <c r="F183" s="21" t="str">
        <f aca="false">IF(OR(B183="",N(N183)=0,N183=1000),"",INDEX(Rules!$C:$C,N183))</f>
        <v/>
      </c>
      <c r="G183" s="24"/>
      <c r="H183" s="24"/>
      <c r="I183" s="20" t="str">
        <f aca="false">IF(B183="","",IF(G183&lt;&gt;"",G183,E183))</f>
        <v/>
      </c>
      <c r="J183" s="21" t="str">
        <f aca="false">IF(B183="","",IF(H183&lt;&gt;"",H183,F183))</f>
        <v/>
      </c>
      <c r="K183" s="26" t="str">
        <f aca="false">IF(A183="","",DATE(YEAR(A183),MONTH(A183),1))</f>
        <v/>
      </c>
      <c r="L183" s="21" t="str">
        <f aca="false">IF(J183="",IF(B183="","",IF(N(C183)&gt;=0,"Income","Expense")),IFERROR(INDEX(Lists!$B$2:$B$30,MATCH(J183,Lists!$A$2:$A$30,0)),""))</f>
        <v/>
      </c>
      <c r="M183" s="24"/>
      <c r="N183" s="27" t="str">
        <f aca="false">IF(B183="","",IFERROR(1000-SUMPRODUCT(MAX(ISNUMBER(SEARCH(Rules!$A$5:$A$204,B183))*(Rules!$A$5:$A$204&lt;&gt;"")*(1000-ROW(Rules!$A$5:$A$204)))),""))</f>
        <v/>
      </c>
    </row>
    <row r="184" customFormat="false" ht="15" hidden="false" customHeight="false" outlineLevel="0" collapsed="false">
      <c r="A184" s="23"/>
      <c r="B184" s="24"/>
      <c r="C184" s="25"/>
      <c r="D184" s="24"/>
      <c r="E184" s="21" t="str">
        <f aca="false">IF(OR(B184="",N(N184)=0,N184=1000),IF(B184="","","Check"),INDEX(Rules!$B:$B,N184))</f>
        <v/>
      </c>
      <c r="F184" s="21" t="str">
        <f aca="false">IF(OR(B184="",N(N184)=0,N184=1000),"",INDEX(Rules!$C:$C,N184))</f>
        <v/>
      </c>
      <c r="G184" s="24"/>
      <c r="H184" s="24"/>
      <c r="I184" s="20" t="str">
        <f aca="false">IF(B184="","",IF(G184&lt;&gt;"",G184,E184))</f>
        <v/>
      </c>
      <c r="J184" s="21" t="str">
        <f aca="false">IF(B184="","",IF(H184&lt;&gt;"",H184,F184))</f>
        <v/>
      </c>
      <c r="K184" s="26" t="str">
        <f aca="false">IF(A184="","",DATE(YEAR(A184),MONTH(A184),1))</f>
        <v/>
      </c>
      <c r="L184" s="21" t="str">
        <f aca="false">IF(J184="",IF(B184="","",IF(N(C184)&gt;=0,"Income","Expense")),IFERROR(INDEX(Lists!$B$2:$B$30,MATCH(J184,Lists!$A$2:$A$30,0)),""))</f>
        <v/>
      </c>
      <c r="M184" s="24"/>
      <c r="N184" s="27" t="str">
        <f aca="false">IF(B184="","",IFERROR(1000-SUMPRODUCT(MAX(ISNUMBER(SEARCH(Rules!$A$5:$A$204,B184))*(Rules!$A$5:$A$204&lt;&gt;"")*(1000-ROW(Rules!$A$5:$A$204)))),""))</f>
        <v/>
      </c>
    </row>
    <row r="185" customFormat="false" ht="15" hidden="false" customHeight="false" outlineLevel="0" collapsed="false">
      <c r="A185" s="23"/>
      <c r="B185" s="24"/>
      <c r="C185" s="25"/>
      <c r="D185" s="24"/>
      <c r="E185" s="21" t="str">
        <f aca="false">IF(OR(B185="",N(N185)=0,N185=1000),IF(B185="","","Check"),INDEX(Rules!$B:$B,N185))</f>
        <v/>
      </c>
      <c r="F185" s="21" t="str">
        <f aca="false">IF(OR(B185="",N(N185)=0,N185=1000),"",INDEX(Rules!$C:$C,N185))</f>
        <v/>
      </c>
      <c r="G185" s="24"/>
      <c r="H185" s="24"/>
      <c r="I185" s="20" t="str">
        <f aca="false">IF(B185="","",IF(G185&lt;&gt;"",G185,E185))</f>
        <v/>
      </c>
      <c r="J185" s="21" t="str">
        <f aca="false">IF(B185="","",IF(H185&lt;&gt;"",H185,F185))</f>
        <v/>
      </c>
      <c r="K185" s="26" t="str">
        <f aca="false">IF(A185="","",DATE(YEAR(A185),MONTH(A185),1))</f>
        <v/>
      </c>
      <c r="L185" s="21" t="str">
        <f aca="false">IF(J185="",IF(B185="","",IF(N(C185)&gt;=0,"Income","Expense")),IFERROR(INDEX(Lists!$B$2:$B$30,MATCH(J185,Lists!$A$2:$A$30,0)),""))</f>
        <v/>
      </c>
      <c r="M185" s="24"/>
      <c r="N185" s="27" t="str">
        <f aca="false">IF(B185="","",IFERROR(1000-SUMPRODUCT(MAX(ISNUMBER(SEARCH(Rules!$A$5:$A$204,B185))*(Rules!$A$5:$A$204&lt;&gt;"")*(1000-ROW(Rules!$A$5:$A$204)))),""))</f>
        <v/>
      </c>
    </row>
    <row r="186" customFormat="false" ht="15" hidden="false" customHeight="false" outlineLevel="0" collapsed="false">
      <c r="A186" s="23"/>
      <c r="B186" s="24"/>
      <c r="C186" s="25"/>
      <c r="D186" s="24"/>
      <c r="E186" s="21" t="str">
        <f aca="false">IF(OR(B186="",N(N186)=0,N186=1000),IF(B186="","","Check"),INDEX(Rules!$B:$B,N186))</f>
        <v/>
      </c>
      <c r="F186" s="21" t="str">
        <f aca="false">IF(OR(B186="",N(N186)=0,N186=1000),"",INDEX(Rules!$C:$C,N186))</f>
        <v/>
      </c>
      <c r="G186" s="24"/>
      <c r="H186" s="24"/>
      <c r="I186" s="20" t="str">
        <f aca="false">IF(B186="","",IF(G186&lt;&gt;"",G186,E186))</f>
        <v/>
      </c>
      <c r="J186" s="21" t="str">
        <f aca="false">IF(B186="","",IF(H186&lt;&gt;"",H186,F186))</f>
        <v/>
      </c>
      <c r="K186" s="26" t="str">
        <f aca="false">IF(A186="","",DATE(YEAR(A186),MONTH(A186),1))</f>
        <v/>
      </c>
      <c r="L186" s="21" t="str">
        <f aca="false">IF(J186="",IF(B186="","",IF(N(C186)&gt;=0,"Income","Expense")),IFERROR(INDEX(Lists!$B$2:$B$30,MATCH(J186,Lists!$A$2:$A$30,0)),""))</f>
        <v/>
      </c>
      <c r="M186" s="24"/>
      <c r="N186" s="27" t="str">
        <f aca="false">IF(B186="","",IFERROR(1000-SUMPRODUCT(MAX(ISNUMBER(SEARCH(Rules!$A$5:$A$204,B186))*(Rules!$A$5:$A$204&lt;&gt;"")*(1000-ROW(Rules!$A$5:$A$204)))),""))</f>
        <v/>
      </c>
    </row>
    <row r="187" customFormat="false" ht="15" hidden="false" customHeight="false" outlineLevel="0" collapsed="false">
      <c r="A187" s="23"/>
      <c r="B187" s="24"/>
      <c r="C187" s="25"/>
      <c r="D187" s="24"/>
      <c r="E187" s="21" t="str">
        <f aca="false">IF(OR(B187="",N(N187)=0,N187=1000),IF(B187="","","Check"),INDEX(Rules!$B:$B,N187))</f>
        <v/>
      </c>
      <c r="F187" s="21" t="str">
        <f aca="false">IF(OR(B187="",N(N187)=0,N187=1000),"",INDEX(Rules!$C:$C,N187))</f>
        <v/>
      </c>
      <c r="G187" s="24"/>
      <c r="H187" s="24"/>
      <c r="I187" s="20" t="str">
        <f aca="false">IF(B187="","",IF(G187&lt;&gt;"",G187,E187))</f>
        <v/>
      </c>
      <c r="J187" s="21" t="str">
        <f aca="false">IF(B187="","",IF(H187&lt;&gt;"",H187,F187))</f>
        <v/>
      </c>
      <c r="K187" s="26" t="str">
        <f aca="false">IF(A187="","",DATE(YEAR(A187),MONTH(A187),1))</f>
        <v/>
      </c>
      <c r="L187" s="21" t="str">
        <f aca="false">IF(J187="",IF(B187="","",IF(N(C187)&gt;=0,"Income","Expense")),IFERROR(INDEX(Lists!$B$2:$B$30,MATCH(J187,Lists!$A$2:$A$30,0)),""))</f>
        <v/>
      </c>
      <c r="M187" s="24"/>
      <c r="N187" s="27" t="str">
        <f aca="false">IF(B187="","",IFERROR(1000-SUMPRODUCT(MAX(ISNUMBER(SEARCH(Rules!$A$5:$A$204,B187))*(Rules!$A$5:$A$204&lt;&gt;"")*(1000-ROW(Rules!$A$5:$A$204)))),""))</f>
        <v/>
      </c>
    </row>
    <row r="188" customFormat="false" ht="15" hidden="false" customHeight="false" outlineLevel="0" collapsed="false">
      <c r="A188" s="23"/>
      <c r="B188" s="24"/>
      <c r="C188" s="25"/>
      <c r="D188" s="24"/>
      <c r="E188" s="21" t="str">
        <f aca="false">IF(OR(B188="",N(N188)=0,N188=1000),IF(B188="","","Check"),INDEX(Rules!$B:$B,N188))</f>
        <v/>
      </c>
      <c r="F188" s="21" t="str">
        <f aca="false">IF(OR(B188="",N(N188)=0,N188=1000),"",INDEX(Rules!$C:$C,N188))</f>
        <v/>
      </c>
      <c r="G188" s="24"/>
      <c r="H188" s="24"/>
      <c r="I188" s="20" t="str">
        <f aca="false">IF(B188="","",IF(G188&lt;&gt;"",G188,E188))</f>
        <v/>
      </c>
      <c r="J188" s="21" t="str">
        <f aca="false">IF(B188="","",IF(H188&lt;&gt;"",H188,F188))</f>
        <v/>
      </c>
      <c r="K188" s="26" t="str">
        <f aca="false">IF(A188="","",DATE(YEAR(A188),MONTH(A188),1))</f>
        <v/>
      </c>
      <c r="L188" s="21" t="str">
        <f aca="false">IF(J188="",IF(B188="","",IF(N(C188)&gt;=0,"Income","Expense")),IFERROR(INDEX(Lists!$B$2:$B$30,MATCH(J188,Lists!$A$2:$A$30,0)),""))</f>
        <v/>
      </c>
      <c r="M188" s="24"/>
      <c r="N188" s="27" t="str">
        <f aca="false">IF(B188="","",IFERROR(1000-SUMPRODUCT(MAX(ISNUMBER(SEARCH(Rules!$A$5:$A$204,B188))*(Rules!$A$5:$A$204&lt;&gt;"")*(1000-ROW(Rules!$A$5:$A$204)))),""))</f>
        <v/>
      </c>
    </row>
    <row r="189" customFormat="false" ht="15" hidden="false" customHeight="false" outlineLevel="0" collapsed="false">
      <c r="A189" s="23"/>
      <c r="B189" s="24"/>
      <c r="C189" s="25"/>
      <c r="D189" s="24"/>
      <c r="E189" s="21" t="str">
        <f aca="false">IF(OR(B189="",N(N189)=0,N189=1000),IF(B189="","","Check"),INDEX(Rules!$B:$B,N189))</f>
        <v/>
      </c>
      <c r="F189" s="21" t="str">
        <f aca="false">IF(OR(B189="",N(N189)=0,N189=1000),"",INDEX(Rules!$C:$C,N189))</f>
        <v/>
      </c>
      <c r="G189" s="24"/>
      <c r="H189" s="24"/>
      <c r="I189" s="20" t="str">
        <f aca="false">IF(B189="","",IF(G189&lt;&gt;"",G189,E189))</f>
        <v/>
      </c>
      <c r="J189" s="21" t="str">
        <f aca="false">IF(B189="","",IF(H189&lt;&gt;"",H189,F189))</f>
        <v/>
      </c>
      <c r="K189" s="26" t="str">
        <f aca="false">IF(A189="","",DATE(YEAR(A189),MONTH(A189),1))</f>
        <v/>
      </c>
      <c r="L189" s="21" t="str">
        <f aca="false">IF(J189="",IF(B189="","",IF(N(C189)&gt;=0,"Income","Expense")),IFERROR(INDEX(Lists!$B$2:$B$30,MATCH(J189,Lists!$A$2:$A$30,0)),""))</f>
        <v/>
      </c>
      <c r="M189" s="24"/>
      <c r="N189" s="27" t="str">
        <f aca="false">IF(B189="","",IFERROR(1000-SUMPRODUCT(MAX(ISNUMBER(SEARCH(Rules!$A$5:$A$204,B189))*(Rules!$A$5:$A$204&lt;&gt;"")*(1000-ROW(Rules!$A$5:$A$204)))),""))</f>
        <v/>
      </c>
    </row>
    <row r="190" customFormat="false" ht="15" hidden="false" customHeight="false" outlineLevel="0" collapsed="false">
      <c r="A190" s="23"/>
      <c r="B190" s="24"/>
      <c r="C190" s="25"/>
      <c r="D190" s="24"/>
      <c r="E190" s="21" t="str">
        <f aca="false">IF(OR(B190="",N(N190)=0,N190=1000),IF(B190="","","Check"),INDEX(Rules!$B:$B,N190))</f>
        <v/>
      </c>
      <c r="F190" s="21" t="str">
        <f aca="false">IF(OR(B190="",N(N190)=0,N190=1000),"",INDEX(Rules!$C:$C,N190))</f>
        <v/>
      </c>
      <c r="G190" s="24"/>
      <c r="H190" s="24"/>
      <c r="I190" s="20" t="str">
        <f aca="false">IF(B190="","",IF(G190&lt;&gt;"",G190,E190))</f>
        <v/>
      </c>
      <c r="J190" s="21" t="str">
        <f aca="false">IF(B190="","",IF(H190&lt;&gt;"",H190,F190))</f>
        <v/>
      </c>
      <c r="K190" s="26" t="str">
        <f aca="false">IF(A190="","",DATE(YEAR(A190),MONTH(A190),1))</f>
        <v/>
      </c>
      <c r="L190" s="21" t="str">
        <f aca="false">IF(J190="",IF(B190="","",IF(N(C190)&gt;=0,"Income","Expense")),IFERROR(INDEX(Lists!$B$2:$B$30,MATCH(J190,Lists!$A$2:$A$30,0)),""))</f>
        <v/>
      </c>
      <c r="M190" s="24"/>
      <c r="N190" s="27" t="str">
        <f aca="false">IF(B190="","",IFERROR(1000-SUMPRODUCT(MAX(ISNUMBER(SEARCH(Rules!$A$5:$A$204,B190))*(Rules!$A$5:$A$204&lt;&gt;"")*(1000-ROW(Rules!$A$5:$A$204)))),""))</f>
        <v/>
      </c>
    </row>
    <row r="191" customFormat="false" ht="15" hidden="false" customHeight="false" outlineLevel="0" collapsed="false">
      <c r="A191" s="23"/>
      <c r="B191" s="24"/>
      <c r="C191" s="25"/>
      <c r="D191" s="24"/>
      <c r="E191" s="21" t="str">
        <f aca="false">IF(OR(B191="",N(N191)=0,N191=1000),IF(B191="","","Check"),INDEX(Rules!$B:$B,N191))</f>
        <v/>
      </c>
      <c r="F191" s="21" t="str">
        <f aca="false">IF(OR(B191="",N(N191)=0,N191=1000),"",INDEX(Rules!$C:$C,N191))</f>
        <v/>
      </c>
      <c r="G191" s="24"/>
      <c r="H191" s="24"/>
      <c r="I191" s="20" t="str">
        <f aca="false">IF(B191="","",IF(G191&lt;&gt;"",G191,E191))</f>
        <v/>
      </c>
      <c r="J191" s="21" t="str">
        <f aca="false">IF(B191="","",IF(H191&lt;&gt;"",H191,F191))</f>
        <v/>
      </c>
      <c r="K191" s="26" t="str">
        <f aca="false">IF(A191="","",DATE(YEAR(A191),MONTH(A191),1))</f>
        <v/>
      </c>
      <c r="L191" s="21" t="str">
        <f aca="false">IF(J191="",IF(B191="","",IF(N(C191)&gt;=0,"Income","Expense")),IFERROR(INDEX(Lists!$B$2:$B$30,MATCH(J191,Lists!$A$2:$A$30,0)),""))</f>
        <v/>
      </c>
      <c r="M191" s="24"/>
      <c r="N191" s="27" t="str">
        <f aca="false">IF(B191="","",IFERROR(1000-SUMPRODUCT(MAX(ISNUMBER(SEARCH(Rules!$A$5:$A$204,B191))*(Rules!$A$5:$A$204&lt;&gt;"")*(1000-ROW(Rules!$A$5:$A$204)))),""))</f>
        <v/>
      </c>
    </row>
    <row r="192" customFormat="false" ht="15" hidden="false" customHeight="false" outlineLevel="0" collapsed="false">
      <c r="A192" s="23"/>
      <c r="B192" s="24"/>
      <c r="C192" s="25"/>
      <c r="D192" s="24"/>
      <c r="E192" s="21" t="str">
        <f aca="false">IF(OR(B192="",N(N192)=0,N192=1000),IF(B192="","","Check"),INDEX(Rules!$B:$B,N192))</f>
        <v/>
      </c>
      <c r="F192" s="21" t="str">
        <f aca="false">IF(OR(B192="",N(N192)=0,N192=1000),"",INDEX(Rules!$C:$C,N192))</f>
        <v/>
      </c>
      <c r="G192" s="24"/>
      <c r="H192" s="24"/>
      <c r="I192" s="20" t="str">
        <f aca="false">IF(B192="","",IF(G192&lt;&gt;"",G192,E192))</f>
        <v/>
      </c>
      <c r="J192" s="21" t="str">
        <f aca="false">IF(B192="","",IF(H192&lt;&gt;"",H192,F192))</f>
        <v/>
      </c>
      <c r="K192" s="26" t="str">
        <f aca="false">IF(A192="","",DATE(YEAR(A192),MONTH(A192),1))</f>
        <v/>
      </c>
      <c r="L192" s="21" t="str">
        <f aca="false">IF(J192="",IF(B192="","",IF(N(C192)&gt;=0,"Income","Expense")),IFERROR(INDEX(Lists!$B$2:$B$30,MATCH(J192,Lists!$A$2:$A$30,0)),""))</f>
        <v/>
      </c>
      <c r="M192" s="24"/>
      <c r="N192" s="27" t="str">
        <f aca="false">IF(B192="","",IFERROR(1000-SUMPRODUCT(MAX(ISNUMBER(SEARCH(Rules!$A$5:$A$204,B192))*(Rules!$A$5:$A$204&lt;&gt;"")*(1000-ROW(Rules!$A$5:$A$204)))),""))</f>
        <v/>
      </c>
    </row>
    <row r="193" customFormat="false" ht="15" hidden="false" customHeight="false" outlineLevel="0" collapsed="false">
      <c r="A193" s="23"/>
      <c r="B193" s="24"/>
      <c r="C193" s="25"/>
      <c r="D193" s="24"/>
      <c r="E193" s="21" t="str">
        <f aca="false">IF(OR(B193="",N(N193)=0,N193=1000),IF(B193="","","Check"),INDEX(Rules!$B:$B,N193))</f>
        <v/>
      </c>
      <c r="F193" s="21" t="str">
        <f aca="false">IF(OR(B193="",N(N193)=0,N193=1000),"",INDEX(Rules!$C:$C,N193))</f>
        <v/>
      </c>
      <c r="G193" s="24"/>
      <c r="H193" s="24"/>
      <c r="I193" s="20" t="str">
        <f aca="false">IF(B193="","",IF(G193&lt;&gt;"",G193,E193))</f>
        <v/>
      </c>
      <c r="J193" s="21" t="str">
        <f aca="false">IF(B193="","",IF(H193&lt;&gt;"",H193,F193))</f>
        <v/>
      </c>
      <c r="K193" s="26" t="str">
        <f aca="false">IF(A193="","",DATE(YEAR(A193),MONTH(A193),1))</f>
        <v/>
      </c>
      <c r="L193" s="21" t="str">
        <f aca="false">IF(J193="",IF(B193="","",IF(N(C193)&gt;=0,"Income","Expense")),IFERROR(INDEX(Lists!$B$2:$B$30,MATCH(J193,Lists!$A$2:$A$30,0)),""))</f>
        <v/>
      </c>
      <c r="M193" s="24"/>
      <c r="N193" s="27" t="str">
        <f aca="false">IF(B193="","",IFERROR(1000-SUMPRODUCT(MAX(ISNUMBER(SEARCH(Rules!$A$5:$A$204,B193))*(Rules!$A$5:$A$204&lt;&gt;"")*(1000-ROW(Rules!$A$5:$A$204)))),""))</f>
        <v/>
      </c>
    </row>
    <row r="194" customFormat="false" ht="15" hidden="false" customHeight="false" outlineLevel="0" collapsed="false">
      <c r="A194" s="23"/>
      <c r="B194" s="24"/>
      <c r="C194" s="25"/>
      <c r="D194" s="24"/>
      <c r="E194" s="21" t="str">
        <f aca="false">IF(OR(B194="",N(N194)=0,N194=1000),IF(B194="","","Check"),INDEX(Rules!$B:$B,N194))</f>
        <v/>
      </c>
      <c r="F194" s="21" t="str">
        <f aca="false">IF(OR(B194="",N(N194)=0,N194=1000),"",INDEX(Rules!$C:$C,N194))</f>
        <v/>
      </c>
      <c r="G194" s="24"/>
      <c r="H194" s="24"/>
      <c r="I194" s="20" t="str">
        <f aca="false">IF(B194="","",IF(G194&lt;&gt;"",G194,E194))</f>
        <v/>
      </c>
      <c r="J194" s="21" t="str">
        <f aca="false">IF(B194="","",IF(H194&lt;&gt;"",H194,F194))</f>
        <v/>
      </c>
      <c r="K194" s="26" t="str">
        <f aca="false">IF(A194="","",DATE(YEAR(A194),MONTH(A194),1))</f>
        <v/>
      </c>
      <c r="L194" s="21" t="str">
        <f aca="false">IF(J194="",IF(B194="","",IF(N(C194)&gt;=0,"Income","Expense")),IFERROR(INDEX(Lists!$B$2:$B$30,MATCH(J194,Lists!$A$2:$A$30,0)),""))</f>
        <v/>
      </c>
      <c r="M194" s="24"/>
      <c r="N194" s="27" t="str">
        <f aca="false">IF(B194="","",IFERROR(1000-SUMPRODUCT(MAX(ISNUMBER(SEARCH(Rules!$A$5:$A$204,B194))*(Rules!$A$5:$A$204&lt;&gt;"")*(1000-ROW(Rules!$A$5:$A$204)))),""))</f>
        <v/>
      </c>
    </row>
    <row r="195" customFormat="false" ht="15" hidden="false" customHeight="false" outlineLevel="0" collapsed="false">
      <c r="A195" s="23"/>
      <c r="B195" s="24"/>
      <c r="C195" s="25"/>
      <c r="D195" s="24"/>
      <c r="E195" s="21" t="str">
        <f aca="false">IF(OR(B195="",N(N195)=0,N195=1000),IF(B195="","","Check"),INDEX(Rules!$B:$B,N195))</f>
        <v/>
      </c>
      <c r="F195" s="21" t="str">
        <f aca="false">IF(OR(B195="",N(N195)=0,N195=1000),"",INDEX(Rules!$C:$C,N195))</f>
        <v/>
      </c>
      <c r="G195" s="24"/>
      <c r="H195" s="24"/>
      <c r="I195" s="20" t="str">
        <f aca="false">IF(B195="","",IF(G195&lt;&gt;"",G195,E195))</f>
        <v/>
      </c>
      <c r="J195" s="21" t="str">
        <f aca="false">IF(B195="","",IF(H195&lt;&gt;"",H195,F195))</f>
        <v/>
      </c>
      <c r="K195" s="26" t="str">
        <f aca="false">IF(A195="","",DATE(YEAR(A195),MONTH(A195),1))</f>
        <v/>
      </c>
      <c r="L195" s="21" t="str">
        <f aca="false">IF(J195="",IF(B195="","",IF(N(C195)&gt;=0,"Income","Expense")),IFERROR(INDEX(Lists!$B$2:$B$30,MATCH(J195,Lists!$A$2:$A$30,0)),""))</f>
        <v/>
      </c>
      <c r="M195" s="24"/>
      <c r="N195" s="27" t="str">
        <f aca="false">IF(B195="","",IFERROR(1000-SUMPRODUCT(MAX(ISNUMBER(SEARCH(Rules!$A$5:$A$204,B195))*(Rules!$A$5:$A$204&lt;&gt;"")*(1000-ROW(Rules!$A$5:$A$204)))),""))</f>
        <v/>
      </c>
    </row>
    <row r="196" customFormat="false" ht="15" hidden="false" customHeight="false" outlineLevel="0" collapsed="false">
      <c r="A196" s="23"/>
      <c r="B196" s="24"/>
      <c r="C196" s="25"/>
      <c r="D196" s="24"/>
      <c r="E196" s="21" t="str">
        <f aca="false">IF(OR(B196="",N(N196)=0,N196=1000),IF(B196="","","Check"),INDEX(Rules!$B:$B,N196))</f>
        <v/>
      </c>
      <c r="F196" s="21" t="str">
        <f aca="false">IF(OR(B196="",N(N196)=0,N196=1000),"",INDEX(Rules!$C:$C,N196))</f>
        <v/>
      </c>
      <c r="G196" s="24"/>
      <c r="H196" s="24"/>
      <c r="I196" s="20" t="str">
        <f aca="false">IF(B196="","",IF(G196&lt;&gt;"",G196,E196))</f>
        <v/>
      </c>
      <c r="J196" s="21" t="str">
        <f aca="false">IF(B196="","",IF(H196&lt;&gt;"",H196,F196))</f>
        <v/>
      </c>
      <c r="K196" s="26" t="str">
        <f aca="false">IF(A196="","",DATE(YEAR(A196),MONTH(A196),1))</f>
        <v/>
      </c>
      <c r="L196" s="21" t="str">
        <f aca="false">IF(J196="",IF(B196="","",IF(N(C196)&gt;=0,"Income","Expense")),IFERROR(INDEX(Lists!$B$2:$B$30,MATCH(J196,Lists!$A$2:$A$30,0)),""))</f>
        <v/>
      </c>
      <c r="M196" s="24"/>
      <c r="N196" s="27" t="str">
        <f aca="false">IF(B196="","",IFERROR(1000-SUMPRODUCT(MAX(ISNUMBER(SEARCH(Rules!$A$5:$A$204,B196))*(Rules!$A$5:$A$204&lt;&gt;"")*(1000-ROW(Rules!$A$5:$A$204)))),""))</f>
        <v/>
      </c>
    </row>
    <row r="197" customFormat="false" ht="15" hidden="false" customHeight="false" outlineLevel="0" collapsed="false">
      <c r="A197" s="23"/>
      <c r="B197" s="24"/>
      <c r="C197" s="25"/>
      <c r="D197" s="24"/>
      <c r="E197" s="21" t="str">
        <f aca="false">IF(OR(B197="",N(N197)=0,N197=1000),IF(B197="","","Check"),INDEX(Rules!$B:$B,N197))</f>
        <v/>
      </c>
      <c r="F197" s="21" t="str">
        <f aca="false">IF(OR(B197="",N(N197)=0,N197=1000),"",INDEX(Rules!$C:$C,N197))</f>
        <v/>
      </c>
      <c r="G197" s="24"/>
      <c r="H197" s="24"/>
      <c r="I197" s="20" t="str">
        <f aca="false">IF(B197="","",IF(G197&lt;&gt;"",G197,E197))</f>
        <v/>
      </c>
      <c r="J197" s="21" t="str">
        <f aca="false">IF(B197="","",IF(H197&lt;&gt;"",H197,F197))</f>
        <v/>
      </c>
      <c r="K197" s="26" t="str">
        <f aca="false">IF(A197="","",DATE(YEAR(A197),MONTH(A197),1))</f>
        <v/>
      </c>
      <c r="L197" s="21" t="str">
        <f aca="false">IF(J197="",IF(B197="","",IF(N(C197)&gt;=0,"Income","Expense")),IFERROR(INDEX(Lists!$B$2:$B$30,MATCH(J197,Lists!$A$2:$A$30,0)),""))</f>
        <v/>
      </c>
      <c r="M197" s="24"/>
      <c r="N197" s="27" t="str">
        <f aca="false">IF(B197="","",IFERROR(1000-SUMPRODUCT(MAX(ISNUMBER(SEARCH(Rules!$A$5:$A$204,B197))*(Rules!$A$5:$A$204&lt;&gt;"")*(1000-ROW(Rules!$A$5:$A$204)))),""))</f>
        <v/>
      </c>
    </row>
    <row r="198" customFormat="false" ht="15" hidden="false" customHeight="false" outlineLevel="0" collapsed="false">
      <c r="A198" s="23"/>
      <c r="B198" s="24"/>
      <c r="C198" s="25"/>
      <c r="D198" s="24"/>
      <c r="E198" s="21" t="str">
        <f aca="false">IF(OR(B198="",N(N198)=0,N198=1000),IF(B198="","","Check"),INDEX(Rules!$B:$B,N198))</f>
        <v/>
      </c>
      <c r="F198" s="21" t="str">
        <f aca="false">IF(OR(B198="",N(N198)=0,N198=1000),"",INDEX(Rules!$C:$C,N198))</f>
        <v/>
      </c>
      <c r="G198" s="24"/>
      <c r="H198" s="24"/>
      <c r="I198" s="20" t="str">
        <f aca="false">IF(B198="","",IF(G198&lt;&gt;"",G198,E198))</f>
        <v/>
      </c>
      <c r="J198" s="21" t="str">
        <f aca="false">IF(B198="","",IF(H198&lt;&gt;"",H198,F198))</f>
        <v/>
      </c>
      <c r="K198" s="26" t="str">
        <f aca="false">IF(A198="","",DATE(YEAR(A198),MONTH(A198),1))</f>
        <v/>
      </c>
      <c r="L198" s="21" t="str">
        <f aca="false">IF(J198="",IF(B198="","",IF(N(C198)&gt;=0,"Income","Expense")),IFERROR(INDEX(Lists!$B$2:$B$30,MATCH(J198,Lists!$A$2:$A$30,0)),""))</f>
        <v/>
      </c>
      <c r="M198" s="24"/>
      <c r="N198" s="27" t="str">
        <f aca="false">IF(B198="","",IFERROR(1000-SUMPRODUCT(MAX(ISNUMBER(SEARCH(Rules!$A$5:$A$204,B198))*(Rules!$A$5:$A$204&lt;&gt;"")*(1000-ROW(Rules!$A$5:$A$204)))),""))</f>
        <v/>
      </c>
    </row>
    <row r="199" customFormat="false" ht="15" hidden="false" customHeight="false" outlineLevel="0" collapsed="false">
      <c r="A199" s="23"/>
      <c r="B199" s="24"/>
      <c r="C199" s="25"/>
      <c r="D199" s="24"/>
      <c r="E199" s="21" t="str">
        <f aca="false">IF(OR(B199="",N(N199)=0,N199=1000),IF(B199="","","Check"),INDEX(Rules!$B:$B,N199))</f>
        <v/>
      </c>
      <c r="F199" s="21" t="str">
        <f aca="false">IF(OR(B199="",N(N199)=0,N199=1000),"",INDEX(Rules!$C:$C,N199))</f>
        <v/>
      </c>
      <c r="G199" s="24"/>
      <c r="H199" s="24"/>
      <c r="I199" s="20" t="str">
        <f aca="false">IF(B199="","",IF(G199&lt;&gt;"",G199,E199))</f>
        <v/>
      </c>
      <c r="J199" s="21" t="str">
        <f aca="false">IF(B199="","",IF(H199&lt;&gt;"",H199,F199))</f>
        <v/>
      </c>
      <c r="K199" s="26" t="str">
        <f aca="false">IF(A199="","",DATE(YEAR(A199),MONTH(A199),1))</f>
        <v/>
      </c>
      <c r="L199" s="21" t="str">
        <f aca="false">IF(J199="",IF(B199="","",IF(N(C199)&gt;=0,"Income","Expense")),IFERROR(INDEX(Lists!$B$2:$B$30,MATCH(J199,Lists!$A$2:$A$30,0)),""))</f>
        <v/>
      </c>
      <c r="M199" s="24"/>
      <c r="N199" s="27" t="str">
        <f aca="false">IF(B199="","",IFERROR(1000-SUMPRODUCT(MAX(ISNUMBER(SEARCH(Rules!$A$5:$A$204,B199))*(Rules!$A$5:$A$204&lt;&gt;"")*(1000-ROW(Rules!$A$5:$A$204)))),""))</f>
        <v/>
      </c>
    </row>
    <row r="200" customFormat="false" ht="15" hidden="false" customHeight="false" outlineLevel="0" collapsed="false">
      <c r="A200" s="23"/>
      <c r="B200" s="24"/>
      <c r="C200" s="25"/>
      <c r="D200" s="24"/>
      <c r="E200" s="21" t="str">
        <f aca="false">IF(OR(B200="",N(N200)=0,N200=1000),IF(B200="","","Check"),INDEX(Rules!$B:$B,N200))</f>
        <v/>
      </c>
      <c r="F200" s="21" t="str">
        <f aca="false">IF(OR(B200="",N(N200)=0,N200=1000),"",INDEX(Rules!$C:$C,N200))</f>
        <v/>
      </c>
      <c r="G200" s="24"/>
      <c r="H200" s="24"/>
      <c r="I200" s="20" t="str">
        <f aca="false">IF(B200="","",IF(G200&lt;&gt;"",G200,E200))</f>
        <v/>
      </c>
      <c r="J200" s="21" t="str">
        <f aca="false">IF(B200="","",IF(H200&lt;&gt;"",H200,F200))</f>
        <v/>
      </c>
      <c r="K200" s="26" t="str">
        <f aca="false">IF(A200="","",DATE(YEAR(A200),MONTH(A200),1))</f>
        <v/>
      </c>
      <c r="L200" s="21" t="str">
        <f aca="false">IF(J200="",IF(B200="","",IF(N(C200)&gt;=0,"Income","Expense")),IFERROR(INDEX(Lists!$B$2:$B$30,MATCH(J200,Lists!$A$2:$A$30,0)),""))</f>
        <v/>
      </c>
      <c r="M200" s="24"/>
      <c r="N200" s="27" t="str">
        <f aca="false">IF(B200="","",IFERROR(1000-SUMPRODUCT(MAX(ISNUMBER(SEARCH(Rules!$A$5:$A$204,B200))*(Rules!$A$5:$A$204&lt;&gt;"")*(1000-ROW(Rules!$A$5:$A$204)))),""))</f>
        <v/>
      </c>
    </row>
    <row r="201" customFormat="false" ht="15" hidden="false" customHeight="false" outlineLevel="0" collapsed="false">
      <c r="A201" s="23"/>
      <c r="B201" s="24"/>
      <c r="C201" s="25"/>
      <c r="D201" s="24"/>
      <c r="E201" s="21" t="str">
        <f aca="false">IF(OR(B201="",N(N201)=0,N201=1000),IF(B201="","","Check"),INDEX(Rules!$B:$B,N201))</f>
        <v/>
      </c>
      <c r="F201" s="21" t="str">
        <f aca="false">IF(OR(B201="",N(N201)=0,N201=1000),"",INDEX(Rules!$C:$C,N201))</f>
        <v/>
      </c>
      <c r="G201" s="24"/>
      <c r="H201" s="24"/>
      <c r="I201" s="20" t="str">
        <f aca="false">IF(B201="","",IF(G201&lt;&gt;"",G201,E201))</f>
        <v/>
      </c>
      <c r="J201" s="21" t="str">
        <f aca="false">IF(B201="","",IF(H201&lt;&gt;"",H201,F201))</f>
        <v/>
      </c>
      <c r="K201" s="26" t="str">
        <f aca="false">IF(A201="","",DATE(YEAR(A201),MONTH(A201),1))</f>
        <v/>
      </c>
      <c r="L201" s="21" t="str">
        <f aca="false">IF(J201="",IF(B201="","",IF(N(C201)&gt;=0,"Income","Expense")),IFERROR(INDEX(Lists!$B$2:$B$30,MATCH(J201,Lists!$A$2:$A$30,0)),""))</f>
        <v/>
      </c>
      <c r="M201" s="24"/>
      <c r="N201" s="27" t="str">
        <f aca="false">IF(B201="","",IFERROR(1000-SUMPRODUCT(MAX(ISNUMBER(SEARCH(Rules!$A$5:$A$204,B201))*(Rules!$A$5:$A$204&lt;&gt;"")*(1000-ROW(Rules!$A$5:$A$204)))),""))</f>
        <v/>
      </c>
    </row>
    <row r="202" customFormat="false" ht="15" hidden="false" customHeight="false" outlineLevel="0" collapsed="false">
      <c r="A202" s="23"/>
      <c r="B202" s="24"/>
      <c r="C202" s="25"/>
      <c r="D202" s="24"/>
      <c r="E202" s="21" t="str">
        <f aca="false">IF(OR(B202="",N(N202)=0,N202=1000),IF(B202="","","Check"),INDEX(Rules!$B:$B,N202))</f>
        <v/>
      </c>
      <c r="F202" s="21" t="str">
        <f aca="false">IF(OR(B202="",N(N202)=0,N202=1000),"",INDEX(Rules!$C:$C,N202))</f>
        <v/>
      </c>
      <c r="G202" s="24"/>
      <c r="H202" s="24"/>
      <c r="I202" s="20" t="str">
        <f aca="false">IF(B202="","",IF(G202&lt;&gt;"",G202,E202))</f>
        <v/>
      </c>
      <c r="J202" s="21" t="str">
        <f aca="false">IF(B202="","",IF(H202&lt;&gt;"",H202,F202))</f>
        <v/>
      </c>
      <c r="K202" s="26" t="str">
        <f aca="false">IF(A202="","",DATE(YEAR(A202),MONTH(A202),1))</f>
        <v/>
      </c>
      <c r="L202" s="21" t="str">
        <f aca="false">IF(J202="",IF(B202="","",IF(N(C202)&gt;=0,"Income","Expense")),IFERROR(INDEX(Lists!$B$2:$B$30,MATCH(J202,Lists!$A$2:$A$30,0)),""))</f>
        <v/>
      </c>
      <c r="M202" s="24"/>
      <c r="N202" s="27" t="str">
        <f aca="false">IF(B202="","",IFERROR(1000-SUMPRODUCT(MAX(ISNUMBER(SEARCH(Rules!$A$5:$A$204,B202))*(Rules!$A$5:$A$204&lt;&gt;"")*(1000-ROW(Rules!$A$5:$A$204)))),""))</f>
        <v/>
      </c>
    </row>
    <row r="203" customFormat="false" ht="15" hidden="false" customHeight="false" outlineLevel="0" collapsed="false">
      <c r="A203" s="23"/>
      <c r="B203" s="24"/>
      <c r="C203" s="25"/>
      <c r="D203" s="24"/>
      <c r="E203" s="21" t="str">
        <f aca="false">IF(OR(B203="",N(N203)=0,N203=1000),IF(B203="","","Check"),INDEX(Rules!$B:$B,N203))</f>
        <v/>
      </c>
      <c r="F203" s="21" t="str">
        <f aca="false">IF(OR(B203="",N(N203)=0,N203=1000),"",INDEX(Rules!$C:$C,N203))</f>
        <v/>
      </c>
      <c r="G203" s="24"/>
      <c r="H203" s="24"/>
      <c r="I203" s="20" t="str">
        <f aca="false">IF(B203="","",IF(G203&lt;&gt;"",G203,E203))</f>
        <v/>
      </c>
      <c r="J203" s="21" t="str">
        <f aca="false">IF(B203="","",IF(H203&lt;&gt;"",H203,F203))</f>
        <v/>
      </c>
      <c r="K203" s="26" t="str">
        <f aca="false">IF(A203="","",DATE(YEAR(A203),MONTH(A203),1))</f>
        <v/>
      </c>
      <c r="L203" s="21" t="str">
        <f aca="false">IF(J203="",IF(B203="","",IF(N(C203)&gt;=0,"Income","Expense")),IFERROR(INDEX(Lists!$B$2:$B$30,MATCH(J203,Lists!$A$2:$A$30,0)),""))</f>
        <v/>
      </c>
      <c r="M203" s="24"/>
      <c r="N203" s="27" t="str">
        <f aca="false">IF(B203="","",IFERROR(1000-SUMPRODUCT(MAX(ISNUMBER(SEARCH(Rules!$A$5:$A$204,B203))*(Rules!$A$5:$A$204&lt;&gt;"")*(1000-ROW(Rules!$A$5:$A$204)))),""))</f>
        <v/>
      </c>
    </row>
    <row r="204" customFormat="false" ht="15" hidden="false" customHeight="false" outlineLevel="0" collapsed="false">
      <c r="A204" s="23"/>
      <c r="B204" s="24"/>
      <c r="C204" s="25"/>
      <c r="D204" s="24"/>
      <c r="E204" s="21" t="str">
        <f aca="false">IF(OR(B204="",N(N204)=0,N204=1000),IF(B204="","","Check"),INDEX(Rules!$B:$B,N204))</f>
        <v/>
      </c>
      <c r="F204" s="21" t="str">
        <f aca="false">IF(OR(B204="",N(N204)=0,N204=1000),"",INDEX(Rules!$C:$C,N204))</f>
        <v/>
      </c>
      <c r="G204" s="24"/>
      <c r="H204" s="24"/>
      <c r="I204" s="20" t="str">
        <f aca="false">IF(B204="","",IF(G204&lt;&gt;"",G204,E204))</f>
        <v/>
      </c>
      <c r="J204" s="21" t="str">
        <f aca="false">IF(B204="","",IF(H204&lt;&gt;"",H204,F204))</f>
        <v/>
      </c>
      <c r="K204" s="26" t="str">
        <f aca="false">IF(A204="","",DATE(YEAR(A204),MONTH(A204),1))</f>
        <v/>
      </c>
      <c r="L204" s="21" t="str">
        <f aca="false">IF(J204="",IF(B204="","",IF(N(C204)&gt;=0,"Income","Expense")),IFERROR(INDEX(Lists!$B$2:$B$30,MATCH(J204,Lists!$A$2:$A$30,0)),""))</f>
        <v/>
      </c>
      <c r="M204" s="24"/>
      <c r="N204" s="27" t="str">
        <f aca="false">IF(B204="","",IFERROR(1000-SUMPRODUCT(MAX(ISNUMBER(SEARCH(Rules!$A$5:$A$204,B204))*(Rules!$A$5:$A$204&lt;&gt;"")*(1000-ROW(Rules!$A$5:$A$204)))),""))</f>
        <v/>
      </c>
    </row>
    <row r="205" customFormat="false" ht="15" hidden="false" customHeight="false" outlineLevel="0" collapsed="false">
      <c r="A205" s="23"/>
      <c r="B205" s="24"/>
      <c r="C205" s="25"/>
      <c r="D205" s="24"/>
      <c r="E205" s="21" t="str">
        <f aca="false">IF(OR(B205="",N(N205)=0,N205=1000),IF(B205="","","Check"),INDEX(Rules!$B:$B,N205))</f>
        <v/>
      </c>
      <c r="F205" s="21" t="str">
        <f aca="false">IF(OR(B205="",N(N205)=0,N205=1000),"",INDEX(Rules!$C:$C,N205))</f>
        <v/>
      </c>
      <c r="G205" s="24"/>
      <c r="H205" s="24"/>
      <c r="I205" s="20" t="str">
        <f aca="false">IF(B205="","",IF(G205&lt;&gt;"",G205,E205))</f>
        <v/>
      </c>
      <c r="J205" s="21" t="str">
        <f aca="false">IF(B205="","",IF(H205&lt;&gt;"",H205,F205))</f>
        <v/>
      </c>
      <c r="K205" s="26" t="str">
        <f aca="false">IF(A205="","",DATE(YEAR(A205),MONTH(A205),1))</f>
        <v/>
      </c>
      <c r="L205" s="21" t="str">
        <f aca="false">IF(J205="",IF(B205="","",IF(N(C205)&gt;=0,"Income","Expense")),IFERROR(INDEX(Lists!$B$2:$B$30,MATCH(J205,Lists!$A$2:$A$30,0)),""))</f>
        <v/>
      </c>
      <c r="M205" s="24"/>
      <c r="N205" s="27" t="str">
        <f aca="false">IF(B205="","",IFERROR(1000-SUMPRODUCT(MAX(ISNUMBER(SEARCH(Rules!$A$5:$A$204,B205))*(Rules!$A$5:$A$204&lt;&gt;"")*(1000-ROW(Rules!$A$5:$A$204)))),""))</f>
        <v/>
      </c>
    </row>
    <row r="206" customFormat="false" ht="15" hidden="false" customHeight="false" outlineLevel="0" collapsed="false">
      <c r="A206" s="23"/>
      <c r="B206" s="24"/>
      <c r="C206" s="25"/>
      <c r="D206" s="24"/>
      <c r="E206" s="21" t="str">
        <f aca="false">IF(OR(B206="",N(N206)=0,N206=1000),IF(B206="","","Check"),INDEX(Rules!$B:$B,N206))</f>
        <v/>
      </c>
      <c r="F206" s="21" t="str">
        <f aca="false">IF(OR(B206="",N(N206)=0,N206=1000),"",INDEX(Rules!$C:$C,N206))</f>
        <v/>
      </c>
      <c r="G206" s="24"/>
      <c r="H206" s="24"/>
      <c r="I206" s="20" t="str">
        <f aca="false">IF(B206="","",IF(G206&lt;&gt;"",G206,E206))</f>
        <v/>
      </c>
      <c r="J206" s="21" t="str">
        <f aca="false">IF(B206="","",IF(H206&lt;&gt;"",H206,F206))</f>
        <v/>
      </c>
      <c r="K206" s="26" t="str">
        <f aca="false">IF(A206="","",DATE(YEAR(A206),MONTH(A206),1))</f>
        <v/>
      </c>
      <c r="L206" s="21" t="str">
        <f aca="false">IF(J206="",IF(B206="","",IF(N(C206)&gt;=0,"Income","Expense")),IFERROR(INDEX(Lists!$B$2:$B$30,MATCH(J206,Lists!$A$2:$A$30,0)),""))</f>
        <v/>
      </c>
      <c r="M206" s="24"/>
      <c r="N206" s="27" t="str">
        <f aca="false">IF(B206="","",IFERROR(1000-SUMPRODUCT(MAX(ISNUMBER(SEARCH(Rules!$A$5:$A$204,B206))*(Rules!$A$5:$A$204&lt;&gt;"")*(1000-ROW(Rules!$A$5:$A$204)))),""))</f>
        <v/>
      </c>
    </row>
    <row r="207" customFormat="false" ht="15" hidden="false" customHeight="false" outlineLevel="0" collapsed="false">
      <c r="A207" s="23"/>
      <c r="B207" s="24"/>
      <c r="C207" s="25"/>
      <c r="D207" s="24"/>
      <c r="E207" s="21" t="str">
        <f aca="false">IF(OR(B207="",N(N207)=0,N207=1000),IF(B207="","","Check"),INDEX(Rules!$B:$B,N207))</f>
        <v/>
      </c>
      <c r="F207" s="21" t="str">
        <f aca="false">IF(OR(B207="",N(N207)=0,N207=1000),"",INDEX(Rules!$C:$C,N207))</f>
        <v/>
      </c>
      <c r="G207" s="24"/>
      <c r="H207" s="24"/>
      <c r="I207" s="20" t="str">
        <f aca="false">IF(B207="","",IF(G207&lt;&gt;"",G207,E207))</f>
        <v/>
      </c>
      <c r="J207" s="21" t="str">
        <f aca="false">IF(B207="","",IF(H207&lt;&gt;"",H207,F207))</f>
        <v/>
      </c>
      <c r="K207" s="26" t="str">
        <f aca="false">IF(A207="","",DATE(YEAR(A207),MONTH(A207),1))</f>
        <v/>
      </c>
      <c r="L207" s="21" t="str">
        <f aca="false">IF(J207="",IF(B207="","",IF(N(C207)&gt;=0,"Income","Expense")),IFERROR(INDEX(Lists!$B$2:$B$30,MATCH(J207,Lists!$A$2:$A$30,0)),""))</f>
        <v/>
      </c>
      <c r="M207" s="24"/>
      <c r="N207" s="27" t="str">
        <f aca="false">IF(B207="","",IFERROR(1000-SUMPRODUCT(MAX(ISNUMBER(SEARCH(Rules!$A$5:$A$204,B207))*(Rules!$A$5:$A$204&lt;&gt;"")*(1000-ROW(Rules!$A$5:$A$204)))),""))</f>
        <v/>
      </c>
    </row>
    <row r="208" customFormat="false" ht="15" hidden="false" customHeight="false" outlineLevel="0" collapsed="false">
      <c r="A208" s="23"/>
      <c r="B208" s="24"/>
      <c r="C208" s="25"/>
      <c r="D208" s="24"/>
      <c r="E208" s="21" t="str">
        <f aca="false">IF(OR(B208="",N(N208)=0,N208=1000),IF(B208="","","Check"),INDEX(Rules!$B:$B,N208))</f>
        <v/>
      </c>
      <c r="F208" s="21" t="str">
        <f aca="false">IF(OR(B208="",N(N208)=0,N208=1000),"",INDEX(Rules!$C:$C,N208))</f>
        <v/>
      </c>
      <c r="G208" s="24"/>
      <c r="H208" s="24"/>
      <c r="I208" s="20" t="str">
        <f aca="false">IF(B208="","",IF(G208&lt;&gt;"",G208,E208))</f>
        <v/>
      </c>
      <c r="J208" s="21" t="str">
        <f aca="false">IF(B208="","",IF(H208&lt;&gt;"",H208,F208))</f>
        <v/>
      </c>
      <c r="K208" s="26" t="str">
        <f aca="false">IF(A208="","",DATE(YEAR(A208),MONTH(A208),1))</f>
        <v/>
      </c>
      <c r="L208" s="21" t="str">
        <f aca="false">IF(J208="",IF(B208="","",IF(N(C208)&gt;=0,"Income","Expense")),IFERROR(INDEX(Lists!$B$2:$B$30,MATCH(J208,Lists!$A$2:$A$30,0)),""))</f>
        <v/>
      </c>
      <c r="M208" s="24"/>
      <c r="N208" s="27" t="str">
        <f aca="false">IF(B208="","",IFERROR(1000-SUMPRODUCT(MAX(ISNUMBER(SEARCH(Rules!$A$5:$A$204,B208))*(Rules!$A$5:$A$204&lt;&gt;"")*(1000-ROW(Rules!$A$5:$A$204)))),""))</f>
        <v/>
      </c>
    </row>
    <row r="209" customFormat="false" ht="15" hidden="false" customHeight="false" outlineLevel="0" collapsed="false">
      <c r="A209" s="23"/>
      <c r="B209" s="24"/>
      <c r="C209" s="25"/>
      <c r="D209" s="24"/>
      <c r="E209" s="21" t="str">
        <f aca="false">IF(OR(B209="",N(N209)=0,N209=1000),IF(B209="","","Check"),INDEX(Rules!$B:$B,N209))</f>
        <v/>
      </c>
      <c r="F209" s="21" t="str">
        <f aca="false">IF(OR(B209="",N(N209)=0,N209=1000),"",INDEX(Rules!$C:$C,N209))</f>
        <v/>
      </c>
      <c r="G209" s="24"/>
      <c r="H209" s="24"/>
      <c r="I209" s="20" t="str">
        <f aca="false">IF(B209="","",IF(G209&lt;&gt;"",G209,E209))</f>
        <v/>
      </c>
      <c r="J209" s="21" t="str">
        <f aca="false">IF(B209="","",IF(H209&lt;&gt;"",H209,F209))</f>
        <v/>
      </c>
      <c r="K209" s="26" t="str">
        <f aca="false">IF(A209="","",DATE(YEAR(A209),MONTH(A209),1))</f>
        <v/>
      </c>
      <c r="L209" s="21" t="str">
        <f aca="false">IF(J209="",IF(B209="","",IF(N(C209)&gt;=0,"Income","Expense")),IFERROR(INDEX(Lists!$B$2:$B$30,MATCH(J209,Lists!$A$2:$A$30,0)),""))</f>
        <v/>
      </c>
      <c r="M209" s="24"/>
      <c r="N209" s="27" t="str">
        <f aca="false">IF(B209="","",IFERROR(1000-SUMPRODUCT(MAX(ISNUMBER(SEARCH(Rules!$A$5:$A$204,B209))*(Rules!$A$5:$A$204&lt;&gt;"")*(1000-ROW(Rules!$A$5:$A$204)))),""))</f>
        <v/>
      </c>
    </row>
    <row r="210" customFormat="false" ht="15" hidden="false" customHeight="false" outlineLevel="0" collapsed="false">
      <c r="A210" s="23"/>
      <c r="B210" s="24"/>
      <c r="C210" s="25"/>
      <c r="D210" s="24"/>
      <c r="E210" s="21" t="str">
        <f aca="false">IF(OR(B210="",N(N210)=0,N210=1000),IF(B210="","","Check"),INDEX(Rules!$B:$B,N210))</f>
        <v/>
      </c>
      <c r="F210" s="21" t="str">
        <f aca="false">IF(OR(B210="",N(N210)=0,N210=1000),"",INDEX(Rules!$C:$C,N210))</f>
        <v/>
      </c>
      <c r="G210" s="24"/>
      <c r="H210" s="24"/>
      <c r="I210" s="20" t="str">
        <f aca="false">IF(B210="","",IF(G210&lt;&gt;"",G210,E210))</f>
        <v/>
      </c>
      <c r="J210" s="21" t="str">
        <f aca="false">IF(B210="","",IF(H210&lt;&gt;"",H210,F210))</f>
        <v/>
      </c>
      <c r="K210" s="26" t="str">
        <f aca="false">IF(A210="","",DATE(YEAR(A210),MONTH(A210),1))</f>
        <v/>
      </c>
      <c r="L210" s="21" t="str">
        <f aca="false">IF(J210="",IF(B210="","",IF(N(C210)&gt;=0,"Income","Expense")),IFERROR(INDEX(Lists!$B$2:$B$30,MATCH(J210,Lists!$A$2:$A$30,0)),""))</f>
        <v/>
      </c>
      <c r="M210" s="24"/>
      <c r="N210" s="27" t="str">
        <f aca="false">IF(B210="","",IFERROR(1000-SUMPRODUCT(MAX(ISNUMBER(SEARCH(Rules!$A$5:$A$204,B210))*(Rules!$A$5:$A$204&lt;&gt;"")*(1000-ROW(Rules!$A$5:$A$204)))),""))</f>
        <v/>
      </c>
    </row>
    <row r="211" customFormat="false" ht="15" hidden="false" customHeight="false" outlineLevel="0" collapsed="false">
      <c r="A211" s="23"/>
      <c r="B211" s="24"/>
      <c r="C211" s="25"/>
      <c r="D211" s="24"/>
      <c r="E211" s="21" t="str">
        <f aca="false">IF(OR(B211="",N(N211)=0,N211=1000),IF(B211="","","Check"),INDEX(Rules!$B:$B,N211))</f>
        <v/>
      </c>
      <c r="F211" s="21" t="str">
        <f aca="false">IF(OR(B211="",N(N211)=0,N211=1000),"",INDEX(Rules!$C:$C,N211))</f>
        <v/>
      </c>
      <c r="G211" s="24"/>
      <c r="H211" s="24"/>
      <c r="I211" s="20" t="str">
        <f aca="false">IF(B211="","",IF(G211&lt;&gt;"",G211,E211))</f>
        <v/>
      </c>
      <c r="J211" s="21" t="str">
        <f aca="false">IF(B211="","",IF(H211&lt;&gt;"",H211,F211))</f>
        <v/>
      </c>
      <c r="K211" s="26" t="str">
        <f aca="false">IF(A211="","",DATE(YEAR(A211),MONTH(A211),1))</f>
        <v/>
      </c>
      <c r="L211" s="21" t="str">
        <f aca="false">IF(J211="",IF(B211="","",IF(N(C211)&gt;=0,"Income","Expense")),IFERROR(INDEX(Lists!$B$2:$B$30,MATCH(J211,Lists!$A$2:$A$30,0)),""))</f>
        <v/>
      </c>
      <c r="M211" s="24"/>
      <c r="N211" s="27" t="str">
        <f aca="false">IF(B211="","",IFERROR(1000-SUMPRODUCT(MAX(ISNUMBER(SEARCH(Rules!$A$5:$A$204,B211))*(Rules!$A$5:$A$204&lt;&gt;"")*(1000-ROW(Rules!$A$5:$A$204)))),""))</f>
        <v/>
      </c>
    </row>
    <row r="212" customFormat="false" ht="15" hidden="false" customHeight="false" outlineLevel="0" collapsed="false">
      <c r="A212" s="23"/>
      <c r="B212" s="24"/>
      <c r="C212" s="25"/>
      <c r="D212" s="24"/>
      <c r="E212" s="21" t="str">
        <f aca="false">IF(OR(B212="",N(N212)=0,N212=1000),IF(B212="","","Check"),INDEX(Rules!$B:$B,N212))</f>
        <v/>
      </c>
      <c r="F212" s="21" t="str">
        <f aca="false">IF(OR(B212="",N(N212)=0,N212=1000),"",INDEX(Rules!$C:$C,N212))</f>
        <v/>
      </c>
      <c r="G212" s="24"/>
      <c r="H212" s="24"/>
      <c r="I212" s="20" t="str">
        <f aca="false">IF(B212="","",IF(G212&lt;&gt;"",G212,E212))</f>
        <v/>
      </c>
      <c r="J212" s="21" t="str">
        <f aca="false">IF(B212="","",IF(H212&lt;&gt;"",H212,F212))</f>
        <v/>
      </c>
      <c r="K212" s="26" t="str">
        <f aca="false">IF(A212="","",DATE(YEAR(A212),MONTH(A212),1))</f>
        <v/>
      </c>
      <c r="L212" s="21" t="str">
        <f aca="false">IF(J212="",IF(B212="","",IF(N(C212)&gt;=0,"Income","Expense")),IFERROR(INDEX(Lists!$B$2:$B$30,MATCH(J212,Lists!$A$2:$A$30,0)),""))</f>
        <v/>
      </c>
      <c r="M212" s="24"/>
      <c r="N212" s="27" t="str">
        <f aca="false">IF(B212="","",IFERROR(1000-SUMPRODUCT(MAX(ISNUMBER(SEARCH(Rules!$A$5:$A$204,B212))*(Rules!$A$5:$A$204&lt;&gt;"")*(1000-ROW(Rules!$A$5:$A$204)))),""))</f>
        <v/>
      </c>
    </row>
    <row r="213" customFormat="false" ht="15" hidden="false" customHeight="false" outlineLevel="0" collapsed="false">
      <c r="A213" s="23"/>
      <c r="B213" s="24"/>
      <c r="C213" s="25"/>
      <c r="D213" s="24"/>
      <c r="E213" s="21" t="str">
        <f aca="false">IF(OR(B213="",N(N213)=0,N213=1000),IF(B213="","","Check"),INDEX(Rules!$B:$B,N213))</f>
        <v/>
      </c>
      <c r="F213" s="21" t="str">
        <f aca="false">IF(OR(B213="",N(N213)=0,N213=1000),"",INDEX(Rules!$C:$C,N213))</f>
        <v/>
      </c>
      <c r="G213" s="24"/>
      <c r="H213" s="24"/>
      <c r="I213" s="20" t="str">
        <f aca="false">IF(B213="","",IF(G213&lt;&gt;"",G213,E213))</f>
        <v/>
      </c>
      <c r="J213" s="21" t="str">
        <f aca="false">IF(B213="","",IF(H213&lt;&gt;"",H213,F213))</f>
        <v/>
      </c>
      <c r="K213" s="26" t="str">
        <f aca="false">IF(A213="","",DATE(YEAR(A213),MONTH(A213),1))</f>
        <v/>
      </c>
      <c r="L213" s="21" t="str">
        <f aca="false">IF(J213="",IF(B213="","",IF(N(C213)&gt;=0,"Income","Expense")),IFERROR(INDEX(Lists!$B$2:$B$30,MATCH(J213,Lists!$A$2:$A$30,0)),""))</f>
        <v/>
      </c>
      <c r="M213" s="24"/>
      <c r="N213" s="27" t="str">
        <f aca="false">IF(B213="","",IFERROR(1000-SUMPRODUCT(MAX(ISNUMBER(SEARCH(Rules!$A$5:$A$204,B213))*(Rules!$A$5:$A$204&lt;&gt;"")*(1000-ROW(Rules!$A$5:$A$204)))),""))</f>
        <v/>
      </c>
    </row>
    <row r="214" customFormat="false" ht="15" hidden="false" customHeight="false" outlineLevel="0" collapsed="false">
      <c r="A214" s="23"/>
      <c r="B214" s="24"/>
      <c r="C214" s="25"/>
      <c r="D214" s="24"/>
      <c r="E214" s="21" t="str">
        <f aca="false">IF(OR(B214="",N(N214)=0,N214=1000),IF(B214="","","Check"),INDEX(Rules!$B:$B,N214))</f>
        <v/>
      </c>
      <c r="F214" s="21" t="str">
        <f aca="false">IF(OR(B214="",N(N214)=0,N214=1000),"",INDEX(Rules!$C:$C,N214))</f>
        <v/>
      </c>
      <c r="G214" s="24"/>
      <c r="H214" s="24"/>
      <c r="I214" s="20" t="str">
        <f aca="false">IF(B214="","",IF(G214&lt;&gt;"",G214,E214))</f>
        <v/>
      </c>
      <c r="J214" s="21" t="str">
        <f aca="false">IF(B214="","",IF(H214&lt;&gt;"",H214,F214))</f>
        <v/>
      </c>
      <c r="K214" s="26" t="str">
        <f aca="false">IF(A214="","",DATE(YEAR(A214),MONTH(A214),1))</f>
        <v/>
      </c>
      <c r="L214" s="21" t="str">
        <f aca="false">IF(J214="",IF(B214="","",IF(N(C214)&gt;=0,"Income","Expense")),IFERROR(INDEX(Lists!$B$2:$B$30,MATCH(J214,Lists!$A$2:$A$30,0)),""))</f>
        <v/>
      </c>
      <c r="M214" s="24"/>
      <c r="N214" s="27" t="str">
        <f aca="false">IF(B214="","",IFERROR(1000-SUMPRODUCT(MAX(ISNUMBER(SEARCH(Rules!$A$5:$A$204,B214))*(Rules!$A$5:$A$204&lt;&gt;"")*(1000-ROW(Rules!$A$5:$A$204)))),""))</f>
        <v/>
      </c>
    </row>
    <row r="215" customFormat="false" ht="15" hidden="false" customHeight="false" outlineLevel="0" collapsed="false">
      <c r="A215" s="23"/>
      <c r="B215" s="24"/>
      <c r="C215" s="25"/>
      <c r="D215" s="24"/>
      <c r="E215" s="21" t="str">
        <f aca="false">IF(OR(B215="",N(N215)=0,N215=1000),IF(B215="","","Check"),INDEX(Rules!$B:$B,N215))</f>
        <v/>
      </c>
      <c r="F215" s="21" t="str">
        <f aca="false">IF(OR(B215="",N(N215)=0,N215=1000),"",INDEX(Rules!$C:$C,N215))</f>
        <v/>
      </c>
      <c r="G215" s="24"/>
      <c r="H215" s="24"/>
      <c r="I215" s="20" t="str">
        <f aca="false">IF(B215="","",IF(G215&lt;&gt;"",G215,E215))</f>
        <v/>
      </c>
      <c r="J215" s="21" t="str">
        <f aca="false">IF(B215="","",IF(H215&lt;&gt;"",H215,F215))</f>
        <v/>
      </c>
      <c r="K215" s="26" t="str">
        <f aca="false">IF(A215="","",DATE(YEAR(A215),MONTH(A215),1))</f>
        <v/>
      </c>
      <c r="L215" s="21" t="str">
        <f aca="false">IF(J215="",IF(B215="","",IF(N(C215)&gt;=0,"Income","Expense")),IFERROR(INDEX(Lists!$B$2:$B$30,MATCH(J215,Lists!$A$2:$A$30,0)),""))</f>
        <v/>
      </c>
      <c r="M215" s="24"/>
      <c r="N215" s="27" t="str">
        <f aca="false">IF(B215="","",IFERROR(1000-SUMPRODUCT(MAX(ISNUMBER(SEARCH(Rules!$A$5:$A$204,B215))*(Rules!$A$5:$A$204&lt;&gt;"")*(1000-ROW(Rules!$A$5:$A$204)))),""))</f>
        <v/>
      </c>
    </row>
    <row r="216" customFormat="false" ht="15" hidden="false" customHeight="false" outlineLevel="0" collapsed="false">
      <c r="A216" s="23"/>
      <c r="B216" s="24"/>
      <c r="C216" s="25"/>
      <c r="D216" s="24"/>
      <c r="E216" s="21" t="str">
        <f aca="false">IF(OR(B216="",N(N216)=0,N216=1000),IF(B216="","","Check"),INDEX(Rules!$B:$B,N216))</f>
        <v/>
      </c>
      <c r="F216" s="21" t="str">
        <f aca="false">IF(OR(B216="",N(N216)=0,N216=1000),"",INDEX(Rules!$C:$C,N216))</f>
        <v/>
      </c>
      <c r="G216" s="24"/>
      <c r="H216" s="24"/>
      <c r="I216" s="20" t="str">
        <f aca="false">IF(B216="","",IF(G216&lt;&gt;"",G216,E216))</f>
        <v/>
      </c>
      <c r="J216" s="21" t="str">
        <f aca="false">IF(B216="","",IF(H216&lt;&gt;"",H216,F216))</f>
        <v/>
      </c>
      <c r="K216" s="26" t="str">
        <f aca="false">IF(A216="","",DATE(YEAR(A216),MONTH(A216),1))</f>
        <v/>
      </c>
      <c r="L216" s="21" t="str">
        <f aca="false">IF(J216="",IF(B216="","",IF(N(C216)&gt;=0,"Income","Expense")),IFERROR(INDEX(Lists!$B$2:$B$30,MATCH(J216,Lists!$A$2:$A$30,0)),""))</f>
        <v/>
      </c>
      <c r="M216" s="24"/>
      <c r="N216" s="27" t="str">
        <f aca="false">IF(B216="","",IFERROR(1000-SUMPRODUCT(MAX(ISNUMBER(SEARCH(Rules!$A$5:$A$204,B216))*(Rules!$A$5:$A$204&lt;&gt;"")*(1000-ROW(Rules!$A$5:$A$204)))),""))</f>
        <v/>
      </c>
    </row>
    <row r="217" customFormat="false" ht="15" hidden="false" customHeight="false" outlineLevel="0" collapsed="false">
      <c r="A217" s="23"/>
      <c r="B217" s="24"/>
      <c r="C217" s="25"/>
      <c r="D217" s="24"/>
      <c r="E217" s="21" t="str">
        <f aca="false">IF(OR(B217="",N(N217)=0,N217=1000),IF(B217="","","Check"),INDEX(Rules!$B:$B,N217))</f>
        <v/>
      </c>
      <c r="F217" s="21" t="str">
        <f aca="false">IF(OR(B217="",N(N217)=0,N217=1000),"",INDEX(Rules!$C:$C,N217))</f>
        <v/>
      </c>
      <c r="G217" s="24"/>
      <c r="H217" s="24"/>
      <c r="I217" s="20" t="str">
        <f aca="false">IF(B217="","",IF(G217&lt;&gt;"",G217,E217))</f>
        <v/>
      </c>
      <c r="J217" s="21" t="str">
        <f aca="false">IF(B217="","",IF(H217&lt;&gt;"",H217,F217))</f>
        <v/>
      </c>
      <c r="K217" s="26" t="str">
        <f aca="false">IF(A217="","",DATE(YEAR(A217),MONTH(A217),1))</f>
        <v/>
      </c>
      <c r="L217" s="21" t="str">
        <f aca="false">IF(J217="",IF(B217="","",IF(N(C217)&gt;=0,"Income","Expense")),IFERROR(INDEX(Lists!$B$2:$B$30,MATCH(J217,Lists!$A$2:$A$30,0)),""))</f>
        <v/>
      </c>
      <c r="M217" s="24"/>
      <c r="N217" s="27" t="str">
        <f aca="false">IF(B217="","",IFERROR(1000-SUMPRODUCT(MAX(ISNUMBER(SEARCH(Rules!$A$5:$A$204,B217))*(Rules!$A$5:$A$204&lt;&gt;"")*(1000-ROW(Rules!$A$5:$A$204)))),""))</f>
        <v/>
      </c>
    </row>
    <row r="218" customFormat="false" ht="15" hidden="false" customHeight="false" outlineLevel="0" collapsed="false">
      <c r="A218" s="23"/>
      <c r="B218" s="24"/>
      <c r="C218" s="25"/>
      <c r="D218" s="24"/>
      <c r="E218" s="21" t="str">
        <f aca="false">IF(OR(B218="",N(N218)=0,N218=1000),IF(B218="","","Check"),INDEX(Rules!$B:$B,N218))</f>
        <v/>
      </c>
      <c r="F218" s="21" t="str">
        <f aca="false">IF(OR(B218="",N(N218)=0,N218=1000),"",INDEX(Rules!$C:$C,N218))</f>
        <v/>
      </c>
      <c r="G218" s="24"/>
      <c r="H218" s="24"/>
      <c r="I218" s="20" t="str">
        <f aca="false">IF(B218="","",IF(G218&lt;&gt;"",G218,E218))</f>
        <v/>
      </c>
      <c r="J218" s="21" t="str">
        <f aca="false">IF(B218="","",IF(H218&lt;&gt;"",H218,F218))</f>
        <v/>
      </c>
      <c r="K218" s="26" t="str">
        <f aca="false">IF(A218="","",DATE(YEAR(A218),MONTH(A218),1))</f>
        <v/>
      </c>
      <c r="L218" s="21" t="str">
        <f aca="false">IF(J218="",IF(B218="","",IF(N(C218)&gt;=0,"Income","Expense")),IFERROR(INDEX(Lists!$B$2:$B$30,MATCH(J218,Lists!$A$2:$A$30,0)),""))</f>
        <v/>
      </c>
      <c r="M218" s="24"/>
      <c r="N218" s="27" t="str">
        <f aca="false">IF(B218="","",IFERROR(1000-SUMPRODUCT(MAX(ISNUMBER(SEARCH(Rules!$A$5:$A$204,B218))*(Rules!$A$5:$A$204&lt;&gt;"")*(1000-ROW(Rules!$A$5:$A$204)))),""))</f>
        <v/>
      </c>
    </row>
    <row r="219" customFormat="false" ht="15" hidden="false" customHeight="false" outlineLevel="0" collapsed="false">
      <c r="A219" s="23"/>
      <c r="B219" s="24"/>
      <c r="C219" s="25"/>
      <c r="D219" s="24"/>
      <c r="E219" s="21" t="str">
        <f aca="false">IF(OR(B219="",N(N219)=0,N219=1000),IF(B219="","","Check"),INDEX(Rules!$B:$B,N219))</f>
        <v/>
      </c>
      <c r="F219" s="21" t="str">
        <f aca="false">IF(OR(B219="",N(N219)=0,N219=1000),"",INDEX(Rules!$C:$C,N219))</f>
        <v/>
      </c>
      <c r="G219" s="24"/>
      <c r="H219" s="24"/>
      <c r="I219" s="20" t="str">
        <f aca="false">IF(B219="","",IF(G219&lt;&gt;"",G219,E219))</f>
        <v/>
      </c>
      <c r="J219" s="21" t="str">
        <f aca="false">IF(B219="","",IF(H219&lt;&gt;"",H219,F219))</f>
        <v/>
      </c>
      <c r="K219" s="26" t="str">
        <f aca="false">IF(A219="","",DATE(YEAR(A219),MONTH(A219),1))</f>
        <v/>
      </c>
      <c r="L219" s="21" t="str">
        <f aca="false">IF(J219="",IF(B219="","",IF(N(C219)&gt;=0,"Income","Expense")),IFERROR(INDEX(Lists!$B$2:$B$30,MATCH(J219,Lists!$A$2:$A$30,0)),""))</f>
        <v/>
      </c>
      <c r="M219" s="24"/>
      <c r="N219" s="27" t="str">
        <f aca="false">IF(B219="","",IFERROR(1000-SUMPRODUCT(MAX(ISNUMBER(SEARCH(Rules!$A$5:$A$204,B219))*(Rules!$A$5:$A$204&lt;&gt;"")*(1000-ROW(Rules!$A$5:$A$204)))),""))</f>
        <v/>
      </c>
    </row>
    <row r="220" customFormat="false" ht="15" hidden="false" customHeight="false" outlineLevel="0" collapsed="false">
      <c r="A220" s="23"/>
      <c r="B220" s="24"/>
      <c r="C220" s="25"/>
      <c r="D220" s="24"/>
      <c r="E220" s="21" t="str">
        <f aca="false">IF(OR(B220="",N(N220)=0,N220=1000),IF(B220="","","Check"),INDEX(Rules!$B:$B,N220))</f>
        <v/>
      </c>
      <c r="F220" s="21" t="str">
        <f aca="false">IF(OR(B220="",N(N220)=0,N220=1000),"",INDEX(Rules!$C:$C,N220))</f>
        <v/>
      </c>
      <c r="G220" s="24"/>
      <c r="H220" s="24"/>
      <c r="I220" s="20" t="str">
        <f aca="false">IF(B220="","",IF(G220&lt;&gt;"",G220,E220))</f>
        <v/>
      </c>
      <c r="J220" s="21" t="str">
        <f aca="false">IF(B220="","",IF(H220&lt;&gt;"",H220,F220))</f>
        <v/>
      </c>
      <c r="K220" s="26" t="str">
        <f aca="false">IF(A220="","",DATE(YEAR(A220),MONTH(A220),1))</f>
        <v/>
      </c>
      <c r="L220" s="21" t="str">
        <f aca="false">IF(J220="",IF(B220="","",IF(N(C220)&gt;=0,"Income","Expense")),IFERROR(INDEX(Lists!$B$2:$B$30,MATCH(J220,Lists!$A$2:$A$30,0)),""))</f>
        <v/>
      </c>
      <c r="M220" s="24"/>
      <c r="N220" s="27" t="str">
        <f aca="false">IF(B220="","",IFERROR(1000-SUMPRODUCT(MAX(ISNUMBER(SEARCH(Rules!$A$5:$A$204,B220))*(Rules!$A$5:$A$204&lt;&gt;"")*(1000-ROW(Rules!$A$5:$A$204)))),""))</f>
        <v/>
      </c>
    </row>
    <row r="221" customFormat="false" ht="15" hidden="false" customHeight="false" outlineLevel="0" collapsed="false">
      <c r="A221" s="23"/>
      <c r="B221" s="24"/>
      <c r="C221" s="25"/>
      <c r="D221" s="24"/>
      <c r="E221" s="21" t="str">
        <f aca="false">IF(OR(B221="",N(N221)=0,N221=1000),IF(B221="","","Check"),INDEX(Rules!$B:$B,N221))</f>
        <v/>
      </c>
      <c r="F221" s="21" t="str">
        <f aca="false">IF(OR(B221="",N(N221)=0,N221=1000),"",INDEX(Rules!$C:$C,N221))</f>
        <v/>
      </c>
      <c r="G221" s="24"/>
      <c r="H221" s="24"/>
      <c r="I221" s="20" t="str">
        <f aca="false">IF(B221="","",IF(G221&lt;&gt;"",G221,E221))</f>
        <v/>
      </c>
      <c r="J221" s="21" t="str">
        <f aca="false">IF(B221="","",IF(H221&lt;&gt;"",H221,F221))</f>
        <v/>
      </c>
      <c r="K221" s="26" t="str">
        <f aca="false">IF(A221="","",DATE(YEAR(A221),MONTH(A221),1))</f>
        <v/>
      </c>
      <c r="L221" s="21" t="str">
        <f aca="false">IF(J221="",IF(B221="","",IF(N(C221)&gt;=0,"Income","Expense")),IFERROR(INDEX(Lists!$B$2:$B$30,MATCH(J221,Lists!$A$2:$A$30,0)),""))</f>
        <v/>
      </c>
      <c r="M221" s="24"/>
      <c r="N221" s="27" t="str">
        <f aca="false">IF(B221="","",IFERROR(1000-SUMPRODUCT(MAX(ISNUMBER(SEARCH(Rules!$A$5:$A$204,B221))*(Rules!$A$5:$A$204&lt;&gt;"")*(1000-ROW(Rules!$A$5:$A$204)))),""))</f>
        <v/>
      </c>
    </row>
    <row r="222" customFormat="false" ht="15" hidden="false" customHeight="false" outlineLevel="0" collapsed="false">
      <c r="A222" s="23"/>
      <c r="B222" s="24"/>
      <c r="C222" s="25"/>
      <c r="D222" s="24"/>
      <c r="E222" s="21" t="str">
        <f aca="false">IF(OR(B222="",N(N222)=0,N222=1000),IF(B222="","","Check"),INDEX(Rules!$B:$B,N222))</f>
        <v/>
      </c>
      <c r="F222" s="21" t="str">
        <f aca="false">IF(OR(B222="",N(N222)=0,N222=1000),"",INDEX(Rules!$C:$C,N222))</f>
        <v/>
      </c>
      <c r="G222" s="24"/>
      <c r="H222" s="24"/>
      <c r="I222" s="20" t="str">
        <f aca="false">IF(B222="","",IF(G222&lt;&gt;"",G222,E222))</f>
        <v/>
      </c>
      <c r="J222" s="21" t="str">
        <f aca="false">IF(B222="","",IF(H222&lt;&gt;"",H222,F222))</f>
        <v/>
      </c>
      <c r="K222" s="26" t="str">
        <f aca="false">IF(A222="","",DATE(YEAR(A222),MONTH(A222),1))</f>
        <v/>
      </c>
      <c r="L222" s="21" t="str">
        <f aca="false">IF(J222="",IF(B222="","",IF(N(C222)&gt;=0,"Income","Expense")),IFERROR(INDEX(Lists!$B$2:$B$30,MATCH(J222,Lists!$A$2:$A$30,0)),""))</f>
        <v/>
      </c>
      <c r="M222" s="24"/>
      <c r="N222" s="27" t="str">
        <f aca="false">IF(B222="","",IFERROR(1000-SUMPRODUCT(MAX(ISNUMBER(SEARCH(Rules!$A$5:$A$204,B222))*(Rules!$A$5:$A$204&lt;&gt;"")*(1000-ROW(Rules!$A$5:$A$204)))),""))</f>
        <v/>
      </c>
    </row>
    <row r="223" customFormat="false" ht="15" hidden="false" customHeight="false" outlineLevel="0" collapsed="false">
      <c r="A223" s="23"/>
      <c r="B223" s="24"/>
      <c r="C223" s="25"/>
      <c r="D223" s="24"/>
      <c r="E223" s="21" t="str">
        <f aca="false">IF(OR(B223="",N(N223)=0,N223=1000),IF(B223="","","Check"),INDEX(Rules!$B:$B,N223))</f>
        <v/>
      </c>
      <c r="F223" s="21" t="str">
        <f aca="false">IF(OR(B223="",N(N223)=0,N223=1000),"",INDEX(Rules!$C:$C,N223))</f>
        <v/>
      </c>
      <c r="G223" s="24"/>
      <c r="H223" s="24"/>
      <c r="I223" s="20" t="str">
        <f aca="false">IF(B223="","",IF(G223&lt;&gt;"",G223,E223))</f>
        <v/>
      </c>
      <c r="J223" s="21" t="str">
        <f aca="false">IF(B223="","",IF(H223&lt;&gt;"",H223,F223))</f>
        <v/>
      </c>
      <c r="K223" s="26" t="str">
        <f aca="false">IF(A223="","",DATE(YEAR(A223),MONTH(A223),1))</f>
        <v/>
      </c>
      <c r="L223" s="21" t="str">
        <f aca="false">IF(J223="",IF(B223="","",IF(N(C223)&gt;=0,"Income","Expense")),IFERROR(INDEX(Lists!$B$2:$B$30,MATCH(J223,Lists!$A$2:$A$30,0)),""))</f>
        <v/>
      </c>
      <c r="M223" s="24"/>
      <c r="N223" s="27" t="str">
        <f aca="false">IF(B223="","",IFERROR(1000-SUMPRODUCT(MAX(ISNUMBER(SEARCH(Rules!$A$5:$A$204,B223))*(Rules!$A$5:$A$204&lt;&gt;"")*(1000-ROW(Rules!$A$5:$A$204)))),""))</f>
        <v/>
      </c>
    </row>
    <row r="224" customFormat="false" ht="15" hidden="false" customHeight="false" outlineLevel="0" collapsed="false">
      <c r="A224" s="23"/>
      <c r="B224" s="24"/>
      <c r="C224" s="25"/>
      <c r="D224" s="24"/>
      <c r="E224" s="21" t="str">
        <f aca="false">IF(OR(B224="",N(N224)=0,N224=1000),IF(B224="","","Check"),INDEX(Rules!$B:$B,N224))</f>
        <v/>
      </c>
      <c r="F224" s="21" t="str">
        <f aca="false">IF(OR(B224="",N(N224)=0,N224=1000),"",INDEX(Rules!$C:$C,N224))</f>
        <v/>
      </c>
      <c r="G224" s="24"/>
      <c r="H224" s="24"/>
      <c r="I224" s="20" t="str">
        <f aca="false">IF(B224="","",IF(G224&lt;&gt;"",G224,E224))</f>
        <v/>
      </c>
      <c r="J224" s="21" t="str">
        <f aca="false">IF(B224="","",IF(H224&lt;&gt;"",H224,F224))</f>
        <v/>
      </c>
      <c r="K224" s="26" t="str">
        <f aca="false">IF(A224="","",DATE(YEAR(A224),MONTH(A224),1))</f>
        <v/>
      </c>
      <c r="L224" s="21" t="str">
        <f aca="false">IF(J224="",IF(B224="","",IF(N(C224)&gt;=0,"Income","Expense")),IFERROR(INDEX(Lists!$B$2:$B$30,MATCH(J224,Lists!$A$2:$A$30,0)),""))</f>
        <v/>
      </c>
      <c r="M224" s="24"/>
      <c r="N224" s="27" t="str">
        <f aca="false">IF(B224="","",IFERROR(1000-SUMPRODUCT(MAX(ISNUMBER(SEARCH(Rules!$A$5:$A$204,B224))*(Rules!$A$5:$A$204&lt;&gt;"")*(1000-ROW(Rules!$A$5:$A$204)))),""))</f>
        <v/>
      </c>
    </row>
    <row r="225" customFormat="false" ht="15" hidden="false" customHeight="false" outlineLevel="0" collapsed="false">
      <c r="A225" s="23"/>
      <c r="B225" s="24"/>
      <c r="C225" s="25"/>
      <c r="D225" s="24"/>
      <c r="E225" s="21" t="str">
        <f aca="false">IF(OR(B225="",N(N225)=0,N225=1000),IF(B225="","","Check"),INDEX(Rules!$B:$B,N225))</f>
        <v/>
      </c>
      <c r="F225" s="21" t="str">
        <f aca="false">IF(OR(B225="",N(N225)=0,N225=1000),"",INDEX(Rules!$C:$C,N225))</f>
        <v/>
      </c>
      <c r="G225" s="24"/>
      <c r="H225" s="24"/>
      <c r="I225" s="20" t="str">
        <f aca="false">IF(B225="","",IF(G225&lt;&gt;"",G225,E225))</f>
        <v/>
      </c>
      <c r="J225" s="21" t="str">
        <f aca="false">IF(B225="","",IF(H225&lt;&gt;"",H225,F225))</f>
        <v/>
      </c>
      <c r="K225" s="26" t="str">
        <f aca="false">IF(A225="","",DATE(YEAR(A225),MONTH(A225),1))</f>
        <v/>
      </c>
      <c r="L225" s="21" t="str">
        <f aca="false">IF(J225="",IF(B225="","",IF(N(C225)&gt;=0,"Income","Expense")),IFERROR(INDEX(Lists!$B$2:$B$30,MATCH(J225,Lists!$A$2:$A$30,0)),""))</f>
        <v/>
      </c>
      <c r="M225" s="24"/>
      <c r="N225" s="27" t="str">
        <f aca="false">IF(B225="","",IFERROR(1000-SUMPRODUCT(MAX(ISNUMBER(SEARCH(Rules!$A$5:$A$204,B225))*(Rules!$A$5:$A$204&lt;&gt;"")*(1000-ROW(Rules!$A$5:$A$204)))),""))</f>
        <v/>
      </c>
    </row>
    <row r="226" customFormat="false" ht="15" hidden="false" customHeight="false" outlineLevel="0" collapsed="false">
      <c r="A226" s="23"/>
      <c r="B226" s="24"/>
      <c r="C226" s="25"/>
      <c r="D226" s="24"/>
      <c r="E226" s="21" t="str">
        <f aca="false">IF(OR(B226="",N(N226)=0,N226=1000),IF(B226="","","Check"),INDEX(Rules!$B:$B,N226))</f>
        <v/>
      </c>
      <c r="F226" s="21" t="str">
        <f aca="false">IF(OR(B226="",N(N226)=0,N226=1000),"",INDEX(Rules!$C:$C,N226))</f>
        <v/>
      </c>
      <c r="G226" s="24"/>
      <c r="H226" s="24"/>
      <c r="I226" s="20" t="str">
        <f aca="false">IF(B226="","",IF(G226&lt;&gt;"",G226,E226))</f>
        <v/>
      </c>
      <c r="J226" s="21" t="str">
        <f aca="false">IF(B226="","",IF(H226&lt;&gt;"",H226,F226))</f>
        <v/>
      </c>
      <c r="K226" s="26" t="str">
        <f aca="false">IF(A226="","",DATE(YEAR(A226),MONTH(A226),1))</f>
        <v/>
      </c>
      <c r="L226" s="21" t="str">
        <f aca="false">IF(J226="",IF(B226="","",IF(N(C226)&gt;=0,"Income","Expense")),IFERROR(INDEX(Lists!$B$2:$B$30,MATCH(J226,Lists!$A$2:$A$30,0)),""))</f>
        <v/>
      </c>
      <c r="M226" s="24"/>
      <c r="N226" s="27" t="str">
        <f aca="false">IF(B226="","",IFERROR(1000-SUMPRODUCT(MAX(ISNUMBER(SEARCH(Rules!$A$5:$A$204,B226))*(Rules!$A$5:$A$204&lt;&gt;"")*(1000-ROW(Rules!$A$5:$A$204)))),""))</f>
        <v/>
      </c>
    </row>
    <row r="227" customFormat="false" ht="15" hidden="false" customHeight="false" outlineLevel="0" collapsed="false">
      <c r="A227" s="23"/>
      <c r="B227" s="24"/>
      <c r="C227" s="25"/>
      <c r="D227" s="24"/>
      <c r="E227" s="21" t="str">
        <f aca="false">IF(OR(B227="",N(N227)=0,N227=1000),IF(B227="","","Check"),INDEX(Rules!$B:$B,N227))</f>
        <v/>
      </c>
      <c r="F227" s="21" t="str">
        <f aca="false">IF(OR(B227="",N(N227)=0,N227=1000),"",INDEX(Rules!$C:$C,N227))</f>
        <v/>
      </c>
      <c r="G227" s="24"/>
      <c r="H227" s="24"/>
      <c r="I227" s="20" t="str">
        <f aca="false">IF(B227="","",IF(G227&lt;&gt;"",G227,E227))</f>
        <v/>
      </c>
      <c r="J227" s="21" t="str">
        <f aca="false">IF(B227="","",IF(H227&lt;&gt;"",H227,F227))</f>
        <v/>
      </c>
      <c r="K227" s="26" t="str">
        <f aca="false">IF(A227="","",DATE(YEAR(A227),MONTH(A227),1))</f>
        <v/>
      </c>
      <c r="L227" s="21" t="str">
        <f aca="false">IF(J227="",IF(B227="","",IF(N(C227)&gt;=0,"Income","Expense")),IFERROR(INDEX(Lists!$B$2:$B$30,MATCH(J227,Lists!$A$2:$A$30,0)),""))</f>
        <v/>
      </c>
      <c r="M227" s="24"/>
      <c r="N227" s="27" t="str">
        <f aca="false">IF(B227="","",IFERROR(1000-SUMPRODUCT(MAX(ISNUMBER(SEARCH(Rules!$A$5:$A$204,B227))*(Rules!$A$5:$A$204&lt;&gt;"")*(1000-ROW(Rules!$A$5:$A$204)))),""))</f>
        <v/>
      </c>
    </row>
    <row r="228" customFormat="false" ht="15" hidden="false" customHeight="false" outlineLevel="0" collapsed="false">
      <c r="A228" s="23"/>
      <c r="B228" s="24"/>
      <c r="C228" s="25"/>
      <c r="D228" s="24"/>
      <c r="E228" s="21" t="str">
        <f aca="false">IF(OR(B228="",N(N228)=0,N228=1000),IF(B228="","","Check"),INDEX(Rules!$B:$B,N228))</f>
        <v/>
      </c>
      <c r="F228" s="21" t="str">
        <f aca="false">IF(OR(B228="",N(N228)=0,N228=1000),"",INDEX(Rules!$C:$C,N228))</f>
        <v/>
      </c>
      <c r="G228" s="24"/>
      <c r="H228" s="24"/>
      <c r="I228" s="20" t="str">
        <f aca="false">IF(B228="","",IF(G228&lt;&gt;"",G228,E228))</f>
        <v/>
      </c>
      <c r="J228" s="21" t="str">
        <f aca="false">IF(B228="","",IF(H228&lt;&gt;"",H228,F228))</f>
        <v/>
      </c>
      <c r="K228" s="26" t="str">
        <f aca="false">IF(A228="","",DATE(YEAR(A228),MONTH(A228),1))</f>
        <v/>
      </c>
      <c r="L228" s="21" t="str">
        <f aca="false">IF(J228="",IF(B228="","",IF(N(C228)&gt;=0,"Income","Expense")),IFERROR(INDEX(Lists!$B$2:$B$30,MATCH(J228,Lists!$A$2:$A$30,0)),""))</f>
        <v/>
      </c>
      <c r="M228" s="24"/>
      <c r="N228" s="27" t="str">
        <f aca="false">IF(B228="","",IFERROR(1000-SUMPRODUCT(MAX(ISNUMBER(SEARCH(Rules!$A$5:$A$204,B228))*(Rules!$A$5:$A$204&lt;&gt;"")*(1000-ROW(Rules!$A$5:$A$204)))),""))</f>
        <v/>
      </c>
    </row>
    <row r="229" customFormat="false" ht="15" hidden="false" customHeight="false" outlineLevel="0" collapsed="false">
      <c r="A229" s="23"/>
      <c r="B229" s="24"/>
      <c r="C229" s="25"/>
      <c r="D229" s="24"/>
      <c r="E229" s="21" t="str">
        <f aca="false">IF(OR(B229="",N(N229)=0,N229=1000),IF(B229="","","Check"),INDEX(Rules!$B:$B,N229))</f>
        <v/>
      </c>
      <c r="F229" s="21" t="str">
        <f aca="false">IF(OR(B229="",N(N229)=0,N229=1000),"",INDEX(Rules!$C:$C,N229))</f>
        <v/>
      </c>
      <c r="G229" s="24"/>
      <c r="H229" s="24"/>
      <c r="I229" s="20" t="str">
        <f aca="false">IF(B229="","",IF(G229&lt;&gt;"",G229,E229))</f>
        <v/>
      </c>
      <c r="J229" s="21" t="str">
        <f aca="false">IF(B229="","",IF(H229&lt;&gt;"",H229,F229))</f>
        <v/>
      </c>
      <c r="K229" s="26" t="str">
        <f aca="false">IF(A229="","",DATE(YEAR(A229),MONTH(A229),1))</f>
        <v/>
      </c>
      <c r="L229" s="21" t="str">
        <f aca="false">IF(J229="",IF(B229="","",IF(N(C229)&gt;=0,"Income","Expense")),IFERROR(INDEX(Lists!$B$2:$B$30,MATCH(J229,Lists!$A$2:$A$30,0)),""))</f>
        <v/>
      </c>
      <c r="M229" s="24"/>
      <c r="N229" s="27" t="str">
        <f aca="false">IF(B229="","",IFERROR(1000-SUMPRODUCT(MAX(ISNUMBER(SEARCH(Rules!$A$5:$A$204,B229))*(Rules!$A$5:$A$204&lt;&gt;"")*(1000-ROW(Rules!$A$5:$A$204)))),""))</f>
        <v/>
      </c>
    </row>
    <row r="230" customFormat="false" ht="15" hidden="false" customHeight="false" outlineLevel="0" collapsed="false">
      <c r="A230" s="23"/>
      <c r="B230" s="24"/>
      <c r="C230" s="25"/>
      <c r="D230" s="24"/>
      <c r="E230" s="21" t="str">
        <f aca="false">IF(OR(B230="",N(N230)=0,N230=1000),IF(B230="","","Check"),INDEX(Rules!$B:$B,N230))</f>
        <v/>
      </c>
      <c r="F230" s="21" t="str">
        <f aca="false">IF(OR(B230="",N(N230)=0,N230=1000),"",INDEX(Rules!$C:$C,N230))</f>
        <v/>
      </c>
      <c r="G230" s="24"/>
      <c r="H230" s="24"/>
      <c r="I230" s="20" t="str">
        <f aca="false">IF(B230="","",IF(G230&lt;&gt;"",G230,E230))</f>
        <v/>
      </c>
      <c r="J230" s="21" t="str">
        <f aca="false">IF(B230="","",IF(H230&lt;&gt;"",H230,F230))</f>
        <v/>
      </c>
      <c r="K230" s="26" t="str">
        <f aca="false">IF(A230="","",DATE(YEAR(A230),MONTH(A230),1))</f>
        <v/>
      </c>
      <c r="L230" s="21" t="str">
        <f aca="false">IF(J230="",IF(B230="","",IF(N(C230)&gt;=0,"Income","Expense")),IFERROR(INDEX(Lists!$B$2:$B$30,MATCH(J230,Lists!$A$2:$A$30,0)),""))</f>
        <v/>
      </c>
      <c r="M230" s="24"/>
      <c r="N230" s="27" t="str">
        <f aca="false">IF(B230="","",IFERROR(1000-SUMPRODUCT(MAX(ISNUMBER(SEARCH(Rules!$A$5:$A$204,B230))*(Rules!$A$5:$A$204&lt;&gt;"")*(1000-ROW(Rules!$A$5:$A$204)))),""))</f>
        <v/>
      </c>
    </row>
    <row r="231" customFormat="false" ht="15" hidden="false" customHeight="false" outlineLevel="0" collapsed="false">
      <c r="A231" s="23"/>
      <c r="B231" s="24"/>
      <c r="C231" s="25"/>
      <c r="D231" s="24"/>
      <c r="E231" s="21" t="str">
        <f aca="false">IF(OR(B231="",N(N231)=0,N231=1000),IF(B231="","","Check"),INDEX(Rules!$B:$B,N231))</f>
        <v/>
      </c>
      <c r="F231" s="21" t="str">
        <f aca="false">IF(OR(B231="",N(N231)=0,N231=1000),"",INDEX(Rules!$C:$C,N231))</f>
        <v/>
      </c>
      <c r="G231" s="24"/>
      <c r="H231" s="24"/>
      <c r="I231" s="20" t="str">
        <f aca="false">IF(B231="","",IF(G231&lt;&gt;"",G231,E231))</f>
        <v/>
      </c>
      <c r="J231" s="21" t="str">
        <f aca="false">IF(B231="","",IF(H231&lt;&gt;"",H231,F231))</f>
        <v/>
      </c>
      <c r="K231" s="26" t="str">
        <f aca="false">IF(A231="","",DATE(YEAR(A231),MONTH(A231),1))</f>
        <v/>
      </c>
      <c r="L231" s="21" t="str">
        <f aca="false">IF(J231="",IF(B231="","",IF(N(C231)&gt;=0,"Income","Expense")),IFERROR(INDEX(Lists!$B$2:$B$30,MATCH(J231,Lists!$A$2:$A$30,0)),""))</f>
        <v/>
      </c>
      <c r="M231" s="24"/>
      <c r="N231" s="27" t="str">
        <f aca="false">IF(B231="","",IFERROR(1000-SUMPRODUCT(MAX(ISNUMBER(SEARCH(Rules!$A$5:$A$204,B231))*(Rules!$A$5:$A$204&lt;&gt;"")*(1000-ROW(Rules!$A$5:$A$204)))),""))</f>
        <v/>
      </c>
    </row>
    <row r="232" customFormat="false" ht="15" hidden="false" customHeight="false" outlineLevel="0" collapsed="false">
      <c r="A232" s="23"/>
      <c r="B232" s="24"/>
      <c r="C232" s="25"/>
      <c r="D232" s="24"/>
      <c r="E232" s="21" t="str">
        <f aca="false">IF(OR(B232="",N(N232)=0,N232=1000),IF(B232="","","Check"),INDEX(Rules!$B:$B,N232))</f>
        <v/>
      </c>
      <c r="F232" s="21" t="str">
        <f aca="false">IF(OR(B232="",N(N232)=0,N232=1000),"",INDEX(Rules!$C:$C,N232))</f>
        <v/>
      </c>
      <c r="G232" s="24"/>
      <c r="H232" s="24"/>
      <c r="I232" s="20" t="str">
        <f aca="false">IF(B232="","",IF(G232&lt;&gt;"",G232,E232))</f>
        <v/>
      </c>
      <c r="J232" s="21" t="str">
        <f aca="false">IF(B232="","",IF(H232&lt;&gt;"",H232,F232))</f>
        <v/>
      </c>
      <c r="K232" s="26" t="str">
        <f aca="false">IF(A232="","",DATE(YEAR(A232),MONTH(A232),1))</f>
        <v/>
      </c>
      <c r="L232" s="21" t="str">
        <f aca="false">IF(J232="",IF(B232="","",IF(N(C232)&gt;=0,"Income","Expense")),IFERROR(INDEX(Lists!$B$2:$B$30,MATCH(J232,Lists!$A$2:$A$30,0)),""))</f>
        <v/>
      </c>
      <c r="M232" s="24"/>
      <c r="N232" s="27" t="str">
        <f aca="false">IF(B232="","",IFERROR(1000-SUMPRODUCT(MAX(ISNUMBER(SEARCH(Rules!$A$5:$A$204,B232))*(Rules!$A$5:$A$204&lt;&gt;"")*(1000-ROW(Rules!$A$5:$A$204)))),""))</f>
        <v/>
      </c>
    </row>
    <row r="233" customFormat="false" ht="15" hidden="false" customHeight="false" outlineLevel="0" collapsed="false">
      <c r="A233" s="23"/>
      <c r="B233" s="24"/>
      <c r="C233" s="25"/>
      <c r="D233" s="24"/>
      <c r="E233" s="21" t="str">
        <f aca="false">IF(OR(B233="",N(N233)=0,N233=1000),IF(B233="","","Check"),INDEX(Rules!$B:$B,N233))</f>
        <v/>
      </c>
      <c r="F233" s="21" t="str">
        <f aca="false">IF(OR(B233="",N(N233)=0,N233=1000),"",INDEX(Rules!$C:$C,N233))</f>
        <v/>
      </c>
      <c r="G233" s="24"/>
      <c r="H233" s="24"/>
      <c r="I233" s="20" t="str">
        <f aca="false">IF(B233="","",IF(G233&lt;&gt;"",G233,E233))</f>
        <v/>
      </c>
      <c r="J233" s="21" t="str">
        <f aca="false">IF(B233="","",IF(H233&lt;&gt;"",H233,F233))</f>
        <v/>
      </c>
      <c r="K233" s="26" t="str">
        <f aca="false">IF(A233="","",DATE(YEAR(A233),MONTH(A233),1))</f>
        <v/>
      </c>
      <c r="L233" s="21" t="str">
        <f aca="false">IF(J233="",IF(B233="","",IF(N(C233)&gt;=0,"Income","Expense")),IFERROR(INDEX(Lists!$B$2:$B$30,MATCH(J233,Lists!$A$2:$A$30,0)),""))</f>
        <v/>
      </c>
      <c r="M233" s="24"/>
      <c r="N233" s="27" t="str">
        <f aca="false">IF(B233="","",IFERROR(1000-SUMPRODUCT(MAX(ISNUMBER(SEARCH(Rules!$A$5:$A$204,B233))*(Rules!$A$5:$A$204&lt;&gt;"")*(1000-ROW(Rules!$A$5:$A$204)))),""))</f>
        <v/>
      </c>
    </row>
    <row r="234" customFormat="false" ht="15" hidden="false" customHeight="false" outlineLevel="0" collapsed="false">
      <c r="A234" s="23"/>
      <c r="B234" s="24"/>
      <c r="C234" s="25"/>
      <c r="D234" s="24"/>
      <c r="E234" s="21" t="str">
        <f aca="false">IF(OR(B234="",N(N234)=0,N234=1000),IF(B234="","","Check"),INDEX(Rules!$B:$B,N234))</f>
        <v/>
      </c>
      <c r="F234" s="21" t="str">
        <f aca="false">IF(OR(B234="",N(N234)=0,N234=1000),"",INDEX(Rules!$C:$C,N234))</f>
        <v/>
      </c>
      <c r="G234" s="24"/>
      <c r="H234" s="24"/>
      <c r="I234" s="20" t="str">
        <f aca="false">IF(B234="","",IF(G234&lt;&gt;"",G234,E234))</f>
        <v/>
      </c>
      <c r="J234" s="21" t="str">
        <f aca="false">IF(B234="","",IF(H234&lt;&gt;"",H234,F234))</f>
        <v/>
      </c>
      <c r="K234" s="26" t="str">
        <f aca="false">IF(A234="","",DATE(YEAR(A234),MONTH(A234),1))</f>
        <v/>
      </c>
      <c r="L234" s="21" t="str">
        <f aca="false">IF(J234="",IF(B234="","",IF(N(C234)&gt;=0,"Income","Expense")),IFERROR(INDEX(Lists!$B$2:$B$30,MATCH(J234,Lists!$A$2:$A$30,0)),""))</f>
        <v/>
      </c>
      <c r="M234" s="24"/>
      <c r="N234" s="27" t="str">
        <f aca="false">IF(B234="","",IFERROR(1000-SUMPRODUCT(MAX(ISNUMBER(SEARCH(Rules!$A$5:$A$204,B234))*(Rules!$A$5:$A$204&lt;&gt;"")*(1000-ROW(Rules!$A$5:$A$204)))),""))</f>
        <v/>
      </c>
    </row>
    <row r="235" customFormat="false" ht="15" hidden="false" customHeight="false" outlineLevel="0" collapsed="false">
      <c r="A235" s="23"/>
      <c r="B235" s="24"/>
      <c r="C235" s="25"/>
      <c r="D235" s="24"/>
      <c r="E235" s="21" t="str">
        <f aca="false">IF(OR(B235="",N(N235)=0,N235=1000),IF(B235="","","Check"),INDEX(Rules!$B:$B,N235))</f>
        <v/>
      </c>
      <c r="F235" s="21" t="str">
        <f aca="false">IF(OR(B235="",N(N235)=0,N235=1000),"",INDEX(Rules!$C:$C,N235))</f>
        <v/>
      </c>
      <c r="G235" s="24"/>
      <c r="H235" s="24"/>
      <c r="I235" s="20" t="str">
        <f aca="false">IF(B235="","",IF(G235&lt;&gt;"",G235,E235))</f>
        <v/>
      </c>
      <c r="J235" s="21" t="str">
        <f aca="false">IF(B235="","",IF(H235&lt;&gt;"",H235,F235))</f>
        <v/>
      </c>
      <c r="K235" s="26" t="str">
        <f aca="false">IF(A235="","",DATE(YEAR(A235),MONTH(A235),1))</f>
        <v/>
      </c>
      <c r="L235" s="21" t="str">
        <f aca="false">IF(J235="",IF(B235="","",IF(N(C235)&gt;=0,"Income","Expense")),IFERROR(INDEX(Lists!$B$2:$B$30,MATCH(J235,Lists!$A$2:$A$30,0)),""))</f>
        <v/>
      </c>
      <c r="M235" s="24"/>
      <c r="N235" s="27" t="str">
        <f aca="false">IF(B235="","",IFERROR(1000-SUMPRODUCT(MAX(ISNUMBER(SEARCH(Rules!$A$5:$A$204,B235))*(Rules!$A$5:$A$204&lt;&gt;"")*(1000-ROW(Rules!$A$5:$A$204)))),""))</f>
        <v/>
      </c>
    </row>
    <row r="236" customFormat="false" ht="15" hidden="false" customHeight="false" outlineLevel="0" collapsed="false">
      <c r="A236" s="23"/>
      <c r="B236" s="24"/>
      <c r="C236" s="25"/>
      <c r="D236" s="24"/>
      <c r="E236" s="21" t="str">
        <f aca="false">IF(OR(B236="",N(N236)=0,N236=1000),IF(B236="","","Check"),INDEX(Rules!$B:$B,N236))</f>
        <v/>
      </c>
      <c r="F236" s="21" t="str">
        <f aca="false">IF(OR(B236="",N(N236)=0,N236=1000),"",INDEX(Rules!$C:$C,N236))</f>
        <v/>
      </c>
      <c r="G236" s="24"/>
      <c r="H236" s="24"/>
      <c r="I236" s="20" t="str">
        <f aca="false">IF(B236="","",IF(G236&lt;&gt;"",G236,E236))</f>
        <v/>
      </c>
      <c r="J236" s="21" t="str">
        <f aca="false">IF(B236="","",IF(H236&lt;&gt;"",H236,F236))</f>
        <v/>
      </c>
      <c r="K236" s="26" t="str">
        <f aca="false">IF(A236="","",DATE(YEAR(A236),MONTH(A236),1))</f>
        <v/>
      </c>
      <c r="L236" s="21" t="str">
        <f aca="false">IF(J236="",IF(B236="","",IF(N(C236)&gt;=0,"Income","Expense")),IFERROR(INDEX(Lists!$B$2:$B$30,MATCH(J236,Lists!$A$2:$A$30,0)),""))</f>
        <v/>
      </c>
      <c r="M236" s="24"/>
      <c r="N236" s="27" t="str">
        <f aca="false">IF(B236="","",IFERROR(1000-SUMPRODUCT(MAX(ISNUMBER(SEARCH(Rules!$A$5:$A$204,B236))*(Rules!$A$5:$A$204&lt;&gt;"")*(1000-ROW(Rules!$A$5:$A$204)))),""))</f>
        <v/>
      </c>
    </row>
    <row r="237" customFormat="false" ht="15" hidden="false" customHeight="false" outlineLevel="0" collapsed="false">
      <c r="A237" s="23"/>
      <c r="B237" s="24"/>
      <c r="C237" s="25"/>
      <c r="D237" s="24"/>
      <c r="E237" s="21" t="str">
        <f aca="false">IF(OR(B237="",N(N237)=0,N237=1000),IF(B237="","","Check"),INDEX(Rules!$B:$B,N237))</f>
        <v/>
      </c>
      <c r="F237" s="21" t="str">
        <f aca="false">IF(OR(B237="",N(N237)=0,N237=1000),"",INDEX(Rules!$C:$C,N237))</f>
        <v/>
      </c>
      <c r="G237" s="24"/>
      <c r="H237" s="24"/>
      <c r="I237" s="20" t="str">
        <f aca="false">IF(B237="","",IF(G237&lt;&gt;"",G237,E237))</f>
        <v/>
      </c>
      <c r="J237" s="21" t="str">
        <f aca="false">IF(B237="","",IF(H237&lt;&gt;"",H237,F237))</f>
        <v/>
      </c>
      <c r="K237" s="26" t="str">
        <f aca="false">IF(A237="","",DATE(YEAR(A237),MONTH(A237),1))</f>
        <v/>
      </c>
      <c r="L237" s="21" t="str">
        <f aca="false">IF(J237="",IF(B237="","",IF(N(C237)&gt;=0,"Income","Expense")),IFERROR(INDEX(Lists!$B$2:$B$30,MATCH(J237,Lists!$A$2:$A$30,0)),""))</f>
        <v/>
      </c>
      <c r="M237" s="24"/>
      <c r="N237" s="27" t="str">
        <f aca="false">IF(B237="","",IFERROR(1000-SUMPRODUCT(MAX(ISNUMBER(SEARCH(Rules!$A$5:$A$204,B237))*(Rules!$A$5:$A$204&lt;&gt;"")*(1000-ROW(Rules!$A$5:$A$204)))),""))</f>
        <v/>
      </c>
    </row>
    <row r="238" customFormat="false" ht="15" hidden="false" customHeight="false" outlineLevel="0" collapsed="false">
      <c r="A238" s="23"/>
      <c r="B238" s="24"/>
      <c r="C238" s="25"/>
      <c r="D238" s="24"/>
      <c r="E238" s="21" t="str">
        <f aca="false">IF(OR(B238="",N(N238)=0,N238=1000),IF(B238="","","Check"),INDEX(Rules!$B:$B,N238))</f>
        <v/>
      </c>
      <c r="F238" s="21" t="str">
        <f aca="false">IF(OR(B238="",N(N238)=0,N238=1000),"",INDEX(Rules!$C:$C,N238))</f>
        <v/>
      </c>
      <c r="G238" s="24"/>
      <c r="H238" s="24"/>
      <c r="I238" s="20" t="str">
        <f aca="false">IF(B238="","",IF(G238&lt;&gt;"",G238,E238))</f>
        <v/>
      </c>
      <c r="J238" s="21" t="str">
        <f aca="false">IF(B238="","",IF(H238&lt;&gt;"",H238,F238))</f>
        <v/>
      </c>
      <c r="K238" s="26" t="str">
        <f aca="false">IF(A238="","",DATE(YEAR(A238),MONTH(A238),1))</f>
        <v/>
      </c>
      <c r="L238" s="21" t="str">
        <f aca="false">IF(J238="",IF(B238="","",IF(N(C238)&gt;=0,"Income","Expense")),IFERROR(INDEX(Lists!$B$2:$B$30,MATCH(J238,Lists!$A$2:$A$30,0)),""))</f>
        <v/>
      </c>
      <c r="M238" s="24"/>
      <c r="N238" s="27" t="str">
        <f aca="false">IF(B238="","",IFERROR(1000-SUMPRODUCT(MAX(ISNUMBER(SEARCH(Rules!$A$5:$A$204,B238))*(Rules!$A$5:$A$204&lt;&gt;"")*(1000-ROW(Rules!$A$5:$A$204)))),""))</f>
        <v/>
      </c>
    </row>
    <row r="239" customFormat="false" ht="15" hidden="false" customHeight="false" outlineLevel="0" collapsed="false">
      <c r="A239" s="23"/>
      <c r="B239" s="24"/>
      <c r="C239" s="25"/>
      <c r="D239" s="24"/>
      <c r="E239" s="21" t="str">
        <f aca="false">IF(OR(B239="",N(N239)=0,N239=1000),IF(B239="","","Check"),INDEX(Rules!$B:$B,N239))</f>
        <v/>
      </c>
      <c r="F239" s="21" t="str">
        <f aca="false">IF(OR(B239="",N(N239)=0,N239=1000),"",INDEX(Rules!$C:$C,N239))</f>
        <v/>
      </c>
      <c r="G239" s="24"/>
      <c r="H239" s="24"/>
      <c r="I239" s="20" t="str">
        <f aca="false">IF(B239="","",IF(G239&lt;&gt;"",G239,E239))</f>
        <v/>
      </c>
      <c r="J239" s="21" t="str">
        <f aca="false">IF(B239="","",IF(H239&lt;&gt;"",H239,F239))</f>
        <v/>
      </c>
      <c r="K239" s="26" t="str">
        <f aca="false">IF(A239="","",DATE(YEAR(A239),MONTH(A239),1))</f>
        <v/>
      </c>
      <c r="L239" s="21" t="str">
        <f aca="false">IF(J239="",IF(B239="","",IF(N(C239)&gt;=0,"Income","Expense")),IFERROR(INDEX(Lists!$B$2:$B$30,MATCH(J239,Lists!$A$2:$A$30,0)),""))</f>
        <v/>
      </c>
      <c r="M239" s="24"/>
      <c r="N239" s="27" t="str">
        <f aca="false">IF(B239="","",IFERROR(1000-SUMPRODUCT(MAX(ISNUMBER(SEARCH(Rules!$A$5:$A$204,B239))*(Rules!$A$5:$A$204&lt;&gt;"")*(1000-ROW(Rules!$A$5:$A$204)))),""))</f>
        <v/>
      </c>
    </row>
    <row r="240" customFormat="false" ht="15" hidden="false" customHeight="false" outlineLevel="0" collapsed="false">
      <c r="A240" s="23"/>
      <c r="B240" s="24"/>
      <c r="C240" s="25"/>
      <c r="D240" s="24"/>
      <c r="E240" s="21" t="str">
        <f aca="false">IF(OR(B240="",N(N240)=0,N240=1000),IF(B240="","","Check"),INDEX(Rules!$B:$B,N240))</f>
        <v/>
      </c>
      <c r="F240" s="21" t="str">
        <f aca="false">IF(OR(B240="",N(N240)=0,N240=1000),"",INDEX(Rules!$C:$C,N240))</f>
        <v/>
      </c>
      <c r="G240" s="24"/>
      <c r="H240" s="24"/>
      <c r="I240" s="20" t="str">
        <f aca="false">IF(B240="","",IF(G240&lt;&gt;"",G240,E240))</f>
        <v/>
      </c>
      <c r="J240" s="21" t="str">
        <f aca="false">IF(B240="","",IF(H240&lt;&gt;"",H240,F240))</f>
        <v/>
      </c>
      <c r="K240" s="26" t="str">
        <f aca="false">IF(A240="","",DATE(YEAR(A240),MONTH(A240),1))</f>
        <v/>
      </c>
      <c r="L240" s="21" t="str">
        <f aca="false">IF(J240="",IF(B240="","",IF(N(C240)&gt;=0,"Income","Expense")),IFERROR(INDEX(Lists!$B$2:$B$30,MATCH(J240,Lists!$A$2:$A$30,0)),""))</f>
        <v/>
      </c>
      <c r="M240" s="24"/>
      <c r="N240" s="27" t="str">
        <f aca="false">IF(B240="","",IFERROR(1000-SUMPRODUCT(MAX(ISNUMBER(SEARCH(Rules!$A$5:$A$204,B240))*(Rules!$A$5:$A$204&lt;&gt;"")*(1000-ROW(Rules!$A$5:$A$204)))),""))</f>
        <v/>
      </c>
    </row>
    <row r="241" customFormat="false" ht="15" hidden="false" customHeight="false" outlineLevel="0" collapsed="false">
      <c r="A241" s="23"/>
      <c r="B241" s="24"/>
      <c r="C241" s="25"/>
      <c r="D241" s="24"/>
      <c r="E241" s="21" t="str">
        <f aca="false">IF(OR(B241="",N(N241)=0,N241=1000),IF(B241="","","Check"),INDEX(Rules!$B:$B,N241))</f>
        <v/>
      </c>
      <c r="F241" s="21" t="str">
        <f aca="false">IF(OR(B241="",N(N241)=0,N241=1000),"",INDEX(Rules!$C:$C,N241))</f>
        <v/>
      </c>
      <c r="G241" s="24"/>
      <c r="H241" s="24"/>
      <c r="I241" s="20" t="str">
        <f aca="false">IF(B241="","",IF(G241&lt;&gt;"",G241,E241))</f>
        <v/>
      </c>
      <c r="J241" s="21" t="str">
        <f aca="false">IF(B241="","",IF(H241&lt;&gt;"",H241,F241))</f>
        <v/>
      </c>
      <c r="K241" s="26" t="str">
        <f aca="false">IF(A241="","",DATE(YEAR(A241),MONTH(A241),1))</f>
        <v/>
      </c>
      <c r="L241" s="21" t="str">
        <f aca="false">IF(J241="",IF(B241="","",IF(N(C241)&gt;=0,"Income","Expense")),IFERROR(INDEX(Lists!$B$2:$B$30,MATCH(J241,Lists!$A$2:$A$30,0)),""))</f>
        <v/>
      </c>
      <c r="M241" s="24"/>
      <c r="N241" s="27" t="str">
        <f aca="false">IF(B241="","",IFERROR(1000-SUMPRODUCT(MAX(ISNUMBER(SEARCH(Rules!$A$5:$A$204,B241))*(Rules!$A$5:$A$204&lt;&gt;"")*(1000-ROW(Rules!$A$5:$A$204)))),""))</f>
        <v/>
      </c>
    </row>
    <row r="242" customFormat="false" ht="15" hidden="false" customHeight="false" outlineLevel="0" collapsed="false">
      <c r="A242" s="23"/>
      <c r="B242" s="24"/>
      <c r="C242" s="25"/>
      <c r="D242" s="24"/>
      <c r="E242" s="21" t="str">
        <f aca="false">IF(OR(B242="",N(N242)=0,N242=1000),IF(B242="","","Check"),INDEX(Rules!$B:$B,N242))</f>
        <v/>
      </c>
      <c r="F242" s="21" t="str">
        <f aca="false">IF(OR(B242="",N(N242)=0,N242=1000),"",INDEX(Rules!$C:$C,N242))</f>
        <v/>
      </c>
      <c r="G242" s="24"/>
      <c r="H242" s="24"/>
      <c r="I242" s="20" t="str">
        <f aca="false">IF(B242="","",IF(G242&lt;&gt;"",G242,E242))</f>
        <v/>
      </c>
      <c r="J242" s="21" t="str">
        <f aca="false">IF(B242="","",IF(H242&lt;&gt;"",H242,F242))</f>
        <v/>
      </c>
      <c r="K242" s="26" t="str">
        <f aca="false">IF(A242="","",DATE(YEAR(A242),MONTH(A242),1))</f>
        <v/>
      </c>
      <c r="L242" s="21" t="str">
        <f aca="false">IF(J242="",IF(B242="","",IF(N(C242)&gt;=0,"Income","Expense")),IFERROR(INDEX(Lists!$B$2:$B$30,MATCH(J242,Lists!$A$2:$A$30,0)),""))</f>
        <v/>
      </c>
      <c r="M242" s="24"/>
      <c r="N242" s="27" t="str">
        <f aca="false">IF(B242="","",IFERROR(1000-SUMPRODUCT(MAX(ISNUMBER(SEARCH(Rules!$A$5:$A$204,B242))*(Rules!$A$5:$A$204&lt;&gt;"")*(1000-ROW(Rules!$A$5:$A$204)))),""))</f>
        <v/>
      </c>
    </row>
    <row r="243" customFormat="false" ht="15" hidden="false" customHeight="false" outlineLevel="0" collapsed="false">
      <c r="A243" s="23"/>
      <c r="B243" s="24"/>
      <c r="C243" s="25"/>
      <c r="D243" s="24"/>
      <c r="E243" s="21" t="str">
        <f aca="false">IF(OR(B243="",N(N243)=0,N243=1000),IF(B243="","","Check"),INDEX(Rules!$B:$B,N243))</f>
        <v/>
      </c>
      <c r="F243" s="21" t="str">
        <f aca="false">IF(OR(B243="",N(N243)=0,N243=1000),"",INDEX(Rules!$C:$C,N243))</f>
        <v/>
      </c>
      <c r="G243" s="24"/>
      <c r="H243" s="24"/>
      <c r="I243" s="20" t="str">
        <f aca="false">IF(B243="","",IF(G243&lt;&gt;"",G243,E243))</f>
        <v/>
      </c>
      <c r="J243" s="21" t="str">
        <f aca="false">IF(B243="","",IF(H243&lt;&gt;"",H243,F243))</f>
        <v/>
      </c>
      <c r="K243" s="26" t="str">
        <f aca="false">IF(A243="","",DATE(YEAR(A243),MONTH(A243),1))</f>
        <v/>
      </c>
      <c r="L243" s="21" t="str">
        <f aca="false">IF(J243="",IF(B243="","",IF(N(C243)&gt;=0,"Income","Expense")),IFERROR(INDEX(Lists!$B$2:$B$30,MATCH(J243,Lists!$A$2:$A$30,0)),""))</f>
        <v/>
      </c>
      <c r="M243" s="24"/>
      <c r="N243" s="27" t="str">
        <f aca="false">IF(B243="","",IFERROR(1000-SUMPRODUCT(MAX(ISNUMBER(SEARCH(Rules!$A$5:$A$204,B243))*(Rules!$A$5:$A$204&lt;&gt;"")*(1000-ROW(Rules!$A$5:$A$204)))),""))</f>
        <v/>
      </c>
    </row>
    <row r="244" customFormat="false" ht="15" hidden="false" customHeight="false" outlineLevel="0" collapsed="false">
      <c r="A244" s="23"/>
      <c r="B244" s="24"/>
      <c r="C244" s="25"/>
      <c r="D244" s="24"/>
      <c r="E244" s="21" t="str">
        <f aca="false">IF(OR(B244="",N(N244)=0,N244=1000),IF(B244="","","Check"),INDEX(Rules!$B:$B,N244))</f>
        <v/>
      </c>
      <c r="F244" s="21" t="str">
        <f aca="false">IF(OR(B244="",N(N244)=0,N244=1000),"",INDEX(Rules!$C:$C,N244))</f>
        <v/>
      </c>
      <c r="G244" s="24"/>
      <c r="H244" s="24"/>
      <c r="I244" s="20" t="str">
        <f aca="false">IF(B244="","",IF(G244&lt;&gt;"",G244,E244))</f>
        <v/>
      </c>
      <c r="J244" s="21" t="str">
        <f aca="false">IF(B244="","",IF(H244&lt;&gt;"",H244,F244))</f>
        <v/>
      </c>
      <c r="K244" s="26" t="str">
        <f aca="false">IF(A244="","",DATE(YEAR(A244),MONTH(A244),1))</f>
        <v/>
      </c>
      <c r="L244" s="21" t="str">
        <f aca="false">IF(J244="",IF(B244="","",IF(N(C244)&gt;=0,"Income","Expense")),IFERROR(INDEX(Lists!$B$2:$B$30,MATCH(J244,Lists!$A$2:$A$30,0)),""))</f>
        <v/>
      </c>
      <c r="M244" s="24"/>
      <c r="N244" s="27" t="str">
        <f aca="false">IF(B244="","",IFERROR(1000-SUMPRODUCT(MAX(ISNUMBER(SEARCH(Rules!$A$5:$A$204,B244))*(Rules!$A$5:$A$204&lt;&gt;"")*(1000-ROW(Rules!$A$5:$A$204)))),""))</f>
        <v/>
      </c>
    </row>
    <row r="245" customFormat="false" ht="15" hidden="false" customHeight="false" outlineLevel="0" collapsed="false">
      <c r="A245" s="23"/>
      <c r="B245" s="24"/>
      <c r="C245" s="25"/>
      <c r="D245" s="24"/>
      <c r="E245" s="21" t="str">
        <f aca="false">IF(OR(B245="",N(N245)=0,N245=1000),IF(B245="","","Check"),INDEX(Rules!$B:$B,N245))</f>
        <v/>
      </c>
      <c r="F245" s="21" t="str">
        <f aca="false">IF(OR(B245="",N(N245)=0,N245=1000),"",INDEX(Rules!$C:$C,N245))</f>
        <v/>
      </c>
      <c r="G245" s="24"/>
      <c r="H245" s="24"/>
      <c r="I245" s="20" t="str">
        <f aca="false">IF(B245="","",IF(G245&lt;&gt;"",G245,E245))</f>
        <v/>
      </c>
      <c r="J245" s="21" t="str">
        <f aca="false">IF(B245="","",IF(H245&lt;&gt;"",H245,F245))</f>
        <v/>
      </c>
      <c r="K245" s="26" t="str">
        <f aca="false">IF(A245="","",DATE(YEAR(A245),MONTH(A245),1))</f>
        <v/>
      </c>
      <c r="L245" s="21" t="str">
        <f aca="false">IF(J245="",IF(B245="","",IF(N(C245)&gt;=0,"Income","Expense")),IFERROR(INDEX(Lists!$B$2:$B$30,MATCH(J245,Lists!$A$2:$A$30,0)),""))</f>
        <v/>
      </c>
      <c r="M245" s="24"/>
      <c r="N245" s="27" t="str">
        <f aca="false">IF(B245="","",IFERROR(1000-SUMPRODUCT(MAX(ISNUMBER(SEARCH(Rules!$A$5:$A$204,B245))*(Rules!$A$5:$A$204&lt;&gt;"")*(1000-ROW(Rules!$A$5:$A$204)))),""))</f>
        <v/>
      </c>
    </row>
    <row r="246" customFormat="false" ht="15" hidden="false" customHeight="false" outlineLevel="0" collapsed="false">
      <c r="A246" s="23"/>
      <c r="B246" s="24"/>
      <c r="C246" s="25"/>
      <c r="D246" s="24"/>
      <c r="E246" s="21" t="str">
        <f aca="false">IF(OR(B246="",N(N246)=0,N246=1000),IF(B246="","","Check"),INDEX(Rules!$B:$B,N246))</f>
        <v/>
      </c>
      <c r="F246" s="21" t="str">
        <f aca="false">IF(OR(B246="",N(N246)=0,N246=1000),"",INDEX(Rules!$C:$C,N246))</f>
        <v/>
      </c>
      <c r="G246" s="24"/>
      <c r="H246" s="24"/>
      <c r="I246" s="20" t="str">
        <f aca="false">IF(B246="","",IF(G246&lt;&gt;"",G246,E246))</f>
        <v/>
      </c>
      <c r="J246" s="21" t="str">
        <f aca="false">IF(B246="","",IF(H246&lt;&gt;"",H246,F246))</f>
        <v/>
      </c>
      <c r="K246" s="26" t="str">
        <f aca="false">IF(A246="","",DATE(YEAR(A246),MONTH(A246),1))</f>
        <v/>
      </c>
      <c r="L246" s="21" t="str">
        <f aca="false">IF(J246="",IF(B246="","",IF(N(C246)&gt;=0,"Income","Expense")),IFERROR(INDEX(Lists!$B$2:$B$30,MATCH(J246,Lists!$A$2:$A$30,0)),""))</f>
        <v/>
      </c>
      <c r="M246" s="24"/>
      <c r="N246" s="27" t="str">
        <f aca="false">IF(B246="","",IFERROR(1000-SUMPRODUCT(MAX(ISNUMBER(SEARCH(Rules!$A$5:$A$204,B246))*(Rules!$A$5:$A$204&lt;&gt;"")*(1000-ROW(Rules!$A$5:$A$204)))),""))</f>
        <v/>
      </c>
    </row>
    <row r="247" customFormat="false" ht="15" hidden="false" customHeight="false" outlineLevel="0" collapsed="false">
      <c r="A247" s="23"/>
      <c r="B247" s="24"/>
      <c r="C247" s="25"/>
      <c r="D247" s="24"/>
      <c r="E247" s="21" t="str">
        <f aca="false">IF(OR(B247="",N(N247)=0,N247=1000),IF(B247="","","Check"),INDEX(Rules!$B:$B,N247))</f>
        <v/>
      </c>
      <c r="F247" s="21" t="str">
        <f aca="false">IF(OR(B247="",N(N247)=0,N247=1000),"",INDEX(Rules!$C:$C,N247))</f>
        <v/>
      </c>
      <c r="G247" s="24"/>
      <c r="H247" s="24"/>
      <c r="I247" s="20" t="str">
        <f aca="false">IF(B247="","",IF(G247&lt;&gt;"",G247,E247))</f>
        <v/>
      </c>
      <c r="J247" s="21" t="str">
        <f aca="false">IF(B247="","",IF(H247&lt;&gt;"",H247,F247))</f>
        <v/>
      </c>
      <c r="K247" s="26" t="str">
        <f aca="false">IF(A247="","",DATE(YEAR(A247),MONTH(A247),1))</f>
        <v/>
      </c>
      <c r="L247" s="21" t="str">
        <f aca="false">IF(J247="",IF(B247="","",IF(N(C247)&gt;=0,"Income","Expense")),IFERROR(INDEX(Lists!$B$2:$B$30,MATCH(J247,Lists!$A$2:$A$30,0)),""))</f>
        <v/>
      </c>
      <c r="M247" s="24"/>
      <c r="N247" s="27" t="str">
        <f aca="false">IF(B247="","",IFERROR(1000-SUMPRODUCT(MAX(ISNUMBER(SEARCH(Rules!$A$5:$A$204,B247))*(Rules!$A$5:$A$204&lt;&gt;"")*(1000-ROW(Rules!$A$5:$A$204)))),""))</f>
        <v/>
      </c>
    </row>
    <row r="248" customFormat="false" ht="15" hidden="false" customHeight="false" outlineLevel="0" collapsed="false">
      <c r="A248" s="23"/>
      <c r="B248" s="24"/>
      <c r="C248" s="25"/>
      <c r="D248" s="24"/>
      <c r="E248" s="21" t="str">
        <f aca="false">IF(OR(B248="",N(N248)=0,N248=1000),IF(B248="","","Check"),INDEX(Rules!$B:$B,N248))</f>
        <v/>
      </c>
      <c r="F248" s="21" t="str">
        <f aca="false">IF(OR(B248="",N(N248)=0,N248=1000),"",INDEX(Rules!$C:$C,N248))</f>
        <v/>
      </c>
      <c r="G248" s="24"/>
      <c r="H248" s="24"/>
      <c r="I248" s="20" t="str">
        <f aca="false">IF(B248="","",IF(G248&lt;&gt;"",G248,E248))</f>
        <v/>
      </c>
      <c r="J248" s="21" t="str">
        <f aca="false">IF(B248="","",IF(H248&lt;&gt;"",H248,F248))</f>
        <v/>
      </c>
      <c r="K248" s="26" t="str">
        <f aca="false">IF(A248="","",DATE(YEAR(A248),MONTH(A248),1))</f>
        <v/>
      </c>
      <c r="L248" s="21" t="str">
        <f aca="false">IF(J248="",IF(B248="","",IF(N(C248)&gt;=0,"Income","Expense")),IFERROR(INDEX(Lists!$B$2:$B$30,MATCH(J248,Lists!$A$2:$A$30,0)),""))</f>
        <v/>
      </c>
      <c r="M248" s="24"/>
      <c r="N248" s="27" t="str">
        <f aca="false">IF(B248="","",IFERROR(1000-SUMPRODUCT(MAX(ISNUMBER(SEARCH(Rules!$A$5:$A$204,B248))*(Rules!$A$5:$A$204&lt;&gt;"")*(1000-ROW(Rules!$A$5:$A$204)))),""))</f>
        <v/>
      </c>
    </row>
    <row r="249" customFormat="false" ht="15" hidden="false" customHeight="false" outlineLevel="0" collapsed="false">
      <c r="A249" s="23"/>
      <c r="B249" s="24"/>
      <c r="C249" s="25"/>
      <c r="D249" s="24"/>
      <c r="E249" s="21" t="str">
        <f aca="false">IF(OR(B249="",N(N249)=0,N249=1000),IF(B249="","","Check"),INDEX(Rules!$B:$B,N249))</f>
        <v/>
      </c>
      <c r="F249" s="21" t="str">
        <f aca="false">IF(OR(B249="",N(N249)=0,N249=1000),"",INDEX(Rules!$C:$C,N249))</f>
        <v/>
      </c>
      <c r="G249" s="24"/>
      <c r="H249" s="24"/>
      <c r="I249" s="20" t="str">
        <f aca="false">IF(B249="","",IF(G249&lt;&gt;"",G249,E249))</f>
        <v/>
      </c>
      <c r="J249" s="21" t="str">
        <f aca="false">IF(B249="","",IF(H249&lt;&gt;"",H249,F249))</f>
        <v/>
      </c>
      <c r="K249" s="26" t="str">
        <f aca="false">IF(A249="","",DATE(YEAR(A249),MONTH(A249),1))</f>
        <v/>
      </c>
      <c r="L249" s="21" t="str">
        <f aca="false">IF(J249="",IF(B249="","",IF(N(C249)&gt;=0,"Income","Expense")),IFERROR(INDEX(Lists!$B$2:$B$30,MATCH(J249,Lists!$A$2:$A$30,0)),""))</f>
        <v/>
      </c>
      <c r="M249" s="24"/>
      <c r="N249" s="27" t="str">
        <f aca="false">IF(B249="","",IFERROR(1000-SUMPRODUCT(MAX(ISNUMBER(SEARCH(Rules!$A$5:$A$204,B249))*(Rules!$A$5:$A$204&lt;&gt;"")*(1000-ROW(Rules!$A$5:$A$204)))),""))</f>
        <v/>
      </c>
    </row>
    <row r="250" customFormat="false" ht="15" hidden="false" customHeight="false" outlineLevel="0" collapsed="false">
      <c r="A250" s="23"/>
      <c r="B250" s="24"/>
      <c r="C250" s="25"/>
      <c r="D250" s="24"/>
      <c r="E250" s="21" t="str">
        <f aca="false">IF(OR(B250="",N(N250)=0,N250=1000),IF(B250="","","Check"),INDEX(Rules!$B:$B,N250))</f>
        <v/>
      </c>
      <c r="F250" s="21" t="str">
        <f aca="false">IF(OR(B250="",N(N250)=0,N250=1000),"",INDEX(Rules!$C:$C,N250))</f>
        <v/>
      </c>
      <c r="G250" s="24"/>
      <c r="H250" s="24"/>
      <c r="I250" s="20" t="str">
        <f aca="false">IF(B250="","",IF(G250&lt;&gt;"",G250,E250))</f>
        <v/>
      </c>
      <c r="J250" s="21" t="str">
        <f aca="false">IF(B250="","",IF(H250&lt;&gt;"",H250,F250))</f>
        <v/>
      </c>
      <c r="K250" s="26" t="str">
        <f aca="false">IF(A250="","",DATE(YEAR(A250),MONTH(A250),1))</f>
        <v/>
      </c>
      <c r="L250" s="21" t="str">
        <f aca="false">IF(J250="",IF(B250="","",IF(N(C250)&gt;=0,"Income","Expense")),IFERROR(INDEX(Lists!$B$2:$B$30,MATCH(J250,Lists!$A$2:$A$30,0)),""))</f>
        <v/>
      </c>
      <c r="M250" s="24"/>
      <c r="N250" s="27" t="str">
        <f aca="false">IF(B250="","",IFERROR(1000-SUMPRODUCT(MAX(ISNUMBER(SEARCH(Rules!$A$5:$A$204,B250))*(Rules!$A$5:$A$204&lt;&gt;"")*(1000-ROW(Rules!$A$5:$A$204)))),""))</f>
        <v/>
      </c>
    </row>
    <row r="251" customFormat="false" ht="15" hidden="false" customHeight="false" outlineLevel="0" collapsed="false">
      <c r="A251" s="23"/>
      <c r="B251" s="24"/>
      <c r="C251" s="25"/>
      <c r="D251" s="24"/>
      <c r="E251" s="21" t="str">
        <f aca="false">IF(OR(B251="",N(N251)=0,N251=1000),IF(B251="","","Check"),INDEX(Rules!$B:$B,N251))</f>
        <v/>
      </c>
      <c r="F251" s="21" t="str">
        <f aca="false">IF(OR(B251="",N(N251)=0,N251=1000),"",INDEX(Rules!$C:$C,N251))</f>
        <v/>
      </c>
      <c r="G251" s="24"/>
      <c r="H251" s="24"/>
      <c r="I251" s="20" t="str">
        <f aca="false">IF(B251="","",IF(G251&lt;&gt;"",G251,E251))</f>
        <v/>
      </c>
      <c r="J251" s="21" t="str">
        <f aca="false">IF(B251="","",IF(H251&lt;&gt;"",H251,F251))</f>
        <v/>
      </c>
      <c r="K251" s="26" t="str">
        <f aca="false">IF(A251="","",DATE(YEAR(A251),MONTH(A251),1))</f>
        <v/>
      </c>
      <c r="L251" s="21" t="str">
        <f aca="false">IF(J251="",IF(B251="","",IF(N(C251)&gt;=0,"Income","Expense")),IFERROR(INDEX(Lists!$B$2:$B$30,MATCH(J251,Lists!$A$2:$A$30,0)),""))</f>
        <v/>
      </c>
      <c r="M251" s="24"/>
      <c r="N251" s="27" t="str">
        <f aca="false">IF(B251="","",IFERROR(1000-SUMPRODUCT(MAX(ISNUMBER(SEARCH(Rules!$A$5:$A$204,B251))*(Rules!$A$5:$A$204&lt;&gt;"")*(1000-ROW(Rules!$A$5:$A$204)))),""))</f>
        <v/>
      </c>
    </row>
    <row r="252" customFormat="false" ht="15" hidden="false" customHeight="false" outlineLevel="0" collapsed="false">
      <c r="A252" s="23"/>
      <c r="B252" s="24"/>
      <c r="C252" s="25"/>
      <c r="D252" s="24"/>
      <c r="E252" s="21" t="str">
        <f aca="false">IF(OR(B252="",N(N252)=0,N252=1000),IF(B252="","","Check"),INDEX(Rules!$B:$B,N252))</f>
        <v/>
      </c>
      <c r="F252" s="21" t="str">
        <f aca="false">IF(OR(B252="",N(N252)=0,N252=1000),"",INDEX(Rules!$C:$C,N252))</f>
        <v/>
      </c>
      <c r="G252" s="24"/>
      <c r="H252" s="24"/>
      <c r="I252" s="20" t="str">
        <f aca="false">IF(B252="","",IF(G252&lt;&gt;"",G252,E252))</f>
        <v/>
      </c>
      <c r="J252" s="21" t="str">
        <f aca="false">IF(B252="","",IF(H252&lt;&gt;"",H252,F252))</f>
        <v/>
      </c>
      <c r="K252" s="26" t="str">
        <f aca="false">IF(A252="","",DATE(YEAR(A252),MONTH(A252),1))</f>
        <v/>
      </c>
      <c r="L252" s="21" t="str">
        <f aca="false">IF(J252="",IF(B252="","",IF(N(C252)&gt;=0,"Income","Expense")),IFERROR(INDEX(Lists!$B$2:$B$30,MATCH(J252,Lists!$A$2:$A$30,0)),""))</f>
        <v/>
      </c>
      <c r="M252" s="24"/>
      <c r="N252" s="27" t="str">
        <f aca="false">IF(B252="","",IFERROR(1000-SUMPRODUCT(MAX(ISNUMBER(SEARCH(Rules!$A$5:$A$204,B252))*(Rules!$A$5:$A$204&lt;&gt;"")*(1000-ROW(Rules!$A$5:$A$204)))),""))</f>
        <v/>
      </c>
    </row>
    <row r="253" customFormat="false" ht="15" hidden="false" customHeight="false" outlineLevel="0" collapsed="false">
      <c r="A253" s="23"/>
      <c r="B253" s="24"/>
      <c r="C253" s="25"/>
      <c r="D253" s="24"/>
      <c r="E253" s="21" t="str">
        <f aca="false">IF(OR(B253="",N(N253)=0,N253=1000),IF(B253="","","Check"),INDEX(Rules!$B:$B,N253))</f>
        <v/>
      </c>
      <c r="F253" s="21" t="str">
        <f aca="false">IF(OR(B253="",N(N253)=0,N253=1000),"",INDEX(Rules!$C:$C,N253))</f>
        <v/>
      </c>
      <c r="G253" s="24"/>
      <c r="H253" s="24"/>
      <c r="I253" s="20" t="str">
        <f aca="false">IF(B253="","",IF(G253&lt;&gt;"",G253,E253))</f>
        <v/>
      </c>
      <c r="J253" s="21" t="str">
        <f aca="false">IF(B253="","",IF(H253&lt;&gt;"",H253,F253))</f>
        <v/>
      </c>
      <c r="K253" s="26" t="str">
        <f aca="false">IF(A253="","",DATE(YEAR(A253),MONTH(A253),1))</f>
        <v/>
      </c>
      <c r="L253" s="21" t="str">
        <f aca="false">IF(J253="",IF(B253="","",IF(N(C253)&gt;=0,"Income","Expense")),IFERROR(INDEX(Lists!$B$2:$B$30,MATCH(J253,Lists!$A$2:$A$30,0)),""))</f>
        <v/>
      </c>
      <c r="M253" s="24"/>
      <c r="N253" s="27" t="str">
        <f aca="false">IF(B253="","",IFERROR(1000-SUMPRODUCT(MAX(ISNUMBER(SEARCH(Rules!$A$5:$A$204,B253))*(Rules!$A$5:$A$204&lt;&gt;"")*(1000-ROW(Rules!$A$5:$A$204)))),""))</f>
        <v/>
      </c>
    </row>
    <row r="254" customFormat="false" ht="15" hidden="false" customHeight="false" outlineLevel="0" collapsed="false">
      <c r="A254" s="23"/>
      <c r="B254" s="24"/>
      <c r="C254" s="25"/>
      <c r="D254" s="24"/>
      <c r="E254" s="21" t="str">
        <f aca="false">IF(OR(B254="",N(N254)=0,N254=1000),IF(B254="","","Check"),INDEX(Rules!$B:$B,N254))</f>
        <v/>
      </c>
      <c r="F254" s="21" t="str">
        <f aca="false">IF(OR(B254="",N(N254)=0,N254=1000),"",INDEX(Rules!$C:$C,N254))</f>
        <v/>
      </c>
      <c r="G254" s="24"/>
      <c r="H254" s="24"/>
      <c r="I254" s="20" t="str">
        <f aca="false">IF(B254="","",IF(G254&lt;&gt;"",G254,E254))</f>
        <v/>
      </c>
      <c r="J254" s="21" t="str">
        <f aca="false">IF(B254="","",IF(H254&lt;&gt;"",H254,F254))</f>
        <v/>
      </c>
      <c r="K254" s="26" t="str">
        <f aca="false">IF(A254="","",DATE(YEAR(A254),MONTH(A254),1))</f>
        <v/>
      </c>
      <c r="L254" s="21" t="str">
        <f aca="false">IF(J254="",IF(B254="","",IF(N(C254)&gt;=0,"Income","Expense")),IFERROR(INDEX(Lists!$B$2:$B$30,MATCH(J254,Lists!$A$2:$A$30,0)),""))</f>
        <v/>
      </c>
      <c r="M254" s="24"/>
      <c r="N254" s="27" t="str">
        <f aca="false">IF(B254="","",IFERROR(1000-SUMPRODUCT(MAX(ISNUMBER(SEARCH(Rules!$A$5:$A$204,B254))*(Rules!$A$5:$A$204&lt;&gt;"")*(1000-ROW(Rules!$A$5:$A$204)))),""))</f>
        <v/>
      </c>
    </row>
    <row r="255" customFormat="false" ht="15" hidden="false" customHeight="false" outlineLevel="0" collapsed="false">
      <c r="A255" s="23"/>
      <c r="B255" s="24"/>
      <c r="C255" s="25"/>
      <c r="D255" s="24"/>
      <c r="E255" s="21" t="str">
        <f aca="false">IF(OR(B255="",N(N255)=0,N255=1000),IF(B255="","","Check"),INDEX(Rules!$B:$B,N255))</f>
        <v/>
      </c>
      <c r="F255" s="21" t="str">
        <f aca="false">IF(OR(B255="",N(N255)=0,N255=1000),"",INDEX(Rules!$C:$C,N255))</f>
        <v/>
      </c>
      <c r="G255" s="24"/>
      <c r="H255" s="24"/>
      <c r="I255" s="20" t="str">
        <f aca="false">IF(B255="","",IF(G255&lt;&gt;"",G255,E255))</f>
        <v/>
      </c>
      <c r="J255" s="21" t="str">
        <f aca="false">IF(B255="","",IF(H255&lt;&gt;"",H255,F255))</f>
        <v/>
      </c>
      <c r="K255" s="26" t="str">
        <f aca="false">IF(A255="","",DATE(YEAR(A255),MONTH(A255),1))</f>
        <v/>
      </c>
      <c r="L255" s="21" t="str">
        <f aca="false">IF(J255="",IF(B255="","",IF(N(C255)&gt;=0,"Income","Expense")),IFERROR(INDEX(Lists!$B$2:$B$30,MATCH(J255,Lists!$A$2:$A$30,0)),""))</f>
        <v/>
      </c>
      <c r="M255" s="24"/>
      <c r="N255" s="27" t="str">
        <f aca="false">IF(B255="","",IFERROR(1000-SUMPRODUCT(MAX(ISNUMBER(SEARCH(Rules!$A$5:$A$204,B255))*(Rules!$A$5:$A$204&lt;&gt;"")*(1000-ROW(Rules!$A$5:$A$204)))),""))</f>
        <v/>
      </c>
    </row>
    <row r="256" customFormat="false" ht="15" hidden="false" customHeight="false" outlineLevel="0" collapsed="false">
      <c r="A256" s="23"/>
      <c r="B256" s="24"/>
      <c r="C256" s="25"/>
      <c r="D256" s="24"/>
      <c r="E256" s="21" t="str">
        <f aca="false">IF(OR(B256="",N(N256)=0,N256=1000),IF(B256="","","Check"),INDEX(Rules!$B:$B,N256))</f>
        <v/>
      </c>
      <c r="F256" s="21" t="str">
        <f aca="false">IF(OR(B256="",N(N256)=0,N256=1000),"",INDEX(Rules!$C:$C,N256))</f>
        <v/>
      </c>
      <c r="G256" s="24"/>
      <c r="H256" s="24"/>
      <c r="I256" s="20" t="str">
        <f aca="false">IF(B256="","",IF(G256&lt;&gt;"",G256,E256))</f>
        <v/>
      </c>
      <c r="J256" s="21" t="str">
        <f aca="false">IF(B256="","",IF(H256&lt;&gt;"",H256,F256))</f>
        <v/>
      </c>
      <c r="K256" s="26" t="str">
        <f aca="false">IF(A256="","",DATE(YEAR(A256),MONTH(A256),1))</f>
        <v/>
      </c>
      <c r="L256" s="21" t="str">
        <f aca="false">IF(J256="",IF(B256="","",IF(N(C256)&gt;=0,"Income","Expense")),IFERROR(INDEX(Lists!$B$2:$B$30,MATCH(J256,Lists!$A$2:$A$30,0)),""))</f>
        <v/>
      </c>
      <c r="M256" s="24"/>
      <c r="N256" s="27" t="str">
        <f aca="false">IF(B256="","",IFERROR(1000-SUMPRODUCT(MAX(ISNUMBER(SEARCH(Rules!$A$5:$A$204,B256))*(Rules!$A$5:$A$204&lt;&gt;"")*(1000-ROW(Rules!$A$5:$A$204)))),""))</f>
        <v/>
      </c>
    </row>
    <row r="257" customFormat="false" ht="15" hidden="false" customHeight="false" outlineLevel="0" collapsed="false">
      <c r="A257" s="23"/>
      <c r="B257" s="24"/>
      <c r="C257" s="25"/>
      <c r="D257" s="24"/>
      <c r="E257" s="21" t="str">
        <f aca="false">IF(OR(B257="",N(N257)=0,N257=1000),IF(B257="","","Check"),INDEX(Rules!$B:$B,N257))</f>
        <v/>
      </c>
      <c r="F257" s="21" t="str">
        <f aca="false">IF(OR(B257="",N(N257)=0,N257=1000),"",INDEX(Rules!$C:$C,N257))</f>
        <v/>
      </c>
      <c r="G257" s="24"/>
      <c r="H257" s="24"/>
      <c r="I257" s="20" t="str">
        <f aca="false">IF(B257="","",IF(G257&lt;&gt;"",G257,E257))</f>
        <v/>
      </c>
      <c r="J257" s="21" t="str">
        <f aca="false">IF(B257="","",IF(H257&lt;&gt;"",H257,F257))</f>
        <v/>
      </c>
      <c r="K257" s="26" t="str">
        <f aca="false">IF(A257="","",DATE(YEAR(A257),MONTH(A257),1))</f>
        <v/>
      </c>
      <c r="L257" s="21" t="str">
        <f aca="false">IF(J257="",IF(B257="","",IF(N(C257)&gt;=0,"Income","Expense")),IFERROR(INDEX(Lists!$B$2:$B$30,MATCH(J257,Lists!$A$2:$A$30,0)),""))</f>
        <v/>
      </c>
      <c r="M257" s="24"/>
      <c r="N257" s="27" t="str">
        <f aca="false">IF(B257="","",IFERROR(1000-SUMPRODUCT(MAX(ISNUMBER(SEARCH(Rules!$A$5:$A$204,B257))*(Rules!$A$5:$A$204&lt;&gt;"")*(1000-ROW(Rules!$A$5:$A$204)))),""))</f>
        <v/>
      </c>
    </row>
    <row r="258" customFormat="false" ht="15" hidden="false" customHeight="false" outlineLevel="0" collapsed="false">
      <c r="A258" s="23"/>
      <c r="B258" s="24"/>
      <c r="C258" s="25"/>
      <c r="D258" s="24"/>
      <c r="E258" s="21" t="str">
        <f aca="false">IF(OR(B258="",N(N258)=0,N258=1000),IF(B258="","","Check"),INDEX(Rules!$B:$B,N258))</f>
        <v/>
      </c>
      <c r="F258" s="21" t="str">
        <f aca="false">IF(OR(B258="",N(N258)=0,N258=1000),"",INDEX(Rules!$C:$C,N258))</f>
        <v/>
      </c>
      <c r="G258" s="24"/>
      <c r="H258" s="24"/>
      <c r="I258" s="20" t="str">
        <f aca="false">IF(B258="","",IF(G258&lt;&gt;"",G258,E258))</f>
        <v/>
      </c>
      <c r="J258" s="21" t="str">
        <f aca="false">IF(B258="","",IF(H258&lt;&gt;"",H258,F258))</f>
        <v/>
      </c>
      <c r="K258" s="26" t="str">
        <f aca="false">IF(A258="","",DATE(YEAR(A258),MONTH(A258),1))</f>
        <v/>
      </c>
      <c r="L258" s="21" t="str">
        <f aca="false">IF(J258="",IF(B258="","",IF(N(C258)&gt;=0,"Income","Expense")),IFERROR(INDEX(Lists!$B$2:$B$30,MATCH(J258,Lists!$A$2:$A$30,0)),""))</f>
        <v/>
      </c>
      <c r="M258" s="24"/>
      <c r="N258" s="27" t="str">
        <f aca="false">IF(B258="","",IFERROR(1000-SUMPRODUCT(MAX(ISNUMBER(SEARCH(Rules!$A$5:$A$204,B258))*(Rules!$A$5:$A$204&lt;&gt;"")*(1000-ROW(Rules!$A$5:$A$204)))),""))</f>
        <v/>
      </c>
    </row>
    <row r="259" customFormat="false" ht="15" hidden="false" customHeight="false" outlineLevel="0" collapsed="false">
      <c r="A259" s="23"/>
      <c r="B259" s="24"/>
      <c r="C259" s="25"/>
      <c r="D259" s="24"/>
      <c r="E259" s="21" t="str">
        <f aca="false">IF(OR(B259="",N(N259)=0,N259=1000),IF(B259="","","Check"),INDEX(Rules!$B:$B,N259))</f>
        <v/>
      </c>
      <c r="F259" s="21" t="str">
        <f aca="false">IF(OR(B259="",N(N259)=0,N259=1000),"",INDEX(Rules!$C:$C,N259))</f>
        <v/>
      </c>
      <c r="G259" s="24"/>
      <c r="H259" s="24"/>
      <c r="I259" s="20" t="str">
        <f aca="false">IF(B259="","",IF(G259&lt;&gt;"",G259,E259))</f>
        <v/>
      </c>
      <c r="J259" s="21" t="str">
        <f aca="false">IF(B259="","",IF(H259&lt;&gt;"",H259,F259))</f>
        <v/>
      </c>
      <c r="K259" s="26" t="str">
        <f aca="false">IF(A259="","",DATE(YEAR(A259),MONTH(A259),1))</f>
        <v/>
      </c>
      <c r="L259" s="21" t="str">
        <f aca="false">IF(J259="",IF(B259="","",IF(N(C259)&gt;=0,"Income","Expense")),IFERROR(INDEX(Lists!$B$2:$B$30,MATCH(J259,Lists!$A$2:$A$30,0)),""))</f>
        <v/>
      </c>
      <c r="M259" s="24"/>
      <c r="N259" s="27" t="str">
        <f aca="false">IF(B259="","",IFERROR(1000-SUMPRODUCT(MAX(ISNUMBER(SEARCH(Rules!$A$5:$A$204,B259))*(Rules!$A$5:$A$204&lt;&gt;"")*(1000-ROW(Rules!$A$5:$A$204)))),""))</f>
        <v/>
      </c>
    </row>
    <row r="260" customFormat="false" ht="15" hidden="false" customHeight="false" outlineLevel="0" collapsed="false">
      <c r="A260" s="23"/>
      <c r="B260" s="24"/>
      <c r="C260" s="25"/>
      <c r="D260" s="24"/>
      <c r="E260" s="21" t="str">
        <f aca="false">IF(OR(B260="",N(N260)=0,N260=1000),IF(B260="","","Check"),INDEX(Rules!$B:$B,N260))</f>
        <v/>
      </c>
      <c r="F260" s="21" t="str">
        <f aca="false">IF(OR(B260="",N(N260)=0,N260=1000),"",INDEX(Rules!$C:$C,N260))</f>
        <v/>
      </c>
      <c r="G260" s="24"/>
      <c r="H260" s="24"/>
      <c r="I260" s="20" t="str">
        <f aca="false">IF(B260="","",IF(G260&lt;&gt;"",G260,E260))</f>
        <v/>
      </c>
      <c r="J260" s="21" t="str">
        <f aca="false">IF(B260="","",IF(H260&lt;&gt;"",H260,F260))</f>
        <v/>
      </c>
      <c r="K260" s="26" t="str">
        <f aca="false">IF(A260="","",DATE(YEAR(A260),MONTH(A260),1))</f>
        <v/>
      </c>
      <c r="L260" s="21" t="str">
        <f aca="false">IF(J260="",IF(B260="","",IF(N(C260)&gt;=0,"Income","Expense")),IFERROR(INDEX(Lists!$B$2:$B$30,MATCH(J260,Lists!$A$2:$A$30,0)),""))</f>
        <v/>
      </c>
      <c r="M260" s="24"/>
      <c r="N260" s="27" t="str">
        <f aca="false">IF(B260="","",IFERROR(1000-SUMPRODUCT(MAX(ISNUMBER(SEARCH(Rules!$A$5:$A$204,B260))*(Rules!$A$5:$A$204&lt;&gt;"")*(1000-ROW(Rules!$A$5:$A$204)))),""))</f>
        <v/>
      </c>
    </row>
    <row r="261" customFormat="false" ht="15" hidden="false" customHeight="false" outlineLevel="0" collapsed="false">
      <c r="A261" s="23"/>
      <c r="B261" s="24"/>
      <c r="C261" s="25"/>
      <c r="D261" s="24"/>
      <c r="E261" s="21" t="str">
        <f aca="false">IF(OR(B261="",N(N261)=0,N261=1000),IF(B261="","","Check"),INDEX(Rules!$B:$B,N261))</f>
        <v/>
      </c>
      <c r="F261" s="21" t="str">
        <f aca="false">IF(OR(B261="",N(N261)=0,N261=1000),"",INDEX(Rules!$C:$C,N261))</f>
        <v/>
      </c>
      <c r="G261" s="24"/>
      <c r="H261" s="24"/>
      <c r="I261" s="20" t="str">
        <f aca="false">IF(B261="","",IF(G261&lt;&gt;"",G261,E261))</f>
        <v/>
      </c>
      <c r="J261" s="21" t="str">
        <f aca="false">IF(B261="","",IF(H261&lt;&gt;"",H261,F261))</f>
        <v/>
      </c>
      <c r="K261" s="26" t="str">
        <f aca="false">IF(A261="","",DATE(YEAR(A261),MONTH(A261),1))</f>
        <v/>
      </c>
      <c r="L261" s="21" t="str">
        <f aca="false">IF(J261="",IF(B261="","",IF(N(C261)&gt;=0,"Income","Expense")),IFERROR(INDEX(Lists!$B$2:$B$30,MATCH(J261,Lists!$A$2:$A$30,0)),""))</f>
        <v/>
      </c>
      <c r="M261" s="24"/>
      <c r="N261" s="27" t="str">
        <f aca="false">IF(B261="","",IFERROR(1000-SUMPRODUCT(MAX(ISNUMBER(SEARCH(Rules!$A$5:$A$204,B261))*(Rules!$A$5:$A$204&lt;&gt;"")*(1000-ROW(Rules!$A$5:$A$204)))),""))</f>
        <v/>
      </c>
    </row>
    <row r="262" customFormat="false" ht="15" hidden="false" customHeight="false" outlineLevel="0" collapsed="false">
      <c r="A262" s="23"/>
      <c r="B262" s="24"/>
      <c r="C262" s="25"/>
      <c r="D262" s="24"/>
      <c r="E262" s="21" t="str">
        <f aca="false">IF(OR(B262="",N(N262)=0,N262=1000),IF(B262="","","Check"),INDEX(Rules!$B:$B,N262))</f>
        <v/>
      </c>
      <c r="F262" s="21" t="str">
        <f aca="false">IF(OR(B262="",N(N262)=0,N262=1000),"",INDEX(Rules!$C:$C,N262))</f>
        <v/>
      </c>
      <c r="G262" s="24"/>
      <c r="H262" s="24"/>
      <c r="I262" s="20" t="str">
        <f aca="false">IF(B262="","",IF(G262&lt;&gt;"",G262,E262))</f>
        <v/>
      </c>
      <c r="J262" s="21" t="str">
        <f aca="false">IF(B262="","",IF(H262&lt;&gt;"",H262,F262))</f>
        <v/>
      </c>
      <c r="K262" s="26" t="str">
        <f aca="false">IF(A262="","",DATE(YEAR(A262),MONTH(A262),1))</f>
        <v/>
      </c>
      <c r="L262" s="21" t="str">
        <f aca="false">IF(J262="",IF(B262="","",IF(N(C262)&gt;=0,"Income","Expense")),IFERROR(INDEX(Lists!$B$2:$B$30,MATCH(J262,Lists!$A$2:$A$30,0)),""))</f>
        <v/>
      </c>
      <c r="M262" s="24"/>
      <c r="N262" s="27" t="str">
        <f aca="false">IF(B262="","",IFERROR(1000-SUMPRODUCT(MAX(ISNUMBER(SEARCH(Rules!$A$5:$A$204,B262))*(Rules!$A$5:$A$204&lt;&gt;"")*(1000-ROW(Rules!$A$5:$A$204)))),""))</f>
        <v/>
      </c>
    </row>
    <row r="263" customFormat="false" ht="15" hidden="false" customHeight="false" outlineLevel="0" collapsed="false">
      <c r="A263" s="23"/>
      <c r="B263" s="24"/>
      <c r="C263" s="25"/>
      <c r="D263" s="24"/>
      <c r="E263" s="21" t="str">
        <f aca="false">IF(OR(B263="",N(N263)=0,N263=1000),IF(B263="","","Check"),INDEX(Rules!$B:$B,N263))</f>
        <v/>
      </c>
      <c r="F263" s="21" t="str">
        <f aca="false">IF(OR(B263="",N(N263)=0,N263=1000),"",INDEX(Rules!$C:$C,N263))</f>
        <v/>
      </c>
      <c r="G263" s="24"/>
      <c r="H263" s="24"/>
      <c r="I263" s="20" t="str">
        <f aca="false">IF(B263="","",IF(G263&lt;&gt;"",G263,E263))</f>
        <v/>
      </c>
      <c r="J263" s="21" t="str">
        <f aca="false">IF(B263="","",IF(H263&lt;&gt;"",H263,F263))</f>
        <v/>
      </c>
      <c r="K263" s="26" t="str">
        <f aca="false">IF(A263="","",DATE(YEAR(A263),MONTH(A263),1))</f>
        <v/>
      </c>
      <c r="L263" s="21" t="str">
        <f aca="false">IF(J263="",IF(B263="","",IF(N(C263)&gt;=0,"Income","Expense")),IFERROR(INDEX(Lists!$B$2:$B$30,MATCH(J263,Lists!$A$2:$A$30,0)),""))</f>
        <v/>
      </c>
      <c r="M263" s="24"/>
      <c r="N263" s="27" t="str">
        <f aca="false">IF(B263="","",IFERROR(1000-SUMPRODUCT(MAX(ISNUMBER(SEARCH(Rules!$A$5:$A$204,B263))*(Rules!$A$5:$A$204&lt;&gt;"")*(1000-ROW(Rules!$A$5:$A$204)))),""))</f>
        <v/>
      </c>
    </row>
    <row r="264" customFormat="false" ht="15" hidden="false" customHeight="false" outlineLevel="0" collapsed="false">
      <c r="A264" s="23"/>
      <c r="B264" s="24"/>
      <c r="C264" s="25"/>
      <c r="D264" s="24"/>
      <c r="E264" s="21" t="str">
        <f aca="false">IF(OR(B264="",N(N264)=0,N264=1000),IF(B264="","","Check"),INDEX(Rules!$B:$B,N264))</f>
        <v/>
      </c>
      <c r="F264" s="21" t="str">
        <f aca="false">IF(OR(B264="",N(N264)=0,N264=1000),"",INDEX(Rules!$C:$C,N264))</f>
        <v/>
      </c>
      <c r="G264" s="24"/>
      <c r="H264" s="24"/>
      <c r="I264" s="20" t="str">
        <f aca="false">IF(B264="","",IF(G264&lt;&gt;"",G264,E264))</f>
        <v/>
      </c>
      <c r="J264" s="21" t="str">
        <f aca="false">IF(B264="","",IF(H264&lt;&gt;"",H264,F264))</f>
        <v/>
      </c>
      <c r="K264" s="26" t="str">
        <f aca="false">IF(A264="","",DATE(YEAR(A264),MONTH(A264),1))</f>
        <v/>
      </c>
      <c r="L264" s="21" t="str">
        <f aca="false">IF(J264="",IF(B264="","",IF(N(C264)&gt;=0,"Income","Expense")),IFERROR(INDEX(Lists!$B$2:$B$30,MATCH(J264,Lists!$A$2:$A$30,0)),""))</f>
        <v/>
      </c>
      <c r="M264" s="24"/>
      <c r="N264" s="27" t="str">
        <f aca="false">IF(B264="","",IFERROR(1000-SUMPRODUCT(MAX(ISNUMBER(SEARCH(Rules!$A$5:$A$204,B264))*(Rules!$A$5:$A$204&lt;&gt;"")*(1000-ROW(Rules!$A$5:$A$204)))),""))</f>
        <v/>
      </c>
    </row>
    <row r="265" customFormat="false" ht="15" hidden="false" customHeight="false" outlineLevel="0" collapsed="false">
      <c r="A265" s="23"/>
      <c r="B265" s="24"/>
      <c r="C265" s="25"/>
      <c r="D265" s="24"/>
      <c r="E265" s="21" t="str">
        <f aca="false">IF(OR(B265="",N(N265)=0,N265=1000),IF(B265="","","Check"),INDEX(Rules!$B:$B,N265))</f>
        <v/>
      </c>
      <c r="F265" s="21" t="str">
        <f aca="false">IF(OR(B265="",N(N265)=0,N265=1000),"",INDEX(Rules!$C:$C,N265))</f>
        <v/>
      </c>
      <c r="G265" s="24"/>
      <c r="H265" s="24"/>
      <c r="I265" s="20" t="str">
        <f aca="false">IF(B265="","",IF(G265&lt;&gt;"",G265,E265))</f>
        <v/>
      </c>
      <c r="J265" s="21" t="str">
        <f aca="false">IF(B265="","",IF(H265&lt;&gt;"",H265,F265))</f>
        <v/>
      </c>
      <c r="K265" s="26" t="str">
        <f aca="false">IF(A265="","",DATE(YEAR(A265),MONTH(A265),1))</f>
        <v/>
      </c>
      <c r="L265" s="21" t="str">
        <f aca="false">IF(J265="",IF(B265="","",IF(N(C265)&gt;=0,"Income","Expense")),IFERROR(INDEX(Lists!$B$2:$B$30,MATCH(J265,Lists!$A$2:$A$30,0)),""))</f>
        <v/>
      </c>
      <c r="M265" s="24"/>
      <c r="N265" s="27" t="str">
        <f aca="false">IF(B265="","",IFERROR(1000-SUMPRODUCT(MAX(ISNUMBER(SEARCH(Rules!$A$5:$A$204,B265))*(Rules!$A$5:$A$204&lt;&gt;"")*(1000-ROW(Rules!$A$5:$A$204)))),""))</f>
        <v/>
      </c>
    </row>
    <row r="266" customFormat="false" ht="15" hidden="false" customHeight="false" outlineLevel="0" collapsed="false">
      <c r="A266" s="23"/>
      <c r="B266" s="24"/>
      <c r="C266" s="25"/>
      <c r="D266" s="24"/>
      <c r="E266" s="21" t="str">
        <f aca="false">IF(OR(B266="",N(N266)=0,N266=1000),IF(B266="","","Check"),INDEX(Rules!$B:$B,N266))</f>
        <v/>
      </c>
      <c r="F266" s="21" t="str">
        <f aca="false">IF(OR(B266="",N(N266)=0,N266=1000),"",INDEX(Rules!$C:$C,N266))</f>
        <v/>
      </c>
      <c r="G266" s="24"/>
      <c r="H266" s="24"/>
      <c r="I266" s="20" t="str">
        <f aca="false">IF(B266="","",IF(G266&lt;&gt;"",G266,E266))</f>
        <v/>
      </c>
      <c r="J266" s="21" t="str">
        <f aca="false">IF(B266="","",IF(H266&lt;&gt;"",H266,F266))</f>
        <v/>
      </c>
      <c r="K266" s="26" t="str">
        <f aca="false">IF(A266="","",DATE(YEAR(A266),MONTH(A266),1))</f>
        <v/>
      </c>
      <c r="L266" s="21" t="str">
        <f aca="false">IF(J266="",IF(B266="","",IF(N(C266)&gt;=0,"Income","Expense")),IFERROR(INDEX(Lists!$B$2:$B$30,MATCH(J266,Lists!$A$2:$A$30,0)),""))</f>
        <v/>
      </c>
      <c r="M266" s="24"/>
      <c r="N266" s="27" t="str">
        <f aca="false">IF(B266="","",IFERROR(1000-SUMPRODUCT(MAX(ISNUMBER(SEARCH(Rules!$A$5:$A$204,B266))*(Rules!$A$5:$A$204&lt;&gt;"")*(1000-ROW(Rules!$A$5:$A$204)))),""))</f>
        <v/>
      </c>
    </row>
    <row r="267" customFormat="false" ht="15" hidden="false" customHeight="false" outlineLevel="0" collapsed="false">
      <c r="A267" s="23"/>
      <c r="B267" s="24"/>
      <c r="C267" s="25"/>
      <c r="D267" s="24"/>
      <c r="E267" s="21" t="str">
        <f aca="false">IF(OR(B267="",N(N267)=0,N267=1000),IF(B267="","","Check"),INDEX(Rules!$B:$B,N267))</f>
        <v/>
      </c>
      <c r="F267" s="21" t="str">
        <f aca="false">IF(OR(B267="",N(N267)=0,N267=1000),"",INDEX(Rules!$C:$C,N267))</f>
        <v/>
      </c>
      <c r="G267" s="24"/>
      <c r="H267" s="24"/>
      <c r="I267" s="20" t="str">
        <f aca="false">IF(B267="","",IF(G267&lt;&gt;"",G267,E267))</f>
        <v/>
      </c>
      <c r="J267" s="21" t="str">
        <f aca="false">IF(B267="","",IF(H267&lt;&gt;"",H267,F267))</f>
        <v/>
      </c>
      <c r="K267" s="26" t="str">
        <f aca="false">IF(A267="","",DATE(YEAR(A267),MONTH(A267),1))</f>
        <v/>
      </c>
      <c r="L267" s="21" t="str">
        <f aca="false">IF(J267="",IF(B267="","",IF(N(C267)&gt;=0,"Income","Expense")),IFERROR(INDEX(Lists!$B$2:$B$30,MATCH(J267,Lists!$A$2:$A$30,0)),""))</f>
        <v/>
      </c>
      <c r="M267" s="24"/>
      <c r="N267" s="27" t="str">
        <f aca="false">IF(B267="","",IFERROR(1000-SUMPRODUCT(MAX(ISNUMBER(SEARCH(Rules!$A$5:$A$204,B267))*(Rules!$A$5:$A$204&lt;&gt;"")*(1000-ROW(Rules!$A$5:$A$204)))),""))</f>
        <v/>
      </c>
    </row>
    <row r="268" customFormat="false" ht="15" hidden="false" customHeight="false" outlineLevel="0" collapsed="false">
      <c r="A268" s="23"/>
      <c r="B268" s="24"/>
      <c r="C268" s="25"/>
      <c r="D268" s="24"/>
      <c r="E268" s="21" t="str">
        <f aca="false">IF(OR(B268="",N(N268)=0,N268=1000),IF(B268="","","Check"),INDEX(Rules!$B:$B,N268))</f>
        <v/>
      </c>
      <c r="F268" s="21" t="str">
        <f aca="false">IF(OR(B268="",N(N268)=0,N268=1000),"",INDEX(Rules!$C:$C,N268))</f>
        <v/>
      </c>
      <c r="G268" s="24"/>
      <c r="H268" s="24"/>
      <c r="I268" s="20" t="str">
        <f aca="false">IF(B268="","",IF(G268&lt;&gt;"",G268,E268))</f>
        <v/>
      </c>
      <c r="J268" s="21" t="str">
        <f aca="false">IF(B268="","",IF(H268&lt;&gt;"",H268,F268))</f>
        <v/>
      </c>
      <c r="K268" s="26" t="str">
        <f aca="false">IF(A268="","",DATE(YEAR(A268),MONTH(A268),1))</f>
        <v/>
      </c>
      <c r="L268" s="21" t="str">
        <f aca="false">IF(J268="",IF(B268="","",IF(N(C268)&gt;=0,"Income","Expense")),IFERROR(INDEX(Lists!$B$2:$B$30,MATCH(J268,Lists!$A$2:$A$30,0)),""))</f>
        <v/>
      </c>
      <c r="M268" s="24"/>
      <c r="N268" s="27" t="str">
        <f aca="false">IF(B268="","",IFERROR(1000-SUMPRODUCT(MAX(ISNUMBER(SEARCH(Rules!$A$5:$A$204,B268))*(Rules!$A$5:$A$204&lt;&gt;"")*(1000-ROW(Rules!$A$5:$A$204)))),""))</f>
        <v/>
      </c>
    </row>
    <row r="269" customFormat="false" ht="15" hidden="false" customHeight="false" outlineLevel="0" collapsed="false">
      <c r="A269" s="23"/>
      <c r="B269" s="24"/>
      <c r="C269" s="25"/>
      <c r="D269" s="24"/>
      <c r="E269" s="21" t="str">
        <f aca="false">IF(OR(B269="",N(N269)=0,N269=1000),IF(B269="","","Check"),INDEX(Rules!$B:$B,N269))</f>
        <v/>
      </c>
      <c r="F269" s="21" t="str">
        <f aca="false">IF(OR(B269="",N(N269)=0,N269=1000),"",INDEX(Rules!$C:$C,N269))</f>
        <v/>
      </c>
      <c r="G269" s="24"/>
      <c r="H269" s="24"/>
      <c r="I269" s="20" t="str">
        <f aca="false">IF(B269="","",IF(G269&lt;&gt;"",G269,E269))</f>
        <v/>
      </c>
      <c r="J269" s="21" t="str">
        <f aca="false">IF(B269="","",IF(H269&lt;&gt;"",H269,F269))</f>
        <v/>
      </c>
      <c r="K269" s="26" t="str">
        <f aca="false">IF(A269="","",DATE(YEAR(A269),MONTH(A269),1))</f>
        <v/>
      </c>
      <c r="L269" s="21" t="str">
        <f aca="false">IF(J269="",IF(B269="","",IF(N(C269)&gt;=0,"Income","Expense")),IFERROR(INDEX(Lists!$B$2:$B$30,MATCH(J269,Lists!$A$2:$A$30,0)),""))</f>
        <v/>
      </c>
      <c r="M269" s="24"/>
      <c r="N269" s="27" t="str">
        <f aca="false">IF(B269="","",IFERROR(1000-SUMPRODUCT(MAX(ISNUMBER(SEARCH(Rules!$A$5:$A$204,B269))*(Rules!$A$5:$A$204&lt;&gt;"")*(1000-ROW(Rules!$A$5:$A$204)))),""))</f>
        <v/>
      </c>
    </row>
    <row r="270" customFormat="false" ht="15" hidden="false" customHeight="false" outlineLevel="0" collapsed="false">
      <c r="A270" s="23"/>
      <c r="B270" s="24"/>
      <c r="C270" s="25"/>
      <c r="D270" s="24"/>
      <c r="E270" s="21" t="str">
        <f aca="false">IF(OR(B270="",N(N270)=0,N270=1000),IF(B270="","","Check"),INDEX(Rules!$B:$B,N270))</f>
        <v/>
      </c>
      <c r="F270" s="21" t="str">
        <f aca="false">IF(OR(B270="",N(N270)=0,N270=1000),"",INDEX(Rules!$C:$C,N270))</f>
        <v/>
      </c>
      <c r="G270" s="24"/>
      <c r="H270" s="24"/>
      <c r="I270" s="20" t="str">
        <f aca="false">IF(B270="","",IF(G270&lt;&gt;"",G270,E270))</f>
        <v/>
      </c>
      <c r="J270" s="21" t="str">
        <f aca="false">IF(B270="","",IF(H270&lt;&gt;"",H270,F270))</f>
        <v/>
      </c>
      <c r="K270" s="26" t="str">
        <f aca="false">IF(A270="","",DATE(YEAR(A270),MONTH(A270),1))</f>
        <v/>
      </c>
      <c r="L270" s="21" t="str">
        <f aca="false">IF(J270="",IF(B270="","",IF(N(C270)&gt;=0,"Income","Expense")),IFERROR(INDEX(Lists!$B$2:$B$30,MATCH(J270,Lists!$A$2:$A$30,0)),""))</f>
        <v/>
      </c>
      <c r="M270" s="24"/>
      <c r="N270" s="27" t="str">
        <f aca="false">IF(B270="","",IFERROR(1000-SUMPRODUCT(MAX(ISNUMBER(SEARCH(Rules!$A$5:$A$204,B270))*(Rules!$A$5:$A$204&lt;&gt;"")*(1000-ROW(Rules!$A$5:$A$204)))),""))</f>
        <v/>
      </c>
    </row>
    <row r="271" customFormat="false" ht="15" hidden="false" customHeight="false" outlineLevel="0" collapsed="false">
      <c r="A271" s="23"/>
      <c r="B271" s="24"/>
      <c r="C271" s="25"/>
      <c r="D271" s="24"/>
      <c r="E271" s="21" t="str">
        <f aca="false">IF(OR(B271="",N(N271)=0,N271=1000),IF(B271="","","Check"),INDEX(Rules!$B:$B,N271))</f>
        <v/>
      </c>
      <c r="F271" s="21" t="str">
        <f aca="false">IF(OR(B271="",N(N271)=0,N271=1000),"",INDEX(Rules!$C:$C,N271))</f>
        <v/>
      </c>
      <c r="G271" s="24"/>
      <c r="H271" s="24"/>
      <c r="I271" s="20" t="str">
        <f aca="false">IF(B271="","",IF(G271&lt;&gt;"",G271,E271))</f>
        <v/>
      </c>
      <c r="J271" s="21" t="str">
        <f aca="false">IF(B271="","",IF(H271&lt;&gt;"",H271,F271))</f>
        <v/>
      </c>
      <c r="K271" s="26" t="str">
        <f aca="false">IF(A271="","",DATE(YEAR(A271),MONTH(A271),1))</f>
        <v/>
      </c>
      <c r="L271" s="21" t="str">
        <f aca="false">IF(J271="",IF(B271="","",IF(N(C271)&gt;=0,"Income","Expense")),IFERROR(INDEX(Lists!$B$2:$B$30,MATCH(J271,Lists!$A$2:$A$30,0)),""))</f>
        <v/>
      </c>
      <c r="M271" s="24"/>
      <c r="N271" s="27" t="str">
        <f aca="false">IF(B271="","",IFERROR(1000-SUMPRODUCT(MAX(ISNUMBER(SEARCH(Rules!$A$5:$A$204,B271))*(Rules!$A$5:$A$204&lt;&gt;"")*(1000-ROW(Rules!$A$5:$A$204)))),""))</f>
        <v/>
      </c>
    </row>
    <row r="272" customFormat="false" ht="15" hidden="false" customHeight="false" outlineLevel="0" collapsed="false">
      <c r="A272" s="23"/>
      <c r="B272" s="24"/>
      <c r="C272" s="25"/>
      <c r="D272" s="24"/>
      <c r="E272" s="21" t="str">
        <f aca="false">IF(OR(B272="",N(N272)=0,N272=1000),IF(B272="","","Check"),INDEX(Rules!$B:$B,N272))</f>
        <v/>
      </c>
      <c r="F272" s="21" t="str">
        <f aca="false">IF(OR(B272="",N(N272)=0,N272=1000),"",INDEX(Rules!$C:$C,N272))</f>
        <v/>
      </c>
      <c r="G272" s="24"/>
      <c r="H272" s="24"/>
      <c r="I272" s="20" t="str">
        <f aca="false">IF(B272="","",IF(G272&lt;&gt;"",G272,E272))</f>
        <v/>
      </c>
      <c r="J272" s="21" t="str">
        <f aca="false">IF(B272="","",IF(H272&lt;&gt;"",H272,F272))</f>
        <v/>
      </c>
      <c r="K272" s="26" t="str">
        <f aca="false">IF(A272="","",DATE(YEAR(A272),MONTH(A272),1))</f>
        <v/>
      </c>
      <c r="L272" s="21" t="str">
        <f aca="false">IF(J272="",IF(B272="","",IF(N(C272)&gt;=0,"Income","Expense")),IFERROR(INDEX(Lists!$B$2:$B$30,MATCH(J272,Lists!$A$2:$A$30,0)),""))</f>
        <v/>
      </c>
      <c r="M272" s="24"/>
      <c r="N272" s="27" t="str">
        <f aca="false">IF(B272="","",IFERROR(1000-SUMPRODUCT(MAX(ISNUMBER(SEARCH(Rules!$A$5:$A$204,B272))*(Rules!$A$5:$A$204&lt;&gt;"")*(1000-ROW(Rules!$A$5:$A$204)))),""))</f>
        <v/>
      </c>
    </row>
    <row r="273" customFormat="false" ht="15" hidden="false" customHeight="false" outlineLevel="0" collapsed="false">
      <c r="A273" s="23"/>
      <c r="B273" s="24"/>
      <c r="C273" s="25"/>
      <c r="D273" s="24"/>
      <c r="E273" s="21" t="str">
        <f aca="false">IF(OR(B273="",N(N273)=0,N273=1000),IF(B273="","","Check"),INDEX(Rules!$B:$B,N273))</f>
        <v/>
      </c>
      <c r="F273" s="21" t="str">
        <f aca="false">IF(OR(B273="",N(N273)=0,N273=1000),"",INDEX(Rules!$C:$C,N273))</f>
        <v/>
      </c>
      <c r="G273" s="24"/>
      <c r="H273" s="24"/>
      <c r="I273" s="20" t="str">
        <f aca="false">IF(B273="","",IF(G273&lt;&gt;"",G273,E273))</f>
        <v/>
      </c>
      <c r="J273" s="21" t="str">
        <f aca="false">IF(B273="","",IF(H273&lt;&gt;"",H273,F273))</f>
        <v/>
      </c>
      <c r="K273" s="26" t="str">
        <f aca="false">IF(A273="","",DATE(YEAR(A273),MONTH(A273),1))</f>
        <v/>
      </c>
      <c r="L273" s="21" t="str">
        <f aca="false">IF(J273="",IF(B273="","",IF(N(C273)&gt;=0,"Income","Expense")),IFERROR(INDEX(Lists!$B$2:$B$30,MATCH(J273,Lists!$A$2:$A$30,0)),""))</f>
        <v/>
      </c>
      <c r="M273" s="24"/>
      <c r="N273" s="27" t="str">
        <f aca="false">IF(B273="","",IFERROR(1000-SUMPRODUCT(MAX(ISNUMBER(SEARCH(Rules!$A$5:$A$204,B273))*(Rules!$A$5:$A$204&lt;&gt;"")*(1000-ROW(Rules!$A$5:$A$204)))),""))</f>
        <v/>
      </c>
    </row>
    <row r="274" customFormat="false" ht="15" hidden="false" customHeight="false" outlineLevel="0" collapsed="false">
      <c r="A274" s="23"/>
      <c r="B274" s="24"/>
      <c r="C274" s="25"/>
      <c r="D274" s="24"/>
      <c r="E274" s="21" t="str">
        <f aca="false">IF(OR(B274="",N(N274)=0,N274=1000),IF(B274="","","Check"),INDEX(Rules!$B:$B,N274))</f>
        <v/>
      </c>
      <c r="F274" s="21" t="str">
        <f aca="false">IF(OR(B274="",N(N274)=0,N274=1000),"",INDEX(Rules!$C:$C,N274))</f>
        <v/>
      </c>
      <c r="G274" s="24"/>
      <c r="H274" s="24"/>
      <c r="I274" s="20" t="str">
        <f aca="false">IF(B274="","",IF(G274&lt;&gt;"",G274,E274))</f>
        <v/>
      </c>
      <c r="J274" s="21" t="str">
        <f aca="false">IF(B274="","",IF(H274&lt;&gt;"",H274,F274))</f>
        <v/>
      </c>
      <c r="K274" s="26" t="str">
        <f aca="false">IF(A274="","",DATE(YEAR(A274),MONTH(A274),1))</f>
        <v/>
      </c>
      <c r="L274" s="21" t="str">
        <f aca="false">IF(J274="",IF(B274="","",IF(N(C274)&gt;=0,"Income","Expense")),IFERROR(INDEX(Lists!$B$2:$B$30,MATCH(J274,Lists!$A$2:$A$30,0)),""))</f>
        <v/>
      </c>
      <c r="M274" s="24"/>
      <c r="N274" s="27" t="str">
        <f aca="false">IF(B274="","",IFERROR(1000-SUMPRODUCT(MAX(ISNUMBER(SEARCH(Rules!$A$5:$A$204,B274))*(Rules!$A$5:$A$204&lt;&gt;"")*(1000-ROW(Rules!$A$5:$A$204)))),""))</f>
        <v/>
      </c>
    </row>
    <row r="275" customFormat="false" ht="15" hidden="false" customHeight="false" outlineLevel="0" collapsed="false">
      <c r="A275" s="23"/>
      <c r="B275" s="24"/>
      <c r="C275" s="25"/>
      <c r="D275" s="24"/>
      <c r="E275" s="21" t="str">
        <f aca="false">IF(OR(B275="",N(N275)=0,N275=1000),IF(B275="","","Check"),INDEX(Rules!$B:$B,N275))</f>
        <v/>
      </c>
      <c r="F275" s="21" t="str">
        <f aca="false">IF(OR(B275="",N(N275)=0,N275=1000),"",INDEX(Rules!$C:$C,N275))</f>
        <v/>
      </c>
      <c r="G275" s="24"/>
      <c r="H275" s="24"/>
      <c r="I275" s="20" t="str">
        <f aca="false">IF(B275="","",IF(G275&lt;&gt;"",G275,E275))</f>
        <v/>
      </c>
      <c r="J275" s="21" t="str">
        <f aca="false">IF(B275="","",IF(H275&lt;&gt;"",H275,F275))</f>
        <v/>
      </c>
      <c r="K275" s="26" t="str">
        <f aca="false">IF(A275="","",DATE(YEAR(A275),MONTH(A275),1))</f>
        <v/>
      </c>
      <c r="L275" s="21" t="str">
        <f aca="false">IF(J275="",IF(B275="","",IF(N(C275)&gt;=0,"Income","Expense")),IFERROR(INDEX(Lists!$B$2:$B$30,MATCH(J275,Lists!$A$2:$A$30,0)),""))</f>
        <v/>
      </c>
      <c r="M275" s="24"/>
      <c r="N275" s="27" t="str">
        <f aca="false">IF(B275="","",IFERROR(1000-SUMPRODUCT(MAX(ISNUMBER(SEARCH(Rules!$A$5:$A$204,B275))*(Rules!$A$5:$A$204&lt;&gt;"")*(1000-ROW(Rules!$A$5:$A$204)))),""))</f>
        <v/>
      </c>
    </row>
    <row r="276" customFormat="false" ht="15" hidden="false" customHeight="false" outlineLevel="0" collapsed="false">
      <c r="A276" s="23"/>
      <c r="B276" s="24"/>
      <c r="C276" s="25"/>
      <c r="D276" s="24"/>
      <c r="E276" s="21" t="str">
        <f aca="false">IF(OR(B276="",N(N276)=0,N276=1000),IF(B276="","","Check"),INDEX(Rules!$B:$B,N276))</f>
        <v/>
      </c>
      <c r="F276" s="21" t="str">
        <f aca="false">IF(OR(B276="",N(N276)=0,N276=1000),"",INDEX(Rules!$C:$C,N276))</f>
        <v/>
      </c>
      <c r="G276" s="24"/>
      <c r="H276" s="24"/>
      <c r="I276" s="20" t="str">
        <f aca="false">IF(B276="","",IF(G276&lt;&gt;"",G276,E276))</f>
        <v/>
      </c>
      <c r="J276" s="21" t="str">
        <f aca="false">IF(B276="","",IF(H276&lt;&gt;"",H276,F276))</f>
        <v/>
      </c>
      <c r="K276" s="26" t="str">
        <f aca="false">IF(A276="","",DATE(YEAR(A276),MONTH(A276),1))</f>
        <v/>
      </c>
      <c r="L276" s="21" t="str">
        <f aca="false">IF(J276="",IF(B276="","",IF(N(C276)&gt;=0,"Income","Expense")),IFERROR(INDEX(Lists!$B$2:$B$30,MATCH(J276,Lists!$A$2:$A$30,0)),""))</f>
        <v/>
      </c>
      <c r="M276" s="24"/>
      <c r="N276" s="27" t="str">
        <f aca="false">IF(B276="","",IFERROR(1000-SUMPRODUCT(MAX(ISNUMBER(SEARCH(Rules!$A$5:$A$204,B276))*(Rules!$A$5:$A$204&lt;&gt;"")*(1000-ROW(Rules!$A$5:$A$204)))),""))</f>
        <v/>
      </c>
    </row>
    <row r="277" customFormat="false" ht="15" hidden="false" customHeight="false" outlineLevel="0" collapsed="false">
      <c r="A277" s="23"/>
      <c r="B277" s="24"/>
      <c r="C277" s="25"/>
      <c r="D277" s="24"/>
      <c r="E277" s="21" t="str">
        <f aca="false">IF(OR(B277="",N(N277)=0,N277=1000),IF(B277="","","Check"),INDEX(Rules!$B:$B,N277))</f>
        <v/>
      </c>
      <c r="F277" s="21" t="str">
        <f aca="false">IF(OR(B277="",N(N277)=0,N277=1000),"",INDEX(Rules!$C:$C,N277))</f>
        <v/>
      </c>
      <c r="G277" s="24"/>
      <c r="H277" s="24"/>
      <c r="I277" s="20" t="str">
        <f aca="false">IF(B277="","",IF(G277&lt;&gt;"",G277,E277))</f>
        <v/>
      </c>
      <c r="J277" s="21" t="str">
        <f aca="false">IF(B277="","",IF(H277&lt;&gt;"",H277,F277))</f>
        <v/>
      </c>
      <c r="K277" s="26" t="str">
        <f aca="false">IF(A277="","",DATE(YEAR(A277),MONTH(A277),1))</f>
        <v/>
      </c>
      <c r="L277" s="21" t="str">
        <f aca="false">IF(J277="",IF(B277="","",IF(N(C277)&gt;=0,"Income","Expense")),IFERROR(INDEX(Lists!$B$2:$B$30,MATCH(J277,Lists!$A$2:$A$30,0)),""))</f>
        <v/>
      </c>
      <c r="M277" s="24"/>
      <c r="N277" s="27" t="str">
        <f aca="false">IF(B277="","",IFERROR(1000-SUMPRODUCT(MAX(ISNUMBER(SEARCH(Rules!$A$5:$A$204,B277))*(Rules!$A$5:$A$204&lt;&gt;"")*(1000-ROW(Rules!$A$5:$A$204)))),""))</f>
        <v/>
      </c>
    </row>
    <row r="278" customFormat="false" ht="15" hidden="false" customHeight="false" outlineLevel="0" collapsed="false">
      <c r="A278" s="23"/>
      <c r="B278" s="24"/>
      <c r="C278" s="25"/>
      <c r="D278" s="24"/>
      <c r="E278" s="21" t="str">
        <f aca="false">IF(OR(B278="",N(N278)=0,N278=1000),IF(B278="","","Check"),INDEX(Rules!$B:$B,N278))</f>
        <v/>
      </c>
      <c r="F278" s="21" t="str">
        <f aca="false">IF(OR(B278="",N(N278)=0,N278=1000),"",INDEX(Rules!$C:$C,N278))</f>
        <v/>
      </c>
      <c r="G278" s="24"/>
      <c r="H278" s="24"/>
      <c r="I278" s="20" t="str">
        <f aca="false">IF(B278="","",IF(G278&lt;&gt;"",G278,E278))</f>
        <v/>
      </c>
      <c r="J278" s="21" t="str">
        <f aca="false">IF(B278="","",IF(H278&lt;&gt;"",H278,F278))</f>
        <v/>
      </c>
      <c r="K278" s="26" t="str">
        <f aca="false">IF(A278="","",DATE(YEAR(A278),MONTH(A278),1))</f>
        <v/>
      </c>
      <c r="L278" s="21" t="str">
        <f aca="false">IF(J278="",IF(B278="","",IF(N(C278)&gt;=0,"Income","Expense")),IFERROR(INDEX(Lists!$B$2:$B$30,MATCH(J278,Lists!$A$2:$A$30,0)),""))</f>
        <v/>
      </c>
      <c r="M278" s="24"/>
      <c r="N278" s="27" t="str">
        <f aca="false">IF(B278="","",IFERROR(1000-SUMPRODUCT(MAX(ISNUMBER(SEARCH(Rules!$A$5:$A$204,B278))*(Rules!$A$5:$A$204&lt;&gt;"")*(1000-ROW(Rules!$A$5:$A$204)))),""))</f>
        <v/>
      </c>
    </row>
    <row r="279" customFormat="false" ht="15" hidden="false" customHeight="false" outlineLevel="0" collapsed="false">
      <c r="A279" s="23"/>
      <c r="B279" s="24"/>
      <c r="C279" s="25"/>
      <c r="D279" s="24"/>
      <c r="E279" s="21" t="str">
        <f aca="false">IF(OR(B279="",N(N279)=0,N279=1000),IF(B279="","","Check"),INDEX(Rules!$B:$B,N279))</f>
        <v/>
      </c>
      <c r="F279" s="21" t="str">
        <f aca="false">IF(OR(B279="",N(N279)=0,N279=1000),"",INDEX(Rules!$C:$C,N279))</f>
        <v/>
      </c>
      <c r="G279" s="24"/>
      <c r="H279" s="24"/>
      <c r="I279" s="20" t="str">
        <f aca="false">IF(B279="","",IF(G279&lt;&gt;"",G279,E279))</f>
        <v/>
      </c>
      <c r="J279" s="21" t="str">
        <f aca="false">IF(B279="","",IF(H279&lt;&gt;"",H279,F279))</f>
        <v/>
      </c>
      <c r="K279" s="26" t="str">
        <f aca="false">IF(A279="","",DATE(YEAR(A279),MONTH(A279),1))</f>
        <v/>
      </c>
      <c r="L279" s="21" t="str">
        <f aca="false">IF(J279="",IF(B279="","",IF(N(C279)&gt;=0,"Income","Expense")),IFERROR(INDEX(Lists!$B$2:$B$30,MATCH(J279,Lists!$A$2:$A$30,0)),""))</f>
        <v/>
      </c>
      <c r="M279" s="24"/>
      <c r="N279" s="27" t="str">
        <f aca="false">IF(B279="","",IFERROR(1000-SUMPRODUCT(MAX(ISNUMBER(SEARCH(Rules!$A$5:$A$204,B279))*(Rules!$A$5:$A$204&lt;&gt;"")*(1000-ROW(Rules!$A$5:$A$204)))),""))</f>
        <v/>
      </c>
    </row>
    <row r="280" customFormat="false" ht="15" hidden="false" customHeight="false" outlineLevel="0" collapsed="false">
      <c r="A280" s="23"/>
      <c r="B280" s="24"/>
      <c r="C280" s="25"/>
      <c r="D280" s="24"/>
      <c r="E280" s="21" t="str">
        <f aca="false">IF(OR(B280="",N(N280)=0,N280=1000),IF(B280="","","Check"),INDEX(Rules!$B:$B,N280))</f>
        <v/>
      </c>
      <c r="F280" s="21" t="str">
        <f aca="false">IF(OR(B280="",N(N280)=0,N280=1000),"",INDEX(Rules!$C:$C,N280))</f>
        <v/>
      </c>
      <c r="G280" s="24"/>
      <c r="H280" s="24"/>
      <c r="I280" s="20" t="str">
        <f aca="false">IF(B280="","",IF(G280&lt;&gt;"",G280,E280))</f>
        <v/>
      </c>
      <c r="J280" s="21" t="str">
        <f aca="false">IF(B280="","",IF(H280&lt;&gt;"",H280,F280))</f>
        <v/>
      </c>
      <c r="K280" s="26" t="str">
        <f aca="false">IF(A280="","",DATE(YEAR(A280),MONTH(A280),1))</f>
        <v/>
      </c>
      <c r="L280" s="21" t="str">
        <f aca="false">IF(J280="",IF(B280="","",IF(N(C280)&gt;=0,"Income","Expense")),IFERROR(INDEX(Lists!$B$2:$B$30,MATCH(J280,Lists!$A$2:$A$30,0)),""))</f>
        <v/>
      </c>
      <c r="M280" s="24"/>
      <c r="N280" s="27" t="str">
        <f aca="false">IF(B280="","",IFERROR(1000-SUMPRODUCT(MAX(ISNUMBER(SEARCH(Rules!$A$5:$A$204,B280))*(Rules!$A$5:$A$204&lt;&gt;"")*(1000-ROW(Rules!$A$5:$A$204)))),""))</f>
        <v/>
      </c>
    </row>
    <row r="281" customFormat="false" ht="15" hidden="false" customHeight="false" outlineLevel="0" collapsed="false">
      <c r="A281" s="23"/>
      <c r="B281" s="24"/>
      <c r="C281" s="25"/>
      <c r="D281" s="24"/>
      <c r="E281" s="21" t="str">
        <f aca="false">IF(OR(B281="",N(N281)=0,N281=1000),IF(B281="","","Check"),INDEX(Rules!$B:$B,N281))</f>
        <v/>
      </c>
      <c r="F281" s="21" t="str">
        <f aca="false">IF(OR(B281="",N(N281)=0,N281=1000),"",INDEX(Rules!$C:$C,N281))</f>
        <v/>
      </c>
      <c r="G281" s="24"/>
      <c r="H281" s="24"/>
      <c r="I281" s="20" t="str">
        <f aca="false">IF(B281="","",IF(G281&lt;&gt;"",G281,E281))</f>
        <v/>
      </c>
      <c r="J281" s="21" t="str">
        <f aca="false">IF(B281="","",IF(H281&lt;&gt;"",H281,F281))</f>
        <v/>
      </c>
      <c r="K281" s="26" t="str">
        <f aca="false">IF(A281="","",DATE(YEAR(A281),MONTH(A281),1))</f>
        <v/>
      </c>
      <c r="L281" s="21" t="str">
        <f aca="false">IF(J281="",IF(B281="","",IF(N(C281)&gt;=0,"Income","Expense")),IFERROR(INDEX(Lists!$B$2:$B$30,MATCH(J281,Lists!$A$2:$A$30,0)),""))</f>
        <v/>
      </c>
      <c r="M281" s="24"/>
      <c r="N281" s="27" t="str">
        <f aca="false">IF(B281="","",IFERROR(1000-SUMPRODUCT(MAX(ISNUMBER(SEARCH(Rules!$A$5:$A$204,B281))*(Rules!$A$5:$A$204&lt;&gt;"")*(1000-ROW(Rules!$A$5:$A$204)))),""))</f>
        <v/>
      </c>
    </row>
    <row r="282" customFormat="false" ht="15" hidden="false" customHeight="false" outlineLevel="0" collapsed="false">
      <c r="A282" s="23"/>
      <c r="B282" s="24"/>
      <c r="C282" s="25"/>
      <c r="D282" s="24"/>
      <c r="E282" s="21" t="str">
        <f aca="false">IF(OR(B282="",N(N282)=0,N282=1000),IF(B282="","","Check"),INDEX(Rules!$B:$B,N282))</f>
        <v/>
      </c>
      <c r="F282" s="21" t="str">
        <f aca="false">IF(OR(B282="",N(N282)=0,N282=1000),"",INDEX(Rules!$C:$C,N282))</f>
        <v/>
      </c>
      <c r="G282" s="24"/>
      <c r="H282" s="24"/>
      <c r="I282" s="20" t="str">
        <f aca="false">IF(B282="","",IF(G282&lt;&gt;"",G282,E282))</f>
        <v/>
      </c>
      <c r="J282" s="21" t="str">
        <f aca="false">IF(B282="","",IF(H282&lt;&gt;"",H282,F282))</f>
        <v/>
      </c>
      <c r="K282" s="26" t="str">
        <f aca="false">IF(A282="","",DATE(YEAR(A282),MONTH(A282),1))</f>
        <v/>
      </c>
      <c r="L282" s="21" t="str">
        <f aca="false">IF(J282="",IF(B282="","",IF(N(C282)&gt;=0,"Income","Expense")),IFERROR(INDEX(Lists!$B$2:$B$30,MATCH(J282,Lists!$A$2:$A$30,0)),""))</f>
        <v/>
      </c>
      <c r="M282" s="24"/>
      <c r="N282" s="27" t="str">
        <f aca="false">IF(B282="","",IFERROR(1000-SUMPRODUCT(MAX(ISNUMBER(SEARCH(Rules!$A$5:$A$204,B282))*(Rules!$A$5:$A$204&lt;&gt;"")*(1000-ROW(Rules!$A$5:$A$204)))),""))</f>
        <v/>
      </c>
    </row>
    <row r="283" customFormat="false" ht="15" hidden="false" customHeight="false" outlineLevel="0" collapsed="false">
      <c r="A283" s="23"/>
      <c r="B283" s="24"/>
      <c r="C283" s="25"/>
      <c r="D283" s="24"/>
      <c r="E283" s="21" t="str">
        <f aca="false">IF(OR(B283="",N(N283)=0,N283=1000),IF(B283="","","Check"),INDEX(Rules!$B:$B,N283))</f>
        <v/>
      </c>
      <c r="F283" s="21" t="str">
        <f aca="false">IF(OR(B283="",N(N283)=0,N283=1000),"",INDEX(Rules!$C:$C,N283))</f>
        <v/>
      </c>
      <c r="G283" s="24"/>
      <c r="H283" s="24"/>
      <c r="I283" s="20" t="str">
        <f aca="false">IF(B283="","",IF(G283&lt;&gt;"",G283,E283))</f>
        <v/>
      </c>
      <c r="J283" s="21" t="str">
        <f aca="false">IF(B283="","",IF(H283&lt;&gt;"",H283,F283))</f>
        <v/>
      </c>
      <c r="K283" s="26" t="str">
        <f aca="false">IF(A283="","",DATE(YEAR(A283),MONTH(A283),1))</f>
        <v/>
      </c>
      <c r="L283" s="21" t="str">
        <f aca="false">IF(J283="",IF(B283="","",IF(N(C283)&gt;=0,"Income","Expense")),IFERROR(INDEX(Lists!$B$2:$B$30,MATCH(J283,Lists!$A$2:$A$30,0)),""))</f>
        <v/>
      </c>
      <c r="M283" s="24"/>
      <c r="N283" s="27" t="str">
        <f aca="false">IF(B283="","",IFERROR(1000-SUMPRODUCT(MAX(ISNUMBER(SEARCH(Rules!$A$5:$A$204,B283))*(Rules!$A$5:$A$204&lt;&gt;"")*(1000-ROW(Rules!$A$5:$A$204)))),""))</f>
        <v/>
      </c>
    </row>
    <row r="284" customFormat="false" ht="15" hidden="false" customHeight="false" outlineLevel="0" collapsed="false">
      <c r="A284" s="23"/>
      <c r="B284" s="24"/>
      <c r="C284" s="25"/>
      <c r="D284" s="24"/>
      <c r="E284" s="21" t="str">
        <f aca="false">IF(OR(B284="",N(N284)=0,N284=1000),IF(B284="","","Check"),INDEX(Rules!$B:$B,N284))</f>
        <v/>
      </c>
      <c r="F284" s="21" t="str">
        <f aca="false">IF(OR(B284="",N(N284)=0,N284=1000),"",INDEX(Rules!$C:$C,N284))</f>
        <v/>
      </c>
      <c r="G284" s="24"/>
      <c r="H284" s="24"/>
      <c r="I284" s="20" t="str">
        <f aca="false">IF(B284="","",IF(G284&lt;&gt;"",G284,E284))</f>
        <v/>
      </c>
      <c r="J284" s="21" t="str">
        <f aca="false">IF(B284="","",IF(H284&lt;&gt;"",H284,F284))</f>
        <v/>
      </c>
      <c r="K284" s="26" t="str">
        <f aca="false">IF(A284="","",DATE(YEAR(A284),MONTH(A284),1))</f>
        <v/>
      </c>
      <c r="L284" s="21" t="str">
        <f aca="false">IF(J284="",IF(B284="","",IF(N(C284)&gt;=0,"Income","Expense")),IFERROR(INDEX(Lists!$B$2:$B$30,MATCH(J284,Lists!$A$2:$A$30,0)),""))</f>
        <v/>
      </c>
      <c r="M284" s="24"/>
      <c r="N284" s="27" t="str">
        <f aca="false">IF(B284="","",IFERROR(1000-SUMPRODUCT(MAX(ISNUMBER(SEARCH(Rules!$A$5:$A$204,B284))*(Rules!$A$5:$A$204&lt;&gt;"")*(1000-ROW(Rules!$A$5:$A$204)))),""))</f>
        <v/>
      </c>
    </row>
    <row r="285" customFormat="false" ht="15" hidden="false" customHeight="false" outlineLevel="0" collapsed="false">
      <c r="A285" s="23"/>
      <c r="B285" s="24"/>
      <c r="C285" s="25"/>
      <c r="D285" s="24"/>
      <c r="E285" s="21" t="str">
        <f aca="false">IF(OR(B285="",N(N285)=0,N285=1000),IF(B285="","","Check"),INDEX(Rules!$B:$B,N285))</f>
        <v/>
      </c>
      <c r="F285" s="21" t="str">
        <f aca="false">IF(OR(B285="",N(N285)=0,N285=1000),"",INDEX(Rules!$C:$C,N285))</f>
        <v/>
      </c>
      <c r="G285" s="24"/>
      <c r="H285" s="24"/>
      <c r="I285" s="20" t="str">
        <f aca="false">IF(B285="","",IF(G285&lt;&gt;"",G285,E285))</f>
        <v/>
      </c>
      <c r="J285" s="21" t="str">
        <f aca="false">IF(B285="","",IF(H285&lt;&gt;"",H285,F285))</f>
        <v/>
      </c>
      <c r="K285" s="26" t="str">
        <f aca="false">IF(A285="","",DATE(YEAR(A285),MONTH(A285),1))</f>
        <v/>
      </c>
      <c r="L285" s="21" t="str">
        <f aca="false">IF(J285="",IF(B285="","",IF(N(C285)&gt;=0,"Income","Expense")),IFERROR(INDEX(Lists!$B$2:$B$30,MATCH(J285,Lists!$A$2:$A$30,0)),""))</f>
        <v/>
      </c>
      <c r="M285" s="24"/>
      <c r="N285" s="27" t="str">
        <f aca="false">IF(B285="","",IFERROR(1000-SUMPRODUCT(MAX(ISNUMBER(SEARCH(Rules!$A$5:$A$204,B285))*(Rules!$A$5:$A$204&lt;&gt;"")*(1000-ROW(Rules!$A$5:$A$204)))),""))</f>
        <v/>
      </c>
    </row>
    <row r="286" customFormat="false" ht="15" hidden="false" customHeight="false" outlineLevel="0" collapsed="false">
      <c r="A286" s="23"/>
      <c r="B286" s="24"/>
      <c r="C286" s="25"/>
      <c r="D286" s="24"/>
      <c r="E286" s="21" t="str">
        <f aca="false">IF(OR(B286="",N(N286)=0,N286=1000),IF(B286="","","Check"),INDEX(Rules!$B:$B,N286))</f>
        <v/>
      </c>
      <c r="F286" s="21" t="str">
        <f aca="false">IF(OR(B286="",N(N286)=0,N286=1000),"",INDEX(Rules!$C:$C,N286))</f>
        <v/>
      </c>
      <c r="G286" s="24"/>
      <c r="H286" s="24"/>
      <c r="I286" s="20" t="str">
        <f aca="false">IF(B286="","",IF(G286&lt;&gt;"",G286,E286))</f>
        <v/>
      </c>
      <c r="J286" s="21" t="str">
        <f aca="false">IF(B286="","",IF(H286&lt;&gt;"",H286,F286))</f>
        <v/>
      </c>
      <c r="K286" s="26" t="str">
        <f aca="false">IF(A286="","",DATE(YEAR(A286),MONTH(A286),1))</f>
        <v/>
      </c>
      <c r="L286" s="21" t="str">
        <f aca="false">IF(J286="",IF(B286="","",IF(N(C286)&gt;=0,"Income","Expense")),IFERROR(INDEX(Lists!$B$2:$B$30,MATCH(J286,Lists!$A$2:$A$30,0)),""))</f>
        <v/>
      </c>
      <c r="M286" s="24"/>
      <c r="N286" s="27" t="str">
        <f aca="false">IF(B286="","",IFERROR(1000-SUMPRODUCT(MAX(ISNUMBER(SEARCH(Rules!$A$5:$A$204,B286))*(Rules!$A$5:$A$204&lt;&gt;"")*(1000-ROW(Rules!$A$5:$A$204)))),""))</f>
        <v/>
      </c>
    </row>
    <row r="287" customFormat="false" ht="15" hidden="false" customHeight="false" outlineLevel="0" collapsed="false">
      <c r="A287" s="23"/>
      <c r="B287" s="24"/>
      <c r="C287" s="25"/>
      <c r="D287" s="24"/>
      <c r="E287" s="21" t="str">
        <f aca="false">IF(OR(B287="",N(N287)=0,N287=1000),IF(B287="","","Check"),INDEX(Rules!$B:$B,N287))</f>
        <v/>
      </c>
      <c r="F287" s="21" t="str">
        <f aca="false">IF(OR(B287="",N(N287)=0,N287=1000),"",INDEX(Rules!$C:$C,N287))</f>
        <v/>
      </c>
      <c r="G287" s="24"/>
      <c r="H287" s="24"/>
      <c r="I287" s="20" t="str">
        <f aca="false">IF(B287="","",IF(G287&lt;&gt;"",G287,E287))</f>
        <v/>
      </c>
      <c r="J287" s="21" t="str">
        <f aca="false">IF(B287="","",IF(H287&lt;&gt;"",H287,F287))</f>
        <v/>
      </c>
      <c r="K287" s="26" t="str">
        <f aca="false">IF(A287="","",DATE(YEAR(A287),MONTH(A287),1))</f>
        <v/>
      </c>
      <c r="L287" s="21" t="str">
        <f aca="false">IF(J287="",IF(B287="","",IF(N(C287)&gt;=0,"Income","Expense")),IFERROR(INDEX(Lists!$B$2:$B$30,MATCH(J287,Lists!$A$2:$A$30,0)),""))</f>
        <v/>
      </c>
      <c r="M287" s="24"/>
      <c r="N287" s="27" t="str">
        <f aca="false">IF(B287="","",IFERROR(1000-SUMPRODUCT(MAX(ISNUMBER(SEARCH(Rules!$A$5:$A$204,B287))*(Rules!$A$5:$A$204&lt;&gt;"")*(1000-ROW(Rules!$A$5:$A$204)))),""))</f>
        <v/>
      </c>
    </row>
    <row r="288" customFormat="false" ht="15" hidden="false" customHeight="false" outlineLevel="0" collapsed="false">
      <c r="A288" s="23"/>
      <c r="B288" s="24"/>
      <c r="C288" s="25"/>
      <c r="D288" s="24"/>
      <c r="E288" s="21" t="str">
        <f aca="false">IF(OR(B288="",N(N288)=0,N288=1000),IF(B288="","","Check"),INDEX(Rules!$B:$B,N288))</f>
        <v/>
      </c>
      <c r="F288" s="21" t="str">
        <f aca="false">IF(OR(B288="",N(N288)=0,N288=1000),"",INDEX(Rules!$C:$C,N288))</f>
        <v/>
      </c>
      <c r="G288" s="24"/>
      <c r="H288" s="24"/>
      <c r="I288" s="20" t="str">
        <f aca="false">IF(B288="","",IF(G288&lt;&gt;"",G288,E288))</f>
        <v/>
      </c>
      <c r="J288" s="21" t="str">
        <f aca="false">IF(B288="","",IF(H288&lt;&gt;"",H288,F288))</f>
        <v/>
      </c>
      <c r="K288" s="26" t="str">
        <f aca="false">IF(A288="","",DATE(YEAR(A288),MONTH(A288),1))</f>
        <v/>
      </c>
      <c r="L288" s="21" t="str">
        <f aca="false">IF(J288="",IF(B288="","",IF(N(C288)&gt;=0,"Income","Expense")),IFERROR(INDEX(Lists!$B$2:$B$30,MATCH(J288,Lists!$A$2:$A$30,0)),""))</f>
        <v/>
      </c>
      <c r="M288" s="24"/>
      <c r="N288" s="27" t="str">
        <f aca="false">IF(B288="","",IFERROR(1000-SUMPRODUCT(MAX(ISNUMBER(SEARCH(Rules!$A$5:$A$204,B288))*(Rules!$A$5:$A$204&lt;&gt;"")*(1000-ROW(Rules!$A$5:$A$204)))),""))</f>
        <v/>
      </c>
    </row>
    <row r="289" customFormat="false" ht="15" hidden="false" customHeight="false" outlineLevel="0" collapsed="false">
      <c r="A289" s="23"/>
      <c r="B289" s="24"/>
      <c r="C289" s="25"/>
      <c r="D289" s="24"/>
      <c r="E289" s="21" t="str">
        <f aca="false">IF(OR(B289="",N(N289)=0,N289=1000),IF(B289="","","Check"),INDEX(Rules!$B:$B,N289))</f>
        <v/>
      </c>
      <c r="F289" s="21" t="str">
        <f aca="false">IF(OR(B289="",N(N289)=0,N289=1000),"",INDEX(Rules!$C:$C,N289))</f>
        <v/>
      </c>
      <c r="G289" s="24"/>
      <c r="H289" s="24"/>
      <c r="I289" s="20" t="str">
        <f aca="false">IF(B289="","",IF(G289&lt;&gt;"",G289,E289))</f>
        <v/>
      </c>
      <c r="J289" s="21" t="str">
        <f aca="false">IF(B289="","",IF(H289&lt;&gt;"",H289,F289))</f>
        <v/>
      </c>
      <c r="K289" s="26" t="str">
        <f aca="false">IF(A289="","",DATE(YEAR(A289),MONTH(A289),1))</f>
        <v/>
      </c>
      <c r="L289" s="21" t="str">
        <f aca="false">IF(J289="",IF(B289="","",IF(N(C289)&gt;=0,"Income","Expense")),IFERROR(INDEX(Lists!$B$2:$B$30,MATCH(J289,Lists!$A$2:$A$30,0)),""))</f>
        <v/>
      </c>
      <c r="M289" s="24"/>
      <c r="N289" s="27" t="str">
        <f aca="false">IF(B289="","",IFERROR(1000-SUMPRODUCT(MAX(ISNUMBER(SEARCH(Rules!$A$5:$A$204,B289))*(Rules!$A$5:$A$204&lt;&gt;"")*(1000-ROW(Rules!$A$5:$A$204)))),""))</f>
        <v/>
      </c>
    </row>
    <row r="290" customFormat="false" ht="15" hidden="false" customHeight="false" outlineLevel="0" collapsed="false">
      <c r="A290" s="23"/>
      <c r="B290" s="24"/>
      <c r="C290" s="25"/>
      <c r="D290" s="24"/>
      <c r="E290" s="21" t="str">
        <f aca="false">IF(OR(B290="",N(N290)=0,N290=1000),IF(B290="","","Check"),INDEX(Rules!$B:$B,N290))</f>
        <v/>
      </c>
      <c r="F290" s="21" t="str">
        <f aca="false">IF(OR(B290="",N(N290)=0,N290=1000),"",INDEX(Rules!$C:$C,N290))</f>
        <v/>
      </c>
      <c r="G290" s="24"/>
      <c r="H290" s="24"/>
      <c r="I290" s="20" t="str">
        <f aca="false">IF(B290="","",IF(G290&lt;&gt;"",G290,E290))</f>
        <v/>
      </c>
      <c r="J290" s="21" t="str">
        <f aca="false">IF(B290="","",IF(H290&lt;&gt;"",H290,F290))</f>
        <v/>
      </c>
      <c r="K290" s="26" t="str">
        <f aca="false">IF(A290="","",DATE(YEAR(A290),MONTH(A290),1))</f>
        <v/>
      </c>
      <c r="L290" s="21" t="str">
        <f aca="false">IF(J290="",IF(B290="","",IF(N(C290)&gt;=0,"Income","Expense")),IFERROR(INDEX(Lists!$B$2:$B$30,MATCH(J290,Lists!$A$2:$A$30,0)),""))</f>
        <v/>
      </c>
      <c r="M290" s="24"/>
      <c r="N290" s="27" t="str">
        <f aca="false">IF(B290="","",IFERROR(1000-SUMPRODUCT(MAX(ISNUMBER(SEARCH(Rules!$A$5:$A$204,B290))*(Rules!$A$5:$A$204&lt;&gt;"")*(1000-ROW(Rules!$A$5:$A$204)))),""))</f>
        <v/>
      </c>
    </row>
    <row r="291" customFormat="false" ht="15" hidden="false" customHeight="false" outlineLevel="0" collapsed="false">
      <c r="A291" s="23"/>
      <c r="B291" s="24"/>
      <c r="C291" s="25"/>
      <c r="D291" s="24"/>
      <c r="E291" s="21" t="str">
        <f aca="false">IF(OR(B291="",N(N291)=0,N291=1000),IF(B291="","","Check"),INDEX(Rules!$B:$B,N291))</f>
        <v/>
      </c>
      <c r="F291" s="21" t="str">
        <f aca="false">IF(OR(B291="",N(N291)=0,N291=1000),"",INDEX(Rules!$C:$C,N291))</f>
        <v/>
      </c>
      <c r="G291" s="24"/>
      <c r="H291" s="24"/>
      <c r="I291" s="20" t="str">
        <f aca="false">IF(B291="","",IF(G291&lt;&gt;"",G291,E291))</f>
        <v/>
      </c>
      <c r="J291" s="21" t="str">
        <f aca="false">IF(B291="","",IF(H291&lt;&gt;"",H291,F291))</f>
        <v/>
      </c>
      <c r="K291" s="26" t="str">
        <f aca="false">IF(A291="","",DATE(YEAR(A291),MONTH(A291),1))</f>
        <v/>
      </c>
      <c r="L291" s="21" t="str">
        <f aca="false">IF(J291="",IF(B291="","",IF(N(C291)&gt;=0,"Income","Expense")),IFERROR(INDEX(Lists!$B$2:$B$30,MATCH(J291,Lists!$A$2:$A$30,0)),""))</f>
        <v/>
      </c>
      <c r="M291" s="24"/>
      <c r="N291" s="27" t="str">
        <f aca="false">IF(B291="","",IFERROR(1000-SUMPRODUCT(MAX(ISNUMBER(SEARCH(Rules!$A$5:$A$204,B291))*(Rules!$A$5:$A$204&lt;&gt;"")*(1000-ROW(Rules!$A$5:$A$204)))),""))</f>
        <v/>
      </c>
    </row>
    <row r="292" customFormat="false" ht="15" hidden="false" customHeight="false" outlineLevel="0" collapsed="false">
      <c r="A292" s="23"/>
      <c r="B292" s="24"/>
      <c r="C292" s="25"/>
      <c r="D292" s="24"/>
      <c r="E292" s="21" t="str">
        <f aca="false">IF(OR(B292="",N(N292)=0,N292=1000),IF(B292="","","Check"),INDEX(Rules!$B:$B,N292))</f>
        <v/>
      </c>
      <c r="F292" s="21" t="str">
        <f aca="false">IF(OR(B292="",N(N292)=0,N292=1000),"",INDEX(Rules!$C:$C,N292))</f>
        <v/>
      </c>
      <c r="G292" s="24"/>
      <c r="H292" s="24"/>
      <c r="I292" s="20" t="str">
        <f aca="false">IF(B292="","",IF(G292&lt;&gt;"",G292,E292))</f>
        <v/>
      </c>
      <c r="J292" s="21" t="str">
        <f aca="false">IF(B292="","",IF(H292&lt;&gt;"",H292,F292))</f>
        <v/>
      </c>
      <c r="K292" s="26" t="str">
        <f aca="false">IF(A292="","",DATE(YEAR(A292),MONTH(A292),1))</f>
        <v/>
      </c>
      <c r="L292" s="21" t="str">
        <f aca="false">IF(J292="",IF(B292="","",IF(N(C292)&gt;=0,"Income","Expense")),IFERROR(INDEX(Lists!$B$2:$B$30,MATCH(J292,Lists!$A$2:$A$30,0)),""))</f>
        <v/>
      </c>
      <c r="M292" s="24"/>
      <c r="N292" s="27" t="str">
        <f aca="false">IF(B292="","",IFERROR(1000-SUMPRODUCT(MAX(ISNUMBER(SEARCH(Rules!$A$5:$A$204,B292))*(Rules!$A$5:$A$204&lt;&gt;"")*(1000-ROW(Rules!$A$5:$A$204)))),""))</f>
        <v/>
      </c>
    </row>
    <row r="293" customFormat="false" ht="15" hidden="false" customHeight="false" outlineLevel="0" collapsed="false">
      <c r="A293" s="23"/>
      <c r="B293" s="24"/>
      <c r="C293" s="25"/>
      <c r="D293" s="24"/>
      <c r="E293" s="21" t="str">
        <f aca="false">IF(OR(B293="",N(N293)=0,N293=1000),IF(B293="","","Check"),INDEX(Rules!$B:$B,N293))</f>
        <v/>
      </c>
      <c r="F293" s="21" t="str">
        <f aca="false">IF(OR(B293="",N(N293)=0,N293=1000),"",INDEX(Rules!$C:$C,N293))</f>
        <v/>
      </c>
      <c r="G293" s="24"/>
      <c r="H293" s="24"/>
      <c r="I293" s="20" t="str">
        <f aca="false">IF(B293="","",IF(G293&lt;&gt;"",G293,E293))</f>
        <v/>
      </c>
      <c r="J293" s="21" t="str">
        <f aca="false">IF(B293="","",IF(H293&lt;&gt;"",H293,F293))</f>
        <v/>
      </c>
      <c r="K293" s="26" t="str">
        <f aca="false">IF(A293="","",DATE(YEAR(A293),MONTH(A293),1))</f>
        <v/>
      </c>
      <c r="L293" s="21" t="str">
        <f aca="false">IF(J293="",IF(B293="","",IF(N(C293)&gt;=0,"Income","Expense")),IFERROR(INDEX(Lists!$B$2:$B$30,MATCH(J293,Lists!$A$2:$A$30,0)),""))</f>
        <v/>
      </c>
      <c r="M293" s="24"/>
      <c r="N293" s="27" t="str">
        <f aca="false">IF(B293="","",IFERROR(1000-SUMPRODUCT(MAX(ISNUMBER(SEARCH(Rules!$A$5:$A$204,B293))*(Rules!$A$5:$A$204&lt;&gt;"")*(1000-ROW(Rules!$A$5:$A$204)))),""))</f>
        <v/>
      </c>
    </row>
    <row r="294" customFormat="false" ht="15" hidden="false" customHeight="false" outlineLevel="0" collapsed="false">
      <c r="A294" s="23"/>
      <c r="B294" s="24"/>
      <c r="C294" s="25"/>
      <c r="D294" s="24"/>
      <c r="E294" s="21" t="str">
        <f aca="false">IF(OR(B294="",N(N294)=0,N294=1000),IF(B294="","","Check"),INDEX(Rules!$B:$B,N294))</f>
        <v/>
      </c>
      <c r="F294" s="21" t="str">
        <f aca="false">IF(OR(B294="",N(N294)=0,N294=1000),"",INDEX(Rules!$C:$C,N294))</f>
        <v/>
      </c>
      <c r="G294" s="24"/>
      <c r="H294" s="24"/>
      <c r="I294" s="20" t="str">
        <f aca="false">IF(B294="","",IF(G294&lt;&gt;"",G294,E294))</f>
        <v/>
      </c>
      <c r="J294" s="21" t="str">
        <f aca="false">IF(B294="","",IF(H294&lt;&gt;"",H294,F294))</f>
        <v/>
      </c>
      <c r="K294" s="26" t="str">
        <f aca="false">IF(A294="","",DATE(YEAR(A294),MONTH(A294),1))</f>
        <v/>
      </c>
      <c r="L294" s="21" t="str">
        <f aca="false">IF(J294="",IF(B294="","",IF(N(C294)&gt;=0,"Income","Expense")),IFERROR(INDEX(Lists!$B$2:$B$30,MATCH(J294,Lists!$A$2:$A$30,0)),""))</f>
        <v/>
      </c>
      <c r="M294" s="24"/>
      <c r="N294" s="27" t="str">
        <f aca="false">IF(B294="","",IFERROR(1000-SUMPRODUCT(MAX(ISNUMBER(SEARCH(Rules!$A$5:$A$204,B294))*(Rules!$A$5:$A$204&lt;&gt;"")*(1000-ROW(Rules!$A$5:$A$204)))),""))</f>
        <v/>
      </c>
    </row>
    <row r="295" customFormat="false" ht="15" hidden="false" customHeight="false" outlineLevel="0" collapsed="false">
      <c r="A295" s="23"/>
      <c r="B295" s="24"/>
      <c r="C295" s="25"/>
      <c r="D295" s="24"/>
      <c r="E295" s="21" t="str">
        <f aca="false">IF(OR(B295="",N(N295)=0,N295=1000),IF(B295="","","Check"),INDEX(Rules!$B:$B,N295))</f>
        <v/>
      </c>
      <c r="F295" s="21" t="str">
        <f aca="false">IF(OR(B295="",N(N295)=0,N295=1000),"",INDEX(Rules!$C:$C,N295))</f>
        <v/>
      </c>
      <c r="G295" s="24"/>
      <c r="H295" s="24"/>
      <c r="I295" s="20" t="str">
        <f aca="false">IF(B295="","",IF(G295&lt;&gt;"",G295,E295))</f>
        <v/>
      </c>
      <c r="J295" s="21" t="str">
        <f aca="false">IF(B295="","",IF(H295&lt;&gt;"",H295,F295))</f>
        <v/>
      </c>
      <c r="K295" s="26" t="str">
        <f aca="false">IF(A295="","",DATE(YEAR(A295),MONTH(A295),1))</f>
        <v/>
      </c>
      <c r="L295" s="21" t="str">
        <f aca="false">IF(J295="",IF(B295="","",IF(N(C295)&gt;=0,"Income","Expense")),IFERROR(INDEX(Lists!$B$2:$B$30,MATCH(J295,Lists!$A$2:$A$30,0)),""))</f>
        <v/>
      </c>
      <c r="M295" s="24"/>
      <c r="N295" s="27" t="str">
        <f aca="false">IF(B295="","",IFERROR(1000-SUMPRODUCT(MAX(ISNUMBER(SEARCH(Rules!$A$5:$A$204,B295))*(Rules!$A$5:$A$204&lt;&gt;"")*(1000-ROW(Rules!$A$5:$A$204)))),""))</f>
        <v/>
      </c>
    </row>
    <row r="296" customFormat="false" ht="15" hidden="false" customHeight="false" outlineLevel="0" collapsed="false">
      <c r="A296" s="23"/>
      <c r="B296" s="24"/>
      <c r="C296" s="25"/>
      <c r="D296" s="24"/>
      <c r="E296" s="21" t="str">
        <f aca="false">IF(OR(B296="",N(N296)=0,N296=1000),IF(B296="","","Check"),INDEX(Rules!$B:$B,N296))</f>
        <v/>
      </c>
      <c r="F296" s="21" t="str">
        <f aca="false">IF(OR(B296="",N(N296)=0,N296=1000),"",INDEX(Rules!$C:$C,N296))</f>
        <v/>
      </c>
      <c r="G296" s="24"/>
      <c r="H296" s="24"/>
      <c r="I296" s="20" t="str">
        <f aca="false">IF(B296="","",IF(G296&lt;&gt;"",G296,E296))</f>
        <v/>
      </c>
      <c r="J296" s="21" t="str">
        <f aca="false">IF(B296="","",IF(H296&lt;&gt;"",H296,F296))</f>
        <v/>
      </c>
      <c r="K296" s="26" t="str">
        <f aca="false">IF(A296="","",DATE(YEAR(A296),MONTH(A296),1))</f>
        <v/>
      </c>
      <c r="L296" s="21" t="str">
        <f aca="false">IF(J296="",IF(B296="","",IF(N(C296)&gt;=0,"Income","Expense")),IFERROR(INDEX(Lists!$B$2:$B$30,MATCH(J296,Lists!$A$2:$A$30,0)),""))</f>
        <v/>
      </c>
      <c r="M296" s="24"/>
      <c r="N296" s="27" t="str">
        <f aca="false">IF(B296="","",IFERROR(1000-SUMPRODUCT(MAX(ISNUMBER(SEARCH(Rules!$A$5:$A$204,B296))*(Rules!$A$5:$A$204&lt;&gt;"")*(1000-ROW(Rules!$A$5:$A$204)))),""))</f>
        <v/>
      </c>
    </row>
    <row r="297" customFormat="false" ht="15" hidden="false" customHeight="false" outlineLevel="0" collapsed="false">
      <c r="A297" s="23"/>
      <c r="B297" s="24"/>
      <c r="C297" s="25"/>
      <c r="D297" s="24"/>
      <c r="E297" s="21" t="str">
        <f aca="false">IF(OR(B297="",N(N297)=0,N297=1000),IF(B297="","","Check"),INDEX(Rules!$B:$B,N297))</f>
        <v/>
      </c>
      <c r="F297" s="21" t="str">
        <f aca="false">IF(OR(B297="",N(N297)=0,N297=1000),"",INDEX(Rules!$C:$C,N297))</f>
        <v/>
      </c>
      <c r="G297" s="24"/>
      <c r="H297" s="24"/>
      <c r="I297" s="20" t="str">
        <f aca="false">IF(B297="","",IF(G297&lt;&gt;"",G297,E297))</f>
        <v/>
      </c>
      <c r="J297" s="21" t="str">
        <f aca="false">IF(B297="","",IF(H297&lt;&gt;"",H297,F297))</f>
        <v/>
      </c>
      <c r="K297" s="26" t="str">
        <f aca="false">IF(A297="","",DATE(YEAR(A297),MONTH(A297),1))</f>
        <v/>
      </c>
      <c r="L297" s="21" t="str">
        <f aca="false">IF(J297="",IF(B297="","",IF(N(C297)&gt;=0,"Income","Expense")),IFERROR(INDEX(Lists!$B$2:$B$30,MATCH(J297,Lists!$A$2:$A$30,0)),""))</f>
        <v/>
      </c>
      <c r="M297" s="24"/>
      <c r="N297" s="27" t="str">
        <f aca="false">IF(B297="","",IFERROR(1000-SUMPRODUCT(MAX(ISNUMBER(SEARCH(Rules!$A$5:$A$204,B297))*(Rules!$A$5:$A$204&lt;&gt;"")*(1000-ROW(Rules!$A$5:$A$204)))),""))</f>
        <v/>
      </c>
    </row>
    <row r="298" customFormat="false" ht="15" hidden="false" customHeight="false" outlineLevel="0" collapsed="false">
      <c r="A298" s="23"/>
      <c r="B298" s="24"/>
      <c r="C298" s="25"/>
      <c r="D298" s="24"/>
      <c r="E298" s="21" t="str">
        <f aca="false">IF(OR(B298="",N(N298)=0,N298=1000),IF(B298="","","Check"),INDEX(Rules!$B:$B,N298))</f>
        <v/>
      </c>
      <c r="F298" s="21" t="str">
        <f aca="false">IF(OR(B298="",N(N298)=0,N298=1000),"",INDEX(Rules!$C:$C,N298))</f>
        <v/>
      </c>
      <c r="G298" s="24"/>
      <c r="H298" s="24"/>
      <c r="I298" s="20" t="str">
        <f aca="false">IF(B298="","",IF(G298&lt;&gt;"",G298,E298))</f>
        <v/>
      </c>
      <c r="J298" s="21" t="str">
        <f aca="false">IF(B298="","",IF(H298&lt;&gt;"",H298,F298))</f>
        <v/>
      </c>
      <c r="K298" s="26" t="str">
        <f aca="false">IF(A298="","",DATE(YEAR(A298),MONTH(A298),1))</f>
        <v/>
      </c>
      <c r="L298" s="21" t="str">
        <f aca="false">IF(J298="",IF(B298="","",IF(N(C298)&gt;=0,"Income","Expense")),IFERROR(INDEX(Lists!$B$2:$B$30,MATCH(J298,Lists!$A$2:$A$30,0)),""))</f>
        <v/>
      </c>
      <c r="M298" s="24"/>
      <c r="N298" s="27" t="str">
        <f aca="false">IF(B298="","",IFERROR(1000-SUMPRODUCT(MAX(ISNUMBER(SEARCH(Rules!$A$5:$A$204,B298))*(Rules!$A$5:$A$204&lt;&gt;"")*(1000-ROW(Rules!$A$5:$A$204)))),""))</f>
        <v/>
      </c>
    </row>
    <row r="299" customFormat="false" ht="15" hidden="false" customHeight="false" outlineLevel="0" collapsed="false">
      <c r="A299" s="23"/>
      <c r="B299" s="24"/>
      <c r="C299" s="25"/>
      <c r="D299" s="24"/>
      <c r="E299" s="21" t="str">
        <f aca="false">IF(OR(B299="",N(N299)=0,N299=1000),IF(B299="","","Check"),INDEX(Rules!$B:$B,N299))</f>
        <v/>
      </c>
      <c r="F299" s="21" t="str">
        <f aca="false">IF(OR(B299="",N(N299)=0,N299=1000),"",INDEX(Rules!$C:$C,N299))</f>
        <v/>
      </c>
      <c r="G299" s="24"/>
      <c r="H299" s="24"/>
      <c r="I299" s="20" t="str">
        <f aca="false">IF(B299="","",IF(G299&lt;&gt;"",G299,E299))</f>
        <v/>
      </c>
      <c r="J299" s="21" t="str">
        <f aca="false">IF(B299="","",IF(H299&lt;&gt;"",H299,F299))</f>
        <v/>
      </c>
      <c r="K299" s="26" t="str">
        <f aca="false">IF(A299="","",DATE(YEAR(A299),MONTH(A299),1))</f>
        <v/>
      </c>
      <c r="L299" s="21" t="str">
        <f aca="false">IF(J299="",IF(B299="","",IF(N(C299)&gt;=0,"Income","Expense")),IFERROR(INDEX(Lists!$B$2:$B$30,MATCH(J299,Lists!$A$2:$A$30,0)),""))</f>
        <v/>
      </c>
      <c r="M299" s="24"/>
      <c r="N299" s="27" t="str">
        <f aca="false">IF(B299="","",IFERROR(1000-SUMPRODUCT(MAX(ISNUMBER(SEARCH(Rules!$A$5:$A$204,B299))*(Rules!$A$5:$A$204&lt;&gt;"")*(1000-ROW(Rules!$A$5:$A$204)))),""))</f>
        <v/>
      </c>
    </row>
    <row r="300" customFormat="false" ht="15" hidden="false" customHeight="false" outlineLevel="0" collapsed="false">
      <c r="A300" s="23"/>
      <c r="B300" s="24"/>
      <c r="C300" s="25"/>
      <c r="D300" s="24"/>
      <c r="E300" s="21" t="str">
        <f aca="false">IF(OR(B300="",N(N300)=0,N300=1000),IF(B300="","","Check"),INDEX(Rules!$B:$B,N300))</f>
        <v/>
      </c>
      <c r="F300" s="21" t="str">
        <f aca="false">IF(OR(B300="",N(N300)=0,N300=1000),"",INDEX(Rules!$C:$C,N300))</f>
        <v/>
      </c>
      <c r="G300" s="24"/>
      <c r="H300" s="24"/>
      <c r="I300" s="20" t="str">
        <f aca="false">IF(B300="","",IF(G300&lt;&gt;"",G300,E300))</f>
        <v/>
      </c>
      <c r="J300" s="21" t="str">
        <f aca="false">IF(B300="","",IF(H300&lt;&gt;"",H300,F300))</f>
        <v/>
      </c>
      <c r="K300" s="26" t="str">
        <f aca="false">IF(A300="","",DATE(YEAR(A300),MONTH(A300),1))</f>
        <v/>
      </c>
      <c r="L300" s="21" t="str">
        <f aca="false">IF(J300="",IF(B300="","",IF(N(C300)&gt;=0,"Income","Expense")),IFERROR(INDEX(Lists!$B$2:$B$30,MATCH(J300,Lists!$A$2:$A$30,0)),""))</f>
        <v/>
      </c>
      <c r="M300" s="24"/>
      <c r="N300" s="27" t="str">
        <f aca="false">IF(B300="","",IFERROR(1000-SUMPRODUCT(MAX(ISNUMBER(SEARCH(Rules!$A$5:$A$204,B300))*(Rules!$A$5:$A$204&lt;&gt;"")*(1000-ROW(Rules!$A$5:$A$204)))),""))</f>
        <v/>
      </c>
    </row>
    <row r="301" customFormat="false" ht="15" hidden="false" customHeight="false" outlineLevel="0" collapsed="false">
      <c r="A301" s="23"/>
      <c r="B301" s="24"/>
      <c r="C301" s="25"/>
      <c r="D301" s="24"/>
      <c r="E301" s="21" t="str">
        <f aca="false">IF(OR(B301="",N(N301)=0,N301=1000),IF(B301="","","Check"),INDEX(Rules!$B:$B,N301))</f>
        <v/>
      </c>
      <c r="F301" s="21" t="str">
        <f aca="false">IF(OR(B301="",N(N301)=0,N301=1000),"",INDEX(Rules!$C:$C,N301))</f>
        <v/>
      </c>
      <c r="G301" s="24"/>
      <c r="H301" s="24"/>
      <c r="I301" s="20" t="str">
        <f aca="false">IF(B301="","",IF(G301&lt;&gt;"",G301,E301))</f>
        <v/>
      </c>
      <c r="J301" s="21" t="str">
        <f aca="false">IF(B301="","",IF(H301&lt;&gt;"",H301,F301))</f>
        <v/>
      </c>
      <c r="K301" s="26" t="str">
        <f aca="false">IF(A301="","",DATE(YEAR(A301),MONTH(A301),1))</f>
        <v/>
      </c>
      <c r="L301" s="21" t="str">
        <f aca="false">IF(J301="",IF(B301="","",IF(N(C301)&gt;=0,"Income","Expense")),IFERROR(INDEX(Lists!$B$2:$B$30,MATCH(J301,Lists!$A$2:$A$30,0)),""))</f>
        <v/>
      </c>
      <c r="M301" s="24"/>
      <c r="N301" s="27" t="str">
        <f aca="false">IF(B301="","",IFERROR(1000-SUMPRODUCT(MAX(ISNUMBER(SEARCH(Rules!$A$5:$A$204,B301))*(Rules!$A$5:$A$204&lt;&gt;"")*(1000-ROW(Rules!$A$5:$A$204)))),""))</f>
        <v/>
      </c>
    </row>
    <row r="302" customFormat="false" ht="15" hidden="false" customHeight="false" outlineLevel="0" collapsed="false">
      <c r="A302" s="23"/>
      <c r="B302" s="24"/>
      <c r="C302" s="25"/>
      <c r="D302" s="24"/>
      <c r="E302" s="21" t="str">
        <f aca="false">IF(OR(B302="",N(N302)=0,N302=1000),IF(B302="","","Check"),INDEX(Rules!$B:$B,N302))</f>
        <v/>
      </c>
      <c r="F302" s="21" t="str">
        <f aca="false">IF(OR(B302="",N(N302)=0,N302=1000),"",INDEX(Rules!$C:$C,N302))</f>
        <v/>
      </c>
      <c r="G302" s="24"/>
      <c r="H302" s="24"/>
      <c r="I302" s="20" t="str">
        <f aca="false">IF(B302="","",IF(G302&lt;&gt;"",G302,E302))</f>
        <v/>
      </c>
      <c r="J302" s="21" t="str">
        <f aca="false">IF(B302="","",IF(H302&lt;&gt;"",H302,F302))</f>
        <v/>
      </c>
      <c r="K302" s="26" t="str">
        <f aca="false">IF(A302="","",DATE(YEAR(A302),MONTH(A302),1))</f>
        <v/>
      </c>
      <c r="L302" s="21" t="str">
        <f aca="false">IF(J302="",IF(B302="","",IF(N(C302)&gt;=0,"Income","Expense")),IFERROR(INDEX(Lists!$B$2:$B$30,MATCH(J302,Lists!$A$2:$A$30,0)),""))</f>
        <v/>
      </c>
      <c r="M302" s="24"/>
      <c r="N302" s="27" t="str">
        <f aca="false">IF(B302="","",IFERROR(1000-SUMPRODUCT(MAX(ISNUMBER(SEARCH(Rules!$A$5:$A$204,B302))*(Rules!$A$5:$A$204&lt;&gt;"")*(1000-ROW(Rules!$A$5:$A$204)))),""))</f>
        <v/>
      </c>
    </row>
    <row r="303" customFormat="false" ht="15" hidden="false" customHeight="false" outlineLevel="0" collapsed="false">
      <c r="A303" s="23"/>
      <c r="B303" s="24"/>
      <c r="C303" s="25"/>
      <c r="D303" s="24"/>
      <c r="E303" s="21" t="str">
        <f aca="false">IF(OR(B303="",N(N303)=0,N303=1000),IF(B303="","","Check"),INDEX(Rules!$B:$B,N303))</f>
        <v/>
      </c>
      <c r="F303" s="21" t="str">
        <f aca="false">IF(OR(B303="",N(N303)=0,N303=1000),"",INDEX(Rules!$C:$C,N303))</f>
        <v/>
      </c>
      <c r="G303" s="24"/>
      <c r="H303" s="24"/>
      <c r="I303" s="20" t="str">
        <f aca="false">IF(B303="","",IF(G303&lt;&gt;"",G303,E303))</f>
        <v/>
      </c>
      <c r="J303" s="21" t="str">
        <f aca="false">IF(B303="","",IF(H303&lt;&gt;"",H303,F303))</f>
        <v/>
      </c>
      <c r="K303" s="26" t="str">
        <f aca="false">IF(A303="","",DATE(YEAR(A303),MONTH(A303),1))</f>
        <v/>
      </c>
      <c r="L303" s="21" t="str">
        <f aca="false">IF(J303="",IF(B303="","",IF(N(C303)&gt;=0,"Income","Expense")),IFERROR(INDEX(Lists!$B$2:$B$30,MATCH(J303,Lists!$A$2:$A$30,0)),""))</f>
        <v/>
      </c>
      <c r="M303" s="24"/>
      <c r="N303" s="27" t="str">
        <f aca="false">IF(B303="","",IFERROR(1000-SUMPRODUCT(MAX(ISNUMBER(SEARCH(Rules!$A$5:$A$204,B303))*(Rules!$A$5:$A$204&lt;&gt;"")*(1000-ROW(Rules!$A$5:$A$204)))),""))</f>
        <v/>
      </c>
    </row>
    <row r="304" customFormat="false" ht="15" hidden="false" customHeight="false" outlineLevel="0" collapsed="false">
      <c r="A304" s="23"/>
      <c r="B304" s="24"/>
      <c r="C304" s="25"/>
      <c r="D304" s="24"/>
      <c r="E304" s="21" t="str">
        <f aca="false">IF(OR(B304="",N(N304)=0,N304=1000),IF(B304="","","Check"),INDEX(Rules!$B:$B,N304))</f>
        <v/>
      </c>
      <c r="F304" s="21" t="str">
        <f aca="false">IF(OR(B304="",N(N304)=0,N304=1000),"",INDEX(Rules!$C:$C,N304))</f>
        <v/>
      </c>
      <c r="G304" s="24"/>
      <c r="H304" s="24"/>
      <c r="I304" s="20" t="str">
        <f aca="false">IF(B304="","",IF(G304&lt;&gt;"",G304,E304))</f>
        <v/>
      </c>
      <c r="J304" s="21" t="str">
        <f aca="false">IF(B304="","",IF(H304&lt;&gt;"",H304,F304))</f>
        <v/>
      </c>
      <c r="K304" s="26" t="str">
        <f aca="false">IF(A304="","",DATE(YEAR(A304),MONTH(A304),1))</f>
        <v/>
      </c>
      <c r="L304" s="21" t="str">
        <f aca="false">IF(J304="",IF(B304="","",IF(N(C304)&gt;=0,"Income","Expense")),IFERROR(INDEX(Lists!$B$2:$B$30,MATCH(J304,Lists!$A$2:$A$30,0)),""))</f>
        <v/>
      </c>
      <c r="M304" s="24"/>
      <c r="N304" s="27" t="str">
        <f aca="false">IF(B304="","",IFERROR(1000-SUMPRODUCT(MAX(ISNUMBER(SEARCH(Rules!$A$5:$A$204,B304))*(Rules!$A$5:$A$204&lt;&gt;"")*(1000-ROW(Rules!$A$5:$A$204)))),""))</f>
        <v/>
      </c>
    </row>
    <row r="305" customFormat="false" ht="15" hidden="false" customHeight="false" outlineLevel="0" collapsed="false">
      <c r="A305" s="23"/>
      <c r="B305" s="24"/>
      <c r="C305" s="25"/>
      <c r="D305" s="24"/>
      <c r="E305" s="21" t="str">
        <f aca="false">IF(OR(B305="",N(N305)=0,N305=1000),IF(B305="","","Check"),INDEX(Rules!$B:$B,N305))</f>
        <v/>
      </c>
      <c r="F305" s="21" t="str">
        <f aca="false">IF(OR(B305="",N(N305)=0,N305=1000),"",INDEX(Rules!$C:$C,N305))</f>
        <v/>
      </c>
      <c r="G305" s="24"/>
      <c r="H305" s="24"/>
      <c r="I305" s="20" t="str">
        <f aca="false">IF(B305="","",IF(G305&lt;&gt;"",G305,E305))</f>
        <v/>
      </c>
      <c r="J305" s="21" t="str">
        <f aca="false">IF(B305="","",IF(H305&lt;&gt;"",H305,F305))</f>
        <v/>
      </c>
      <c r="K305" s="26" t="str">
        <f aca="false">IF(A305="","",DATE(YEAR(A305),MONTH(A305),1))</f>
        <v/>
      </c>
      <c r="L305" s="21" t="str">
        <f aca="false">IF(J305="",IF(B305="","",IF(N(C305)&gt;=0,"Income","Expense")),IFERROR(INDEX(Lists!$B$2:$B$30,MATCH(J305,Lists!$A$2:$A$30,0)),""))</f>
        <v/>
      </c>
      <c r="M305" s="24"/>
      <c r="N305" s="27" t="str">
        <f aca="false">IF(B305="","",IFERROR(1000-SUMPRODUCT(MAX(ISNUMBER(SEARCH(Rules!$A$5:$A$204,B305))*(Rules!$A$5:$A$204&lt;&gt;"")*(1000-ROW(Rules!$A$5:$A$204)))),""))</f>
        <v/>
      </c>
    </row>
    <row r="306" customFormat="false" ht="15" hidden="false" customHeight="false" outlineLevel="0" collapsed="false">
      <c r="A306" s="23"/>
      <c r="B306" s="24"/>
      <c r="C306" s="25"/>
      <c r="D306" s="24"/>
      <c r="E306" s="21" t="str">
        <f aca="false">IF(OR(B306="",N(N306)=0,N306=1000),IF(B306="","","Check"),INDEX(Rules!$B:$B,N306))</f>
        <v/>
      </c>
      <c r="F306" s="21" t="str">
        <f aca="false">IF(OR(B306="",N(N306)=0,N306=1000),"",INDEX(Rules!$C:$C,N306))</f>
        <v/>
      </c>
      <c r="G306" s="24"/>
      <c r="H306" s="24"/>
      <c r="I306" s="20" t="str">
        <f aca="false">IF(B306="","",IF(G306&lt;&gt;"",G306,E306))</f>
        <v/>
      </c>
      <c r="J306" s="21" t="str">
        <f aca="false">IF(B306="","",IF(H306&lt;&gt;"",H306,F306))</f>
        <v/>
      </c>
      <c r="K306" s="26" t="str">
        <f aca="false">IF(A306="","",DATE(YEAR(A306),MONTH(A306),1))</f>
        <v/>
      </c>
      <c r="L306" s="21" t="str">
        <f aca="false">IF(J306="",IF(B306="","",IF(N(C306)&gt;=0,"Income","Expense")),IFERROR(INDEX(Lists!$B$2:$B$30,MATCH(J306,Lists!$A$2:$A$30,0)),""))</f>
        <v/>
      </c>
      <c r="M306" s="24"/>
      <c r="N306" s="27" t="str">
        <f aca="false">IF(B306="","",IFERROR(1000-SUMPRODUCT(MAX(ISNUMBER(SEARCH(Rules!$A$5:$A$204,B306))*(Rules!$A$5:$A$204&lt;&gt;"")*(1000-ROW(Rules!$A$5:$A$204)))),""))</f>
        <v/>
      </c>
    </row>
    <row r="307" customFormat="false" ht="15" hidden="false" customHeight="false" outlineLevel="0" collapsed="false">
      <c r="A307" s="23"/>
      <c r="B307" s="24"/>
      <c r="C307" s="25"/>
      <c r="D307" s="24"/>
      <c r="E307" s="21" t="str">
        <f aca="false">IF(OR(B307="",N(N307)=0,N307=1000),IF(B307="","","Check"),INDEX(Rules!$B:$B,N307))</f>
        <v/>
      </c>
      <c r="F307" s="21" t="str">
        <f aca="false">IF(OR(B307="",N(N307)=0,N307=1000),"",INDEX(Rules!$C:$C,N307))</f>
        <v/>
      </c>
      <c r="G307" s="24"/>
      <c r="H307" s="24"/>
      <c r="I307" s="20" t="str">
        <f aca="false">IF(B307="","",IF(G307&lt;&gt;"",G307,E307))</f>
        <v/>
      </c>
      <c r="J307" s="21" t="str">
        <f aca="false">IF(B307="","",IF(H307&lt;&gt;"",H307,F307))</f>
        <v/>
      </c>
      <c r="K307" s="26" t="str">
        <f aca="false">IF(A307="","",DATE(YEAR(A307),MONTH(A307),1))</f>
        <v/>
      </c>
      <c r="L307" s="21" t="str">
        <f aca="false">IF(J307="",IF(B307="","",IF(N(C307)&gt;=0,"Income","Expense")),IFERROR(INDEX(Lists!$B$2:$B$30,MATCH(J307,Lists!$A$2:$A$30,0)),""))</f>
        <v/>
      </c>
      <c r="M307" s="24"/>
      <c r="N307" s="27" t="str">
        <f aca="false">IF(B307="","",IFERROR(1000-SUMPRODUCT(MAX(ISNUMBER(SEARCH(Rules!$A$5:$A$204,B307))*(Rules!$A$5:$A$204&lt;&gt;"")*(1000-ROW(Rules!$A$5:$A$204)))),""))</f>
        <v/>
      </c>
    </row>
    <row r="308" customFormat="false" ht="15" hidden="false" customHeight="false" outlineLevel="0" collapsed="false">
      <c r="A308" s="23"/>
      <c r="B308" s="24"/>
      <c r="C308" s="25"/>
      <c r="D308" s="24"/>
      <c r="E308" s="21" t="str">
        <f aca="false">IF(OR(B308="",N(N308)=0,N308=1000),IF(B308="","","Check"),INDEX(Rules!$B:$B,N308))</f>
        <v/>
      </c>
      <c r="F308" s="21" t="str">
        <f aca="false">IF(OR(B308="",N(N308)=0,N308=1000),"",INDEX(Rules!$C:$C,N308))</f>
        <v/>
      </c>
      <c r="G308" s="24"/>
      <c r="H308" s="24"/>
      <c r="I308" s="20" t="str">
        <f aca="false">IF(B308="","",IF(G308&lt;&gt;"",G308,E308))</f>
        <v/>
      </c>
      <c r="J308" s="21" t="str">
        <f aca="false">IF(B308="","",IF(H308&lt;&gt;"",H308,F308))</f>
        <v/>
      </c>
      <c r="K308" s="26" t="str">
        <f aca="false">IF(A308="","",DATE(YEAR(A308),MONTH(A308),1))</f>
        <v/>
      </c>
      <c r="L308" s="21" t="str">
        <f aca="false">IF(J308="",IF(B308="","",IF(N(C308)&gt;=0,"Income","Expense")),IFERROR(INDEX(Lists!$B$2:$B$30,MATCH(J308,Lists!$A$2:$A$30,0)),""))</f>
        <v/>
      </c>
      <c r="M308" s="24"/>
      <c r="N308" s="27" t="str">
        <f aca="false">IF(B308="","",IFERROR(1000-SUMPRODUCT(MAX(ISNUMBER(SEARCH(Rules!$A$5:$A$204,B308))*(Rules!$A$5:$A$204&lt;&gt;"")*(1000-ROW(Rules!$A$5:$A$204)))),""))</f>
        <v/>
      </c>
    </row>
    <row r="309" customFormat="false" ht="15" hidden="false" customHeight="false" outlineLevel="0" collapsed="false">
      <c r="A309" s="23"/>
      <c r="B309" s="24"/>
      <c r="C309" s="25"/>
      <c r="D309" s="24"/>
      <c r="E309" s="21" t="str">
        <f aca="false">IF(OR(B309="",N(N309)=0,N309=1000),IF(B309="","","Check"),INDEX(Rules!$B:$B,N309))</f>
        <v/>
      </c>
      <c r="F309" s="21" t="str">
        <f aca="false">IF(OR(B309="",N(N309)=0,N309=1000),"",INDEX(Rules!$C:$C,N309))</f>
        <v/>
      </c>
      <c r="G309" s="24"/>
      <c r="H309" s="24"/>
      <c r="I309" s="20" t="str">
        <f aca="false">IF(B309="","",IF(G309&lt;&gt;"",G309,E309))</f>
        <v/>
      </c>
      <c r="J309" s="21" t="str">
        <f aca="false">IF(B309="","",IF(H309&lt;&gt;"",H309,F309))</f>
        <v/>
      </c>
      <c r="K309" s="26" t="str">
        <f aca="false">IF(A309="","",DATE(YEAR(A309),MONTH(A309),1))</f>
        <v/>
      </c>
      <c r="L309" s="21" t="str">
        <f aca="false">IF(J309="",IF(B309="","",IF(N(C309)&gt;=0,"Income","Expense")),IFERROR(INDEX(Lists!$B$2:$B$30,MATCH(J309,Lists!$A$2:$A$30,0)),""))</f>
        <v/>
      </c>
      <c r="M309" s="24"/>
      <c r="N309" s="27" t="str">
        <f aca="false">IF(B309="","",IFERROR(1000-SUMPRODUCT(MAX(ISNUMBER(SEARCH(Rules!$A$5:$A$204,B309))*(Rules!$A$5:$A$204&lt;&gt;"")*(1000-ROW(Rules!$A$5:$A$204)))),""))</f>
        <v/>
      </c>
    </row>
    <row r="310" customFormat="false" ht="15" hidden="false" customHeight="false" outlineLevel="0" collapsed="false">
      <c r="A310" s="23"/>
      <c r="B310" s="24"/>
      <c r="C310" s="25"/>
      <c r="D310" s="24"/>
      <c r="E310" s="21" t="str">
        <f aca="false">IF(OR(B310="",N(N310)=0,N310=1000),IF(B310="","","Check"),INDEX(Rules!$B:$B,N310))</f>
        <v/>
      </c>
      <c r="F310" s="21" t="str">
        <f aca="false">IF(OR(B310="",N(N310)=0,N310=1000),"",INDEX(Rules!$C:$C,N310))</f>
        <v/>
      </c>
      <c r="G310" s="24"/>
      <c r="H310" s="24"/>
      <c r="I310" s="20" t="str">
        <f aca="false">IF(B310="","",IF(G310&lt;&gt;"",G310,E310))</f>
        <v/>
      </c>
      <c r="J310" s="21" t="str">
        <f aca="false">IF(B310="","",IF(H310&lt;&gt;"",H310,F310))</f>
        <v/>
      </c>
      <c r="K310" s="26" t="str">
        <f aca="false">IF(A310="","",DATE(YEAR(A310),MONTH(A310),1))</f>
        <v/>
      </c>
      <c r="L310" s="21" t="str">
        <f aca="false">IF(J310="",IF(B310="","",IF(N(C310)&gt;=0,"Income","Expense")),IFERROR(INDEX(Lists!$B$2:$B$30,MATCH(J310,Lists!$A$2:$A$30,0)),""))</f>
        <v/>
      </c>
      <c r="M310" s="24"/>
      <c r="N310" s="27" t="str">
        <f aca="false">IF(B310="","",IFERROR(1000-SUMPRODUCT(MAX(ISNUMBER(SEARCH(Rules!$A$5:$A$204,B310))*(Rules!$A$5:$A$204&lt;&gt;"")*(1000-ROW(Rules!$A$5:$A$204)))),""))</f>
        <v/>
      </c>
    </row>
    <row r="311" customFormat="false" ht="15" hidden="false" customHeight="false" outlineLevel="0" collapsed="false">
      <c r="A311" s="23"/>
      <c r="B311" s="24"/>
      <c r="C311" s="25"/>
      <c r="D311" s="24"/>
      <c r="E311" s="21" t="str">
        <f aca="false">IF(OR(B311="",N(N311)=0,N311=1000),IF(B311="","","Check"),INDEX(Rules!$B:$B,N311))</f>
        <v/>
      </c>
      <c r="F311" s="21" t="str">
        <f aca="false">IF(OR(B311="",N(N311)=0,N311=1000),"",INDEX(Rules!$C:$C,N311))</f>
        <v/>
      </c>
      <c r="G311" s="24"/>
      <c r="H311" s="24"/>
      <c r="I311" s="20" t="str">
        <f aca="false">IF(B311="","",IF(G311&lt;&gt;"",G311,E311))</f>
        <v/>
      </c>
      <c r="J311" s="21" t="str">
        <f aca="false">IF(B311="","",IF(H311&lt;&gt;"",H311,F311))</f>
        <v/>
      </c>
      <c r="K311" s="26" t="str">
        <f aca="false">IF(A311="","",DATE(YEAR(A311),MONTH(A311),1))</f>
        <v/>
      </c>
      <c r="L311" s="21" t="str">
        <f aca="false">IF(J311="",IF(B311="","",IF(N(C311)&gt;=0,"Income","Expense")),IFERROR(INDEX(Lists!$B$2:$B$30,MATCH(J311,Lists!$A$2:$A$30,0)),""))</f>
        <v/>
      </c>
      <c r="M311" s="24"/>
      <c r="N311" s="27" t="str">
        <f aca="false">IF(B311="","",IFERROR(1000-SUMPRODUCT(MAX(ISNUMBER(SEARCH(Rules!$A$5:$A$204,B311))*(Rules!$A$5:$A$204&lt;&gt;"")*(1000-ROW(Rules!$A$5:$A$204)))),""))</f>
        <v/>
      </c>
    </row>
    <row r="312" customFormat="false" ht="15" hidden="false" customHeight="false" outlineLevel="0" collapsed="false">
      <c r="A312" s="23"/>
      <c r="B312" s="24"/>
      <c r="C312" s="25"/>
      <c r="D312" s="24"/>
      <c r="E312" s="21" t="str">
        <f aca="false">IF(OR(B312="",N(N312)=0,N312=1000),IF(B312="","","Check"),INDEX(Rules!$B:$B,N312))</f>
        <v/>
      </c>
      <c r="F312" s="21" t="str">
        <f aca="false">IF(OR(B312="",N(N312)=0,N312=1000),"",INDEX(Rules!$C:$C,N312))</f>
        <v/>
      </c>
      <c r="G312" s="24"/>
      <c r="H312" s="24"/>
      <c r="I312" s="20" t="str">
        <f aca="false">IF(B312="","",IF(G312&lt;&gt;"",G312,E312))</f>
        <v/>
      </c>
      <c r="J312" s="21" t="str">
        <f aca="false">IF(B312="","",IF(H312&lt;&gt;"",H312,F312))</f>
        <v/>
      </c>
      <c r="K312" s="26" t="str">
        <f aca="false">IF(A312="","",DATE(YEAR(A312),MONTH(A312),1))</f>
        <v/>
      </c>
      <c r="L312" s="21" t="str">
        <f aca="false">IF(J312="",IF(B312="","",IF(N(C312)&gt;=0,"Income","Expense")),IFERROR(INDEX(Lists!$B$2:$B$30,MATCH(J312,Lists!$A$2:$A$30,0)),""))</f>
        <v/>
      </c>
      <c r="M312" s="24"/>
      <c r="N312" s="27" t="str">
        <f aca="false">IF(B312="","",IFERROR(1000-SUMPRODUCT(MAX(ISNUMBER(SEARCH(Rules!$A$5:$A$204,B312))*(Rules!$A$5:$A$204&lt;&gt;"")*(1000-ROW(Rules!$A$5:$A$204)))),""))</f>
        <v/>
      </c>
    </row>
    <row r="313" customFormat="false" ht="15" hidden="false" customHeight="false" outlineLevel="0" collapsed="false">
      <c r="A313" s="23"/>
      <c r="B313" s="24"/>
      <c r="C313" s="25"/>
      <c r="D313" s="24"/>
      <c r="E313" s="21" t="str">
        <f aca="false">IF(OR(B313="",N(N313)=0,N313=1000),IF(B313="","","Check"),INDEX(Rules!$B:$B,N313))</f>
        <v/>
      </c>
      <c r="F313" s="21" t="str">
        <f aca="false">IF(OR(B313="",N(N313)=0,N313=1000),"",INDEX(Rules!$C:$C,N313))</f>
        <v/>
      </c>
      <c r="G313" s="24"/>
      <c r="H313" s="24"/>
      <c r="I313" s="20" t="str">
        <f aca="false">IF(B313="","",IF(G313&lt;&gt;"",G313,E313))</f>
        <v/>
      </c>
      <c r="J313" s="21" t="str">
        <f aca="false">IF(B313="","",IF(H313&lt;&gt;"",H313,F313))</f>
        <v/>
      </c>
      <c r="K313" s="26" t="str">
        <f aca="false">IF(A313="","",DATE(YEAR(A313),MONTH(A313),1))</f>
        <v/>
      </c>
      <c r="L313" s="21" t="str">
        <f aca="false">IF(J313="",IF(B313="","",IF(N(C313)&gt;=0,"Income","Expense")),IFERROR(INDEX(Lists!$B$2:$B$30,MATCH(J313,Lists!$A$2:$A$30,0)),""))</f>
        <v/>
      </c>
      <c r="M313" s="24"/>
      <c r="N313" s="27" t="str">
        <f aca="false">IF(B313="","",IFERROR(1000-SUMPRODUCT(MAX(ISNUMBER(SEARCH(Rules!$A$5:$A$204,B313))*(Rules!$A$5:$A$204&lt;&gt;"")*(1000-ROW(Rules!$A$5:$A$204)))),""))</f>
        <v/>
      </c>
    </row>
    <row r="314" customFormat="false" ht="15" hidden="false" customHeight="false" outlineLevel="0" collapsed="false">
      <c r="A314" s="23"/>
      <c r="B314" s="24"/>
      <c r="C314" s="25"/>
      <c r="D314" s="24"/>
      <c r="E314" s="21" t="str">
        <f aca="false">IF(OR(B314="",N(N314)=0,N314=1000),IF(B314="","","Check"),INDEX(Rules!$B:$B,N314))</f>
        <v/>
      </c>
      <c r="F314" s="21" t="str">
        <f aca="false">IF(OR(B314="",N(N314)=0,N314=1000),"",INDEX(Rules!$C:$C,N314))</f>
        <v/>
      </c>
      <c r="G314" s="24"/>
      <c r="H314" s="24"/>
      <c r="I314" s="20" t="str">
        <f aca="false">IF(B314="","",IF(G314&lt;&gt;"",G314,E314))</f>
        <v/>
      </c>
      <c r="J314" s="21" t="str">
        <f aca="false">IF(B314="","",IF(H314&lt;&gt;"",H314,F314))</f>
        <v/>
      </c>
      <c r="K314" s="26" t="str">
        <f aca="false">IF(A314="","",DATE(YEAR(A314),MONTH(A314),1))</f>
        <v/>
      </c>
      <c r="L314" s="21" t="str">
        <f aca="false">IF(J314="",IF(B314="","",IF(N(C314)&gt;=0,"Income","Expense")),IFERROR(INDEX(Lists!$B$2:$B$30,MATCH(J314,Lists!$A$2:$A$30,0)),""))</f>
        <v/>
      </c>
      <c r="M314" s="24"/>
      <c r="N314" s="27" t="str">
        <f aca="false">IF(B314="","",IFERROR(1000-SUMPRODUCT(MAX(ISNUMBER(SEARCH(Rules!$A$5:$A$204,B314))*(Rules!$A$5:$A$204&lt;&gt;"")*(1000-ROW(Rules!$A$5:$A$204)))),""))</f>
        <v/>
      </c>
    </row>
    <row r="315" customFormat="false" ht="15" hidden="false" customHeight="false" outlineLevel="0" collapsed="false">
      <c r="A315" s="23"/>
      <c r="B315" s="24"/>
      <c r="C315" s="25"/>
      <c r="D315" s="24"/>
      <c r="E315" s="21" t="str">
        <f aca="false">IF(OR(B315="",N(N315)=0,N315=1000),IF(B315="","","Check"),INDEX(Rules!$B:$B,N315))</f>
        <v/>
      </c>
      <c r="F315" s="21" t="str">
        <f aca="false">IF(OR(B315="",N(N315)=0,N315=1000),"",INDEX(Rules!$C:$C,N315))</f>
        <v/>
      </c>
      <c r="G315" s="24"/>
      <c r="H315" s="24"/>
      <c r="I315" s="20" t="str">
        <f aca="false">IF(B315="","",IF(G315&lt;&gt;"",G315,E315))</f>
        <v/>
      </c>
      <c r="J315" s="21" t="str">
        <f aca="false">IF(B315="","",IF(H315&lt;&gt;"",H315,F315))</f>
        <v/>
      </c>
      <c r="K315" s="26" t="str">
        <f aca="false">IF(A315="","",DATE(YEAR(A315),MONTH(A315),1))</f>
        <v/>
      </c>
      <c r="L315" s="21" t="str">
        <f aca="false">IF(J315="",IF(B315="","",IF(N(C315)&gt;=0,"Income","Expense")),IFERROR(INDEX(Lists!$B$2:$B$30,MATCH(J315,Lists!$A$2:$A$30,0)),""))</f>
        <v/>
      </c>
      <c r="M315" s="24"/>
      <c r="N315" s="27" t="str">
        <f aca="false">IF(B315="","",IFERROR(1000-SUMPRODUCT(MAX(ISNUMBER(SEARCH(Rules!$A$5:$A$204,B315))*(Rules!$A$5:$A$204&lt;&gt;"")*(1000-ROW(Rules!$A$5:$A$204)))),""))</f>
        <v/>
      </c>
    </row>
    <row r="316" customFormat="false" ht="15" hidden="false" customHeight="false" outlineLevel="0" collapsed="false">
      <c r="A316" s="23"/>
      <c r="B316" s="24"/>
      <c r="C316" s="25"/>
      <c r="D316" s="24"/>
      <c r="E316" s="21" t="str">
        <f aca="false">IF(OR(B316="",N(N316)=0,N316=1000),IF(B316="","","Check"),INDEX(Rules!$B:$B,N316))</f>
        <v/>
      </c>
      <c r="F316" s="21" t="str">
        <f aca="false">IF(OR(B316="",N(N316)=0,N316=1000),"",INDEX(Rules!$C:$C,N316))</f>
        <v/>
      </c>
      <c r="G316" s="24"/>
      <c r="H316" s="24"/>
      <c r="I316" s="20" t="str">
        <f aca="false">IF(B316="","",IF(G316&lt;&gt;"",G316,E316))</f>
        <v/>
      </c>
      <c r="J316" s="21" t="str">
        <f aca="false">IF(B316="","",IF(H316&lt;&gt;"",H316,F316))</f>
        <v/>
      </c>
      <c r="K316" s="26" t="str">
        <f aca="false">IF(A316="","",DATE(YEAR(A316),MONTH(A316),1))</f>
        <v/>
      </c>
      <c r="L316" s="21" t="str">
        <f aca="false">IF(J316="",IF(B316="","",IF(N(C316)&gt;=0,"Income","Expense")),IFERROR(INDEX(Lists!$B$2:$B$30,MATCH(J316,Lists!$A$2:$A$30,0)),""))</f>
        <v/>
      </c>
      <c r="M316" s="24"/>
      <c r="N316" s="27" t="str">
        <f aca="false">IF(B316="","",IFERROR(1000-SUMPRODUCT(MAX(ISNUMBER(SEARCH(Rules!$A$5:$A$204,B316))*(Rules!$A$5:$A$204&lt;&gt;"")*(1000-ROW(Rules!$A$5:$A$204)))),""))</f>
        <v/>
      </c>
    </row>
    <row r="317" customFormat="false" ht="15" hidden="false" customHeight="false" outlineLevel="0" collapsed="false">
      <c r="A317" s="23"/>
      <c r="B317" s="24"/>
      <c r="C317" s="25"/>
      <c r="D317" s="24"/>
      <c r="E317" s="21" t="str">
        <f aca="false">IF(OR(B317="",N(N317)=0,N317=1000),IF(B317="","","Check"),INDEX(Rules!$B:$B,N317))</f>
        <v/>
      </c>
      <c r="F317" s="21" t="str">
        <f aca="false">IF(OR(B317="",N(N317)=0,N317=1000),"",INDEX(Rules!$C:$C,N317))</f>
        <v/>
      </c>
      <c r="G317" s="24"/>
      <c r="H317" s="24"/>
      <c r="I317" s="20" t="str">
        <f aca="false">IF(B317="","",IF(G317&lt;&gt;"",G317,E317))</f>
        <v/>
      </c>
      <c r="J317" s="21" t="str">
        <f aca="false">IF(B317="","",IF(H317&lt;&gt;"",H317,F317))</f>
        <v/>
      </c>
      <c r="K317" s="26" t="str">
        <f aca="false">IF(A317="","",DATE(YEAR(A317),MONTH(A317),1))</f>
        <v/>
      </c>
      <c r="L317" s="21" t="str">
        <f aca="false">IF(J317="",IF(B317="","",IF(N(C317)&gt;=0,"Income","Expense")),IFERROR(INDEX(Lists!$B$2:$B$30,MATCH(J317,Lists!$A$2:$A$30,0)),""))</f>
        <v/>
      </c>
      <c r="M317" s="24"/>
      <c r="N317" s="27" t="str">
        <f aca="false">IF(B317="","",IFERROR(1000-SUMPRODUCT(MAX(ISNUMBER(SEARCH(Rules!$A$5:$A$204,B317))*(Rules!$A$5:$A$204&lt;&gt;"")*(1000-ROW(Rules!$A$5:$A$204)))),""))</f>
        <v/>
      </c>
    </row>
    <row r="318" customFormat="false" ht="15" hidden="false" customHeight="false" outlineLevel="0" collapsed="false">
      <c r="A318" s="23"/>
      <c r="B318" s="24"/>
      <c r="C318" s="25"/>
      <c r="D318" s="24"/>
      <c r="E318" s="21" t="str">
        <f aca="false">IF(OR(B318="",N(N318)=0,N318=1000),IF(B318="","","Check"),INDEX(Rules!$B:$B,N318))</f>
        <v/>
      </c>
      <c r="F318" s="21" t="str">
        <f aca="false">IF(OR(B318="",N(N318)=0,N318=1000),"",INDEX(Rules!$C:$C,N318))</f>
        <v/>
      </c>
      <c r="G318" s="24"/>
      <c r="H318" s="24"/>
      <c r="I318" s="20" t="str">
        <f aca="false">IF(B318="","",IF(G318&lt;&gt;"",G318,E318))</f>
        <v/>
      </c>
      <c r="J318" s="21" t="str">
        <f aca="false">IF(B318="","",IF(H318&lt;&gt;"",H318,F318))</f>
        <v/>
      </c>
      <c r="K318" s="26" t="str">
        <f aca="false">IF(A318="","",DATE(YEAR(A318),MONTH(A318),1))</f>
        <v/>
      </c>
      <c r="L318" s="21" t="str">
        <f aca="false">IF(J318="",IF(B318="","",IF(N(C318)&gt;=0,"Income","Expense")),IFERROR(INDEX(Lists!$B$2:$B$30,MATCH(J318,Lists!$A$2:$A$30,0)),""))</f>
        <v/>
      </c>
      <c r="M318" s="24"/>
      <c r="N318" s="27" t="str">
        <f aca="false">IF(B318="","",IFERROR(1000-SUMPRODUCT(MAX(ISNUMBER(SEARCH(Rules!$A$5:$A$204,B318))*(Rules!$A$5:$A$204&lt;&gt;"")*(1000-ROW(Rules!$A$5:$A$204)))),""))</f>
        <v/>
      </c>
    </row>
    <row r="319" customFormat="false" ht="15" hidden="false" customHeight="false" outlineLevel="0" collapsed="false">
      <c r="A319" s="23"/>
      <c r="B319" s="24"/>
      <c r="C319" s="25"/>
      <c r="D319" s="24"/>
      <c r="E319" s="21" t="str">
        <f aca="false">IF(OR(B319="",N(N319)=0,N319=1000),IF(B319="","","Check"),INDEX(Rules!$B:$B,N319))</f>
        <v/>
      </c>
      <c r="F319" s="21" t="str">
        <f aca="false">IF(OR(B319="",N(N319)=0,N319=1000),"",INDEX(Rules!$C:$C,N319))</f>
        <v/>
      </c>
      <c r="G319" s="24"/>
      <c r="H319" s="24"/>
      <c r="I319" s="20" t="str">
        <f aca="false">IF(B319="","",IF(G319&lt;&gt;"",G319,E319))</f>
        <v/>
      </c>
      <c r="J319" s="21" t="str">
        <f aca="false">IF(B319="","",IF(H319&lt;&gt;"",H319,F319))</f>
        <v/>
      </c>
      <c r="K319" s="26" t="str">
        <f aca="false">IF(A319="","",DATE(YEAR(A319),MONTH(A319),1))</f>
        <v/>
      </c>
      <c r="L319" s="21" t="str">
        <f aca="false">IF(J319="",IF(B319="","",IF(N(C319)&gt;=0,"Income","Expense")),IFERROR(INDEX(Lists!$B$2:$B$30,MATCH(J319,Lists!$A$2:$A$30,0)),""))</f>
        <v/>
      </c>
      <c r="M319" s="24"/>
      <c r="N319" s="27" t="str">
        <f aca="false">IF(B319="","",IFERROR(1000-SUMPRODUCT(MAX(ISNUMBER(SEARCH(Rules!$A$5:$A$204,B319))*(Rules!$A$5:$A$204&lt;&gt;"")*(1000-ROW(Rules!$A$5:$A$204)))),""))</f>
        <v/>
      </c>
    </row>
    <row r="320" customFormat="false" ht="15" hidden="false" customHeight="false" outlineLevel="0" collapsed="false">
      <c r="A320" s="23"/>
      <c r="B320" s="24"/>
      <c r="C320" s="25"/>
      <c r="D320" s="24"/>
      <c r="E320" s="21" t="str">
        <f aca="false">IF(OR(B320="",N(N320)=0,N320=1000),IF(B320="","","Check"),INDEX(Rules!$B:$B,N320))</f>
        <v/>
      </c>
      <c r="F320" s="21" t="str">
        <f aca="false">IF(OR(B320="",N(N320)=0,N320=1000),"",INDEX(Rules!$C:$C,N320))</f>
        <v/>
      </c>
      <c r="G320" s="24"/>
      <c r="H320" s="24"/>
      <c r="I320" s="20" t="str">
        <f aca="false">IF(B320="","",IF(G320&lt;&gt;"",G320,E320))</f>
        <v/>
      </c>
      <c r="J320" s="21" t="str">
        <f aca="false">IF(B320="","",IF(H320&lt;&gt;"",H320,F320))</f>
        <v/>
      </c>
      <c r="K320" s="26" t="str">
        <f aca="false">IF(A320="","",DATE(YEAR(A320),MONTH(A320),1))</f>
        <v/>
      </c>
      <c r="L320" s="21" t="str">
        <f aca="false">IF(J320="",IF(B320="","",IF(N(C320)&gt;=0,"Income","Expense")),IFERROR(INDEX(Lists!$B$2:$B$30,MATCH(J320,Lists!$A$2:$A$30,0)),""))</f>
        <v/>
      </c>
      <c r="M320" s="24"/>
      <c r="N320" s="27" t="str">
        <f aca="false">IF(B320="","",IFERROR(1000-SUMPRODUCT(MAX(ISNUMBER(SEARCH(Rules!$A$5:$A$204,B320))*(Rules!$A$5:$A$204&lt;&gt;"")*(1000-ROW(Rules!$A$5:$A$204)))),""))</f>
        <v/>
      </c>
    </row>
    <row r="321" customFormat="false" ht="15" hidden="false" customHeight="false" outlineLevel="0" collapsed="false">
      <c r="A321" s="23"/>
      <c r="B321" s="24"/>
      <c r="C321" s="25"/>
      <c r="D321" s="24"/>
      <c r="E321" s="21" t="str">
        <f aca="false">IF(OR(B321="",N(N321)=0,N321=1000),IF(B321="","","Check"),INDEX(Rules!$B:$B,N321))</f>
        <v/>
      </c>
      <c r="F321" s="21" t="str">
        <f aca="false">IF(OR(B321="",N(N321)=0,N321=1000),"",INDEX(Rules!$C:$C,N321))</f>
        <v/>
      </c>
      <c r="G321" s="24"/>
      <c r="H321" s="24"/>
      <c r="I321" s="20" t="str">
        <f aca="false">IF(B321="","",IF(G321&lt;&gt;"",G321,E321))</f>
        <v/>
      </c>
      <c r="J321" s="21" t="str">
        <f aca="false">IF(B321="","",IF(H321&lt;&gt;"",H321,F321))</f>
        <v/>
      </c>
      <c r="K321" s="26" t="str">
        <f aca="false">IF(A321="","",DATE(YEAR(A321),MONTH(A321),1))</f>
        <v/>
      </c>
      <c r="L321" s="21" t="str">
        <f aca="false">IF(J321="",IF(B321="","",IF(N(C321)&gt;=0,"Income","Expense")),IFERROR(INDEX(Lists!$B$2:$B$30,MATCH(J321,Lists!$A$2:$A$30,0)),""))</f>
        <v/>
      </c>
      <c r="M321" s="24"/>
      <c r="N321" s="27" t="str">
        <f aca="false">IF(B321="","",IFERROR(1000-SUMPRODUCT(MAX(ISNUMBER(SEARCH(Rules!$A$5:$A$204,B321))*(Rules!$A$5:$A$204&lt;&gt;"")*(1000-ROW(Rules!$A$5:$A$204)))),""))</f>
        <v/>
      </c>
    </row>
    <row r="322" customFormat="false" ht="15" hidden="false" customHeight="false" outlineLevel="0" collapsed="false">
      <c r="A322" s="23"/>
      <c r="B322" s="24"/>
      <c r="C322" s="25"/>
      <c r="D322" s="24"/>
      <c r="E322" s="21" t="str">
        <f aca="false">IF(OR(B322="",N(N322)=0,N322=1000),IF(B322="","","Check"),INDEX(Rules!$B:$B,N322))</f>
        <v/>
      </c>
      <c r="F322" s="21" t="str">
        <f aca="false">IF(OR(B322="",N(N322)=0,N322=1000),"",INDEX(Rules!$C:$C,N322))</f>
        <v/>
      </c>
      <c r="G322" s="24"/>
      <c r="H322" s="24"/>
      <c r="I322" s="20" t="str">
        <f aca="false">IF(B322="","",IF(G322&lt;&gt;"",G322,E322))</f>
        <v/>
      </c>
      <c r="J322" s="21" t="str">
        <f aca="false">IF(B322="","",IF(H322&lt;&gt;"",H322,F322))</f>
        <v/>
      </c>
      <c r="K322" s="26" t="str">
        <f aca="false">IF(A322="","",DATE(YEAR(A322),MONTH(A322),1))</f>
        <v/>
      </c>
      <c r="L322" s="21" t="str">
        <f aca="false">IF(J322="",IF(B322="","",IF(N(C322)&gt;=0,"Income","Expense")),IFERROR(INDEX(Lists!$B$2:$B$30,MATCH(J322,Lists!$A$2:$A$30,0)),""))</f>
        <v/>
      </c>
      <c r="M322" s="24"/>
      <c r="N322" s="27" t="str">
        <f aca="false">IF(B322="","",IFERROR(1000-SUMPRODUCT(MAX(ISNUMBER(SEARCH(Rules!$A$5:$A$204,B322))*(Rules!$A$5:$A$204&lt;&gt;"")*(1000-ROW(Rules!$A$5:$A$204)))),""))</f>
        <v/>
      </c>
    </row>
    <row r="323" customFormat="false" ht="15" hidden="false" customHeight="false" outlineLevel="0" collapsed="false">
      <c r="A323" s="23"/>
      <c r="B323" s="24"/>
      <c r="C323" s="25"/>
      <c r="D323" s="24"/>
      <c r="E323" s="21" t="str">
        <f aca="false">IF(OR(B323="",N(N323)=0,N323=1000),IF(B323="","","Check"),INDEX(Rules!$B:$B,N323))</f>
        <v/>
      </c>
      <c r="F323" s="21" t="str">
        <f aca="false">IF(OR(B323="",N(N323)=0,N323=1000),"",INDEX(Rules!$C:$C,N323))</f>
        <v/>
      </c>
      <c r="G323" s="24"/>
      <c r="H323" s="24"/>
      <c r="I323" s="20" t="str">
        <f aca="false">IF(B323="","",IF(G323&lt;&gt;"",G323,E323))</f>
        <v/>
      </c>
      <c r="J323" s="21" t="str">
        <f aca="false">IF(B323="","",IF(H323&lt;&gt;"",H323,F323))</f>
        <v/>
      </c>
      <c r="K323" s="26" t="str">
        <f aca="false">IF(A323="","",DATE(YEAR(A323),MONTH(A323),1))</f>
        <v/>
      </c>
      <c r="L323" s="21" t="str">
        <f aca="false">IF(J323="",IF(B323="","",IF(N(C323)&gt;=0,"Income","Expense")),IFERROR(INDEX(Lists!$B$2:$B$30,MATCH(J323,Lists!$A$2:$A$30,0)),""))</f>
        <v/>
      </c>
      <c r="M323" s="24"/>
      <c r="N323" s="27" t="str">
        <f aca="false">IF(B323="","",IFERROR(1000-SUMPRODUCT(MAX(ISNUMBER(SEARCH(Rules!$A$5:$A$204,B323))*(Rules!$A$5:$A$204&lt;&gt;"")*(1000-ROW(Rules!$A$5:$A$204)))),""))</f>
        <v/>
      </c>
    </row>
    <row r="324" customFormat="false" ht="15" hidden="false" customHeight="false" outlineLevel="0" collapsed="false">
      <c r="A324" s="23"/>
      <c r="B324" s="24"/>
      <c r="C324" s="25"/>
      <c r="D324" s="24"/>
      <c r="E324" s="21" t="str">
        <f aca="false">IF(OR(B324="",N(N324)=0,N324=1000),IF(B324="","","Check"),INDEX(Rules!$B:$B,N324))</f>
        <v/>
      </c>
      <c r="F324" s="21" t="str">
        <f aca="false">IF(OR(B324="",N(N324)=0,N324=1000),"",INDEX(Rules!$C:$C,N324))</f>
        <v/>
      </c>
      <c r="G324" s="24"/>
      <c r="H324" s="24"/>
      <c r="I324" s="20" t="str">
        <f aca="false">IF(B324="","",IF(G324&lt;&gt;"",G324,E324))</f>
        <v/>
      </c>
      <c r="J324" s="21" t="str">
        <f aca="false">IF(B324="","",IF(H324&lt;&gt;"",H324,F324))</f>
        <v/>
      </c>
      <c r="K324" s="26" t="str">
        <f aca="false">IF(A324="","",DATE(YEAR(A324),MONTH(A324),1))</f>
        <v/>
      </c>
      <c r="L324" s="21" t="str">
        <f aca="false">IF(J324="",IF(B324="","",IF(N(C324)&gt;=0,"Income","Expense")),IFERROR(INDEX(Lists!$B$2:$B$30,MATCH(J324,Lists!$A$2:$A$30,0)),""))</f>
        <v/>
      </c>
      <c r="M324" s="24"/>
      <c r="N324" s="27" t="str">
        <f aca="false">IF(B324="","",IFERROR(1000-SUMPRODUCT(MAX(ISNUMBER(SEARCH(Rules!$A$5:$A$204,B324))*(Rules!$A$5:$A$204&lt;&gt;"")*(1000-ROW(Rules!$A$5:$A$204)))),""))</f>
        <v/>
      </c>
    </row>
    <row r="325" customFormat="false" ht="15" hidden="false" customHeight="false" outlineLevel="0" collapsed="false">
      <c r="A325" s="23"/>
      <c r="B325" s="24"/>
      <c r="C325" s="25"/>
      <c r="D325" s="24"/>
      <c r="E325" s="21" t="str">
        <f aca="false">IF(OR(B325="",N(N325)=0,N325=1000),IF(B325="","","Check"),INDEX(Rules!$B:$B,N325))</f>
        <v/>
      </c>
      <c r="F325" s="21" t="str">
        <f aca="false">IF(OR(B325="",N(N325)=0,N325=1000),"",INDEX(Rules!$C:$C,N325))</f>
        <v/>
      </c>
      <c r="G325" s="24"/>
      <c r="H325" s="24"/>
      <c r="I325" s="20" t="str">
        <f aca="false">IF(B325="","",IF(G325&lt;&gt;"",G325,E325))</f>
        <v/>
      </c>
      <c r="J325" s="21" t="str">
        <f aca="false">IF(B325="","",IF(H325&lt;&gt;"",H325,F325))</f>
        <v/>
      </c>
      <c r="K325" s="26" t="str">
        <f aca="false">IF(A325="","",DATE(YEAR(A325),MONTH(A325),1))</f>
        <v/>
      </c>
      <c r="L325" s="21" t="str">
        <f aca="false">IF(J325="",IF(B325="","",IF(N(C325)&gt;=0,"Income","Expense")),IFERROR(INDEX(Lists!$B$2:$B$30,MATCH(J325,Lists!$A$2:$A$30,0)),""))</f>
        <v/>
      </c>
      <c r="M325" s="24"/>
      <c r="N325" s="27" t="str">
        <f aca="false">IF(B325="","",IFERROR(1000-SUMPRODUCT(MAX(ISNUMBER(SEARCH(Rules!$A$5:$A$204,B325))*(Rules!$A$5:$A$204&lt;&gt;"")*(1000-ROW(Rules!$A$5:$A$204)))),""))</f>
        <v/>
      </c>
    </row>
    <row r="326" customFormat="false" ht="15" hidden="false" customHeight="false" outlineLevel="0" collapsed="false">
      <c r="A326" s="23"/>
      <c r="B326" s="24"/>
      <c r="C326" s="25"/>
      <c r="D326" s="24"/>
      <c r="E326" s="21" t="str">
        <f aca="false">IF(OR(B326="",N(N326)=0,N326=1000),IF(B326="","","Check"),INDEX(Rules!$B:$B,N326))</f>
        <v/>
      </c>
      <c r="F326" s="21" t="str">
        <f aca="false">IF(OR(B326="",N(N326)=0,N326=1000),"",INDEX(Rules!$C:$C,N326))</f>
        <v/>
      </c>
      <c r="G326" s="24"/>
      <c r="H326" s="24"/>
      <c r="I326" s="20" t="str">
        <f aca="false">IF(B326="","",IF(G326&lt;&gt;"",G326,E326))</f>
        <v/>
      </c>
      <c r="J326" s="21" t="str">
        <f aca="false">IF(B326="","",IF(H326&lt;&gt;"",H326,F326))</f>
        <v/>
      </c>
      <c r="K326" s="26" t="str">
        <f aca="false">IF(A326="","",DATE(YEAR(A326),MONTH(A326),1))</f>
        <v/>
      </c>
      <c r="L326" s="21" t="str">
        <f aca="false">IF(J326="",IF(B326="","",IF(N(C326)&gt;=0,"Income","Expense")),IFERROR(INDEX(Lists!$B$2:$B$30,MATCH(J326,Lists!$A$2:$A$30,0)),""))</f>
        <v/>
      </c>
      <c r="M326" s="24"/>
      <c r="N326" s="27" t="str">
        <f aca="false">IF(B326="","",IFERROR(1000-SUMPRODUCT(MAX(ISNUMBER(SEARCH(Rules!$A$5:$A$204,B326))*(Rules!$A$5:$A$204&lt;&gt;"")*(1000-ROW(Rules!$A$5:$A$204)))),""))</f>
        <v/>
      </c>
    </row>
    <row r="327" customFormat="false" ht="15" hidden="false" customHeight="false" outlineLevel="0" collapsed="false">
      <c r="A327" s="23"/>
      <c r="B327" s="24"/>
      <c r="C327" s="25"/>
      <c r="D327" s="24"/>
      <c r="E327" s="21" t="str">
        <f aca="false">IF(OR(B327="",N(N327)=0,N327=1000),IF(B327="","","Check"),INDEX(Rules!$B:$B,N327))</f>
        <v/>
      </c>
      <c r="F327" s="21" t="str">
        <f aca="false">IF(OR(B327="",N(N327)=0,N327=1000),"",INDEX(Rules!$C:$C,N327))</f>
        <v/>
      </c>
      <c r="G327" s="24"/>
      <c r="H327" s="24"/>
      <c r="I327" s="20" t="str">
        <f aca="false">IF(B327="","",IF(G327&lt;&gt;"",G327,E327))</f>
        <v/>
      </c>
      <c r="J327" s="21" t="str">
        <f aca="false">IF(B327="","",IF(H327&lt;&gt;"",H327,F327))</f>
        <v/>
      </c>
      <c r="K327" s="26" t="str">
        <f aca="false">IF(A327="","",DATE(YEAR(A327),MONTH(A327),1))</f>
        <v/>
      </c>
      <c r="L327" s="21" t="str">
        <f aca="false">IF(J327="",IF(B327="","",IF(N(C327)&gt;=0,"Income","Expense")),IFERROR(INDEX(Lists!$B$2:$B$30,MATCH(J327,Lists!$A$2:$A$30,0)),""))</f>
        <v/>
      </c>
      <c r="M327" s="24"/>
      <c r="N327" s="27" t="str">
        <f aca="false">IF(B327="","",IFERROR(1000-SUMPRODUCT(MAX(ISNUMBER(SEARCH(Rules!$A$5:$A$204,B327))*(Rules!$A$5:$A$204&lt;&gt;"")*(1000-ROW(Rules!$A$5:$A$204)))),""))</f>
        <v/>
      </c>
    </row>
    <row r="328" customFormat="false" ht="15" hidden="false" customHeight="false" outlineLevel="0" collapsed="false">
      <c r="A328" s="23"/>
      <c r="B328" s="24"/>
      <c r="C328" s="25"/>
      <c r="D328" s="24"/>
      <c r="E328" s="21" t="str">
        <f aca="false">IF(OR(B328="",N(N328)=0,N328=1000),IF(B328="","","Check"),INDEX(Rules!$B:$B,N328))</f>
        <v/>
      </c>
      <c r="F328" s="21" t="str">
        <f aca="false">IF(OR(B328="",N(N328)=0,N328=1000),"",INDEX(Rules!$C:$C,N328))</f>
        <v/>
      </c>
      <c r="G328" s="24"/>
      <c r="H328" s="24"/>
      <c r="I328" s="20" t="str">
        <f aca="false">IF(B328="","",IF(G328&lt;&gt;"",G328,E328))</f>
        <v/>
      </c>
      <c r="J328" s="21" t="str">
        <f aca="false">IF(B328="","",IF(H328&lt;&gt;"",H328,F328))</f>
        <v/>
      </c>
      <c r="K328" s="26" t="str">
        <f aca="false">IF(A328="","",DATE(YEAR(A328),MONTH(A328),1))</f>
        <v/>
      </c>
      <c r="L328" s="21" t="str">
        <f aca="false">IF(J328="",IF(B328="","",IF(N(C328)&gt;=0,"Income","Expense")),IFERROR(INDEX(Lists!$B$2:$B$30,MATCH(J328,Lists!$A$2:$A$30,0)),""))</f>
        <v/>
      </c>
      <c r="M328" s="24"/>
      <c r="N328" s="27" t="str">
        <f aca="false">IF(B328="","",IFERROR(1000-SUMPRODUCT(MAX(ISNUMBER(SEARCH(Rules!$A$5:$A$204,B328))*(Rules!$A$5:$A$204&lt;&gt;"")*(1000-ROW(Rules!$A$5:$A$204)))),""))</f>
        <v/>
      </c>
    </row>
    <row r="329" customFormat="false" ht="15" hidden="false" customHeight="false" outlineLevel="0" collapsed="false">
      <c r="A329" s="23"/>
      <c r="B329" s="24"/>
      <c r="C329" s="25"/>
      <c r="D329" s="24"/>
      <c r="E329" s="21" t="str">
        <f aca="false">IF(OR(B329="",N(N329)=0,N329=1000),IF(B329="","","Check"),INDEX(Rules!$B:$B,N329))</f>
        <v/>
      </c>
      <c r="F329" s="21" t="str">
        <f aca="false">IF(OR(B329="",N(N329)=0,N329=1000),"",INDEX(Rules!$C:$C,N329))</f>
        <v/>
      </c>
      <c r="G329" s="24"/>
      <c r="H329" s="24"/>
      <c r="I329" s="20" t="str">
        <f aca="false">IF(B329="","",IF(G329&lt;&gt;"",G329,E329))</f>
        <v/>
      </c>
      <c r="J329" s="21" t="str">
        <f aca="false">IF(B329="","",IF(H329&lt;&gt;"",H329,F329))</f>
        <v/>
      </c>
      <c r="K329" s="26" t="str">
        <f aca="false">IF(A329="","",DATE(YEAR(A329),MONTH(A329),1))</f>
        <v/>
      </c>
      <c r="L329" s="21" t="str">
        <f aca="false">IF(J329="",IF(B329="","",IF(N(C329)&gt;=0,"Income","Expense")),IFERROR(INDEX(Lists!$B$2:$B$30,MATCH(J329,Lists!$A$2:$A$30,0)),""))</f>
        <v/>
      </c>
      <c r="M329" s="24"/>
      <c r="N329" s="27" t="str">
        <f aca="false">IF(B329="","",IFERROR(1000-SUMPRODUCT(MAX(ISNUMBER(SEARCH(Rules!$A$5:$A$204,B329))*(Rules!$A$5:$A$204&lt;&gt;"")*(1000-ROW(Rules!$A$5:$A$204)))),""))</f>
        <v/>
      </c>
    </row>
    <row r="330" customFormat="false" ht="15" hidden="false" customHeight="false" outlineLevel="0" collapsed="false">
      <c r="A330" s="23"/>
      <c r="B330" s="24"/>
      <c r="C330" s="25"/>
      <c r="D330" s="24"/>
      <c r="E330" s="21" t="str">
        <f aca="false">IF(OR(B330="",N(N330)=0,N330=1000),IF(B330="","","Check"),INDEX(Rules!$B:$B,N330))</f>
        <v/>
      </c>
      <c r="F330" s="21" t="str">
        <f aca="false">IF(OR(B330="",N(N330)=0,N330=1000),"",INDEX(Rules!$C:$C,N330))</f>
        <v/>
      </c>
      <c r="G330" s="24"/>
      <c r="H330" s="24"/>
      <c r="I330" s="20" t="str">
        <f aca="false">IF(B330="","",IF(G330&lt;&gt;"",G330,E330))</f>
        <v/>
      </c>
      <c r="J330" s="21" t="str">
        <f aca="false">IF(B330="","",IF(H330&lt;&gt;"",H330,F330))</f>
        <v/>
      </c>
      <c r="K330" s="26" t="str">
        <f aca="false">IF(A330="","",DATE(YEAR(A330),MONTH(A330),1))</f>
        <v/>
      </c>
      <c r="L330" s="21" t="str">
        <f aca="false">IF(J330="",IF(B330="","",IF(N(C330)&gt;=0,"Income","Expense")),IFERROR(INDEX(Lists!$B$2:$B$30,MATCH(J330,Lists!$A$2:$A$30,0)),""))</f>
        <v/>
      </c>
      <c r="M330" s="24"/>
      <c r="N330" s="27" t="str">
        <f aca="false">IF(B330="","",IFERROR(1000-SUMPRODUCT(MAX(ISNUMBER(SEARCH(Rules!$A$5:$A$204,B330))*(Rules!$A$5:$A$204&lt;&gt;"")*(1000-ROW(Rules!$A$5:$A$204)))),""))</f>
        <v/>
      </c>
    </row>
    <row r="331" customFormat="false" ht="15" hidden="false" customHeight="false" outlineLevel="0" collapsed="false">
      <c r="A331" s="23"/>
      <c r="B331" s="24"/>
      <c r="C331" s="25"/>
      <c r="D331" s="24"/>
      <c r="E331" s="21" t="str">
        <f aca="false">IF(OR(B331="",N(N331)=0,N331=1000),IF(B331="","","Check"),INDEX(Rules!$B:$B,N331))</f>
        <v/>
      </c>
      <c r="F331" s="21" t="str">
        <f aca="false">IF(OR(B331="",N(N331)=0,N331=1000),"",INDEX(Rules!$C:$C,N331))</f>
        <v/>
      </c>
      <c r="G331" s="24"/>
      <c r="H331" s="24"/>
      <c r="I331" s="20" t="str">
        <f aca="false">IF(B331="","",IF(G331&lt;&gt;"",G331,E331))</f>
        <v/>
      </c>
      <c r="J331" s="21" t="str">
        <f aca="false">IF(B331="","",IF(H331&lt;&gt;"",H331,F331))</f>
        <v/>
      </c>
      <c r="K331" s="26" t="str">
        <f aca="false">IF(A331="","",DATE(YEAR(A331),MONTH(A331),1))</f>
        <v/>
      </c>
      <c r="L331" s="21" t="str">
        <f aca="false">IF(J331="",IF(B331="","",IF(N(C331)&gt;=0,"Income","Expense")),IFERROR(INDEX(Lists!$B$2:$B$30,MATCH(J331,Lists!$A$2:$A$30,0)),""))</f>
        <v/>
      </c>
      <c r="M331" s="24"/>
      <c r="N331" s="27" t="str">
        <f aca="false">IF(B331="","",IFERROR(1000-SUMPRODUCT(MAX(ISNUMBER(SEARCH(Rules!$A$5:$A$204,B331))*(Rules!$A$5:$A$204&lt;&gt;"")*(1000-ROW(Rules!$A$5:$A$204)))),""))</f>
        <v/>
      </c>
    </row>
    <row r="332" customFormat="false" ht="15" hidden="false" customHeight="false" outlineLevel="0" collapsed="false">
      <c r="A332" s="23"/>
      <c r="B332" s="24"/>
      <c r="C332" s="25"/>
      <c r="D332" s="24"/>
      <c r="E332" s="21" t="str">
        <f aca="false">IF(OR(B332="",N(N332)=0,N332=1000),IF(B332="","","Check"),INDEX(Rules!$B:$B,N332))</f>
        <v/>
      </c>
      <c r="F332" s="21" t="str">
        <f aca="false">IF(OR(B332="",N(N332)=0,N332=1000),"",INDEX(Rules!$C:$C,N332))</f>
        <v/>
      </c>
      <c r="G332" s="24"/>
      <c r="H332" s="24"/>
      <c r="I332" s="20" t="str">
        <f aca="false">IF(B332="","",IF(G332&lt;&gt;"",G332,E332))</f>
        <v/>
      </c>
      <c r="J332" s="21" t="str">
        <f aca="false">IF(B332="","",IF(H332&lt;&gt;"",H332,F332))</f>
        <v/>
      </c>
      <c r="K332" s="26" t="str">
        <f aca="false">IF(A332="","",DATE(YEAR(A332),MONTH(A332),1))</f>
        <v/>
      </c>
      <c r="L332" s="21" t="str">
        <f aca="false">IF(J332="",IF(B332="","",IF(N(C332)&gt;=0,"Income","Expense")),IFERROR(INDEX(Lists!$B$2:$B$30,MATCH(J332,Lists!$A$2:$A$30,0)),""))</f>
        <v/>
      </c>
      <c r="M332" s="24"/>
      <c r="N332" s="27" t="str">
        <f aca="false">IF(B332="","",IFERROR(1000-SUMPRODUCT(MAX(ISNUMBER(SEARCH(Rules!$A$5:$A$204,B332))*(Rules!$A$5:$A$204&lt;&gt;"")*(1000-ROW(Rules!$A$5:$A$204)))),""))</f>
        <v/>
      </c>
    </row>
    <row r="333" customFormat="false" ht="15" hidden="false" customHeight="false" outlineLevel="0" collapsed="false">
      <c r="A333" s="23"/>
      <c r="B333" s="24"/>
      <c r="C333" s="25"/>
      <c r="D333" s="24"/>
      <c r="E333" s="21" t="str">
        <f aca="false">IF(OR(B333="",N(N333)=0,N333=1000),IF(B333="","","Check"),INDEX(Rules!$B:$B,N333))</f>
        <v/>
      </c>
      <c r="F333" s="21" t="str">
        <f aca="false">IF(OR(B333="",N(N333)=0,N333=1000),"",INDEX(Rules!$C:$C,N333))</f>
        <v/>
      </c>
      <c r="G333" s="24"/>
      <c r="H333" s="24"/>
      <c r="I333" s="20" t="str">
        <f aca="false">IF(B333="","",IF(G333&lt;&gt;"",G333,E333))</f>
        <v/>
      </c>
      <c r="J333" s="21" t="str">
        <f aca="false">IF(B333="","",IF(H333&lt;&gt;"",H333,F333))</f>
        <v/>
      </c>
      <c r="K333" s="26" t="str">
        <f aca="false">IF(A333="","",DATE(YEAR(A333),MONTH(A333),1))</f>
        <v/>
      </c>
      <c r="L333" s="21" t="str">
        <f aca="false">IF(J333="",IF(B333="","",IF(N(C333)&gt;=0,"Income","Expense")),IFERROR(INDEX(Lists!$B$2:$B$30,MATCH(J333,Lists!$A$2:$A$30,0)),""))</f>
        <v/>
      </c>
      <c r="M333" s="24"/>
      <c r="N333" s="27" t="str">
        <f aca="false">IF(B333="","",IFERROR(1000-SUMPRODUCT(MAX(ISNUMBER(SEARCH(Rules!$A$5:$A$204,B333))*(Rules!$A$5:$A$204&lt;&gt;"")*(1000-ROW(Rules!$A$5:$A$204)))),""))</f>
        <v/>
      </c>
    </row>
    <row r="334" customFormat="false" ht="15" hidden="false" customHeight="false" outlineLevel="0" collapsed="false">
      <c r="A334" s="23"/>
      <c r="B334" s="24"/>
      <c r="C334" s="25"/>
      <c r="D334" s="24"/>
      <c r="E334" s="21" t="str">
        <f aca="false">IF(OR(B334="",N(N334)=0,N334=1000),IF(B334="","","Check"),INDEX(Rules!$B:$B,N334))</f>
        <v/>
      </c>
      <c r="F334" s="21" t="str">
        <f aca="false">IF(OR(B334="",N(N334)=0,N334=1000),"",INDEX(Rules!$C:$C,N334))</f>
        <v/>
      </c>
      <c r="G334" s="24"/>
      <c r="H334" s="24"/>
      <c r="I334" s="20" t="str">
        <f aca="false">IF(B334="","",IF(G334&lt;&gt;"",G334,E334))</f>
        <v/>
      </c>
      <c r="J334" s="21" t="str">
        <f aca="false">IF(B334="","",IF(H334&lt;&gt;"",H334,F334))</f>
        <v/>
      </c>
      <c r="K334" s="26" t="str">
        <f aca="false">IF(A334="","",DATE(YEAR(A334),MONTH(A334),1))</f>
        <v/>
      </c>
      <c r="L334" s="21" t="str">
        <f aca="false">IF(J334="",IF(B334="","",IF(N(C334)&gt;=0,"Income","Expense")),IFERROR(INDEX(Lists!$B$2:$B$30,MATCH(J334,Lists!$A$2:$A$30,0)),""))</f>
        <v/>
      </c>
      <c r="M334" s="24"/>
      <c r="N334" s="27" t="str">
        <f aca="false">IF(B334="","",IFERROR(1000-SUMPRODUCT(MAX(ISNUMBER(SEARCH(Rules!$A$5:$A$204,B334))*(Rules!$A$5:$A$204&lt;&gt;"")*(1000-ROW(Rules!$A$5:$A$204)))),""))</f>
        <v/>
      </c>
    </row>
    <row r="335" customFormat="false" ht="15" hidden="false" customHeight="false" outlineLevel="0" collapsed="false">
      <c r="A335" s="23"/>
      <c r="B335" s="24"/>
      <c r="C335" s="25"/>
      <c r="D335" s="24"/>
      <c r="E335" s="21" t="str">
        <f aca="false">IF(OR(B335="",N(N335)=0,N335=1000),IF(B335="","","Check"),INDEX(Rules!$B:$B,N335))</f>
        <v/>
      </c>
      <c r="F335" s="21" t="str">
        <f aca="false">IF(OR(B335="",N(N335)=0,N335=1000),"",INDEX(Rules!$C:$C,N335))</f>
        <v/>
      </c>
      <c r="G335" s="24"/>
      <c r="H335" s="24"/>
      <c r="I335" s="20" t="str">
        <f aca="false">IF(B335="","",IF(G335&lt;&gt;"",G335,E335))</f>
        <v/>
      </c>
      <c r="J335" s="21" t="str">
        <f aca="false">IF(B335="","",IF(H335&lt;&gt;"",H335,F335))</f>
        <v/>
      </c>
      <c r="K335" s="26" t="str">
        <f aca="false">IF(A335="","",DATE(YEAR(A335),MONTH(A335),1))</f>
        <v/>
      </c>
      <c r="L335" s="21" t="str">
        <f aca="false">IF(J335="",IF(B335="","",IF(N(C335)&gt;=0,"Income","Expense")),IFERROR(INDEX(Lists!$B$2:$B$30,MATCH(J335,Lists!$A$2:$A$30,0)),""))</f>
        <v/>
      </c>
      <c r="M335" s="24"/>
      <c r="N335" s="27" t="str">
        <f aca="false">IF(B335="","",IFERROR(1000-SUMPRODUCT(MAX(ISNUMBER(SEARCH(Rules!$A$5:$A$204,B335))*(Rules!$A$5:$A$204&lt;&gt;"")*(1000-ROW(Rules!$A$5:$A$204)))),""))</f>
        <v/>
      </c>
    </row>
    <row r="336" customFormat="false" ht="15" hidden="false" customHeight="false" outlineLevel="0" collapsed="false">
      <c r="A336" s="23"/>
      <c r="B336" s="24"/>
      <c r="C336" s="25"/>
      <c r="D336" s="24"/>
      <c r="E336" s="21" t="str">
        <f aca="false">IF(OR(B336="",N(N336)=0,N336=1000),IF(B336="","","Check"),INDEX(Rules!$B:$B,N336))</f>
        <v/>
      </c>
      <c r="F336" s="21" t="str">
        <f aca="false">IF(OR(B336="",N(N336)=0,N336=1000),"",INDEX(Rules!$C:$C,N336))</f>
        <v/>
      </c>
      <c r="G336" s="24"/>
      <c r="H336" s="24"/>
      <c r="I336" s="20" t="str">
        <f aca="false">IF(B336="","",IF(G336&lt;&gt;"",G336,E336))</f>
        <v/>
      </c>
      <c r="J336" s="21" t="str">
        <f aca="false">IF(B336="","",IF(H336&lt;&gt;"",H336,F336))</f>
        <v/>
      </c>
      <c r="K336" s="26" t="str">
        <f aca="false">IF(A336="","",DATE(YEAR(A336),MONTH(A336),1))</f>
        <v/>
      </c>
      <c r="L336" s="21" t="str">
        <f aca="false">IF(J336="",IF(B336="","",IF(N(C336)&gt;=0,"Income","Expense")),IFERROR(INDEX(Lists!$B$2:$B$30,MATCH(J336,Lists!$A$2:$A$30,0)),""))</f>
        <v/>
      </c>
      <c r="M336" s="24"/>
      <c r="N336" s="27" t="str">
        <f aca="false">IF(B336="","",IFERROR(1000-SUMPRODUCT(MAX(ISNUMBER(SEARCH(Rules!$A$5:$A$204,B336))*(Rules!$A$5:$A$204&lt;&gt;"")*(1000-ROW(Rules!$A$5:$A$204)))),""))</f>
        <v/>
      </c>
    </row>
    <row r="337" customFormat="false" ht="15" hidden="false" customHeight="false" outlineLevel="0" collapsed="false">
      <c r="A337" s="23"/>
      <c r="B337" s="24"/>
      <c r="C337" s="25"/>
      <c r="D337" s="24"/>
      <c r="E337" s="21" t="str">
        <f aca="false">IF(OR(B337="",N(N337)=0,N337=1000),IF(B337="","","Check"),INDEX(Rules!$B:$B,N337))</f>
        <v/>
      </c>
      <c r="F337" s="21" t="str">
        <f aca="false">IF(OR(B337="",N(N337)=0,N337=1000),"",INDEX(Rules!$C:$C,N337))</f>
        <v/>
      </c>
      <c r="G337" s="24"/>
      <c r="H337" s="24"/>
      <c r="I337" s="20" t="str">
        <f aca="false">IF(B337="","",IF(G337&lt;&gt;"",G337,E337))</f>
        <v/>
      </c>
      <c r="J337" s="21" t="str">
        <f aca="false">IF(B337="","",IF(H337&lt;&gt;"",H337,F337))</f>
        <v/>
      </c>
      <c r="K337" s="26" t="str">
        <f aca="false">IF(A337="","",DATE(YEAR(A337),MONTH(A337),1))</f>
        <v/>
      </c>
      <c r="L337" s="21" t="str">
        <f aca="false">IF(J337="",IF(B337="","",IF(N(C337)&gt;=0,"Income","Expense")),IFERROR(INDEX(Lists!$B$2:$B$30,MATCH(J337,Lists!$A$2:$A$30,0)),""))</f>
        <v/>
      </c>
      <c r="M337" s="24"/>
      <c r="N337" s="27" t="str">
        <f aca="false">IF(B337="","",IFERROR(1000-SUMPRODUCT(MAX(ISNUMBER(SEARCH(Rules!$A$5:$A$204,B337))*(Rules!$A$5:$A$204&lt;&gt;"")*(1000-ROW(Rules!$A$5:$A$204)))),""))</f>
        <v/>
      </c>
    </row>
    <row r="338" customFormat="false" ht="15" hidden="false" customHeight="false" outlineLevel="0" collapsed="false">
      <c r="A338" s="23"/>
      <c r="B338" s="24"/>
      <c r="C338" s="25"/>
      <c r="D338" s="24"/>
      <c r="E338" s="21" t="str">
        <f aca="false">IF(OR(B338="",N(N338)=0,N338=1000),IF(B338="","","Check"),INDEX(Rules!$B:$B,N338))</f>
        <v/>
      </c>
      <c r="F338" s="21" t="str">
        <f aca="false">IF(OR(B338="",N(N338)=0,N338=1000),"",INDEX(Rules!$C:$C,N338))</f>
        <v/>
      </c>
      <c r="G338" s="24"/>
      <c r="H338" s="24"/>
      <c r="I338" s="20" t="str">
        <f aca="false">IF(B338="","",IF(G338&lt;&gt;"",G338,E338))</f>
        <v/>
      </c>
      <c r="J338" s="21" t="str">
        <f aca="false">IF(B338="","",IF(H338&lt;&gt;"",H338,F338))</f>
        <v/>
      </c>
      <c r="K338" s="26" t="str">
        <f aca="false">IF(A338="","",DATE(YEAR(A338),MONTH(A338),1))</f>
        <v/>
      </c>
      <c r="L338" s="21" t="str">
        <f aca="false">IF(J338="",IF(B338="","",IF(N(C338)&gt;=0,"Income","Expense")),IFERROR(INDEX(Lists!$B$2:$B$30,MATCH(J338,Lists!$A$2:$A$30,0)),""))</f>
        <v/>
      </c>
      <c r="M338" s="24"/>
      <c r="N338" s="27" t="str">
        <f aca="false">IF(B338="","",IFERROR(1000-SUMPRODUCT(MAX(ISNUMBER(SEARCH(Rules!$A$5:$A$204,B338))*(Rules!$A$5:$A$204&lt;&gt;"")*(1000-ROW(Rules!$A$5:$A$204)))),""))</f>
        <v/>
      </c>
    </row>
    <row r="339" customFormat="false" ht="15" hidden="false" customHeight="false" outlineLevel="0" collapsed="false">
      <c r="A339" s="23"/>
      <c r="B339" s="24"/>
      <c r="C339" s="25"/>
      <c r="D339" s="24"/>
      <c r="E339" s="21" t="str">
        <f aca="false">IF(OR(B339="",N(N339)=0,N339=1000),IF(B339="","","Check"),INDEX(Rules!$B:$B,N339))</f>
        <v/>
      </c>
      <c r="F339" s="21" t="str">
        <f aca="false">IF(OR(B339="",N(N339)=0,N339=1000),"",INDEX(Rules!$C:$C,N339))</f>
        <v/>
      </c>
      <c r="G339" s="24"/>
      <c r="H339" s="24"/>
      <c r="I339" s="20" t="str">
        <f aca="false">IF(B339="","",IF(G339&lt;&gt;"",G339,E339))</f>
        <v/>
      </c>
      <c r="J339" s="21" t="str">
        <f aca="false">IF(B339="","",IF(H339&lt;&gt;"",H339,F339))</f>
        <v/>
      </c>
      <c r="K339" s="26" t="str">
        <f aca="false">IF(A339="","",DATE(YEAR(A339),MONTH(A339),1))</f>
        <v/>
      </c>
      <c r="L339" s="21" t="str">
        <f aca="false">IF(J339="",IF(B339="","",IF(N(C339)&gt;=0,"Income","Expense")),IFERROR(INDEX(Lists!$B$2:$B$30,MATCH(J339,Lists!$A$2:$A$30,0)),""))</f>
        <v/>
      </c>
      <c r="M339" s="24"/>
      <c r="N339" s="27" t="str">
        <f aca="false">IF(B339="","",IFERROR(1000-SUMPRODUCT(MAX(ISNUMBER(SEARCH(Rules!$A$5:$A$204,B339))*(Rules!$A$5:$A$204&lt;&gt;"")*(1000-ROW(Rules!$A$5:$A$204)))),""))</f>
        <v/>
      </c>
    </row>
    <row r="340" customFormat="false" ht="15" hidden="false" customHeight="false" outlineLevel="0" collapsed="false">
      <c r="A340" s="23"/>
      <c r="B340" s="24"/>
      <c r="C340" s="25"/>
      <c r="D340" s="24"/>
      <c r="E340" s="21" t="str">
        <f aca="false">IF(OR(B340="",N(N340)=0,N340=1000),IF(B340="","","Check"),INDEX(Rules!$B:$B,N340))</f>
        <v/>
      </c>
      <c r="F340" s="21" t="str">
        <f aca="false">IF(OR(B340="",N(N340)=0,N340=1000),"",INDEX(Rules!$C:$C,N340))</f>
        <v/>
      </c>
      <c r="G340" s="24"/>
      <c r="H340" s="24"/>
      <c r="I340" s="20" t="str">
        <f aca="false">IF(B340="","",IF(G340&lt;&gt;"",G340,E340))</f>
        <v/>
      </c>
      <c r="J340" s="21" t="str">
        <f aca="false">IF(B340="","",IF(H340&lt;&gt;"",H340,F340))</f>
        <v/>
      </c>
      <c r="K340" s="26" t="str">
        <f aca="false">IF(A340="","",DATE(YEAR(A340),MONTH(A340),1))</f>
        <v/>
      </c>
      <c r="L340" s="21" t="str">
        <f aca="false">IF(J340="",IF(B340="","",IF(N(C340)&gt;=0,"Income","Expense")),IFERROR(INDEX(Lists!$B$2:$B$30,MATCH(J340,Lists!$A$2:$A$30,0)),""))</f>
        <v/>
      </c>
      <c r="M340" s="24"/>
      <c r="N340" s="27" t="str">
        <f aca="false">IF(B340="","",IFERROR(1000-SUMPRODUCT(MAX(ISNUMBER(SEARCH(Rules!$A$5:$A$204,B340))*(Rules!$A$5:$A$204&lt;&gt;"")*(1000-ROW(Rules!$A$5:$A$204)))),""))</f>
        <v/>
      </c>
    </row>
    <row r="341" customFormat="false" ht="15" hidden="false" customHeight="false" outlineLevel="0" collapsed="false">
      <c r="A341" s="23"/>
      <c r="B341" s="24"/>
      <c r="C341" s="25"/>
      <c r="D341" s="24"/>
      <c r="E341" s="21" t="str">
        <f aca="false">IF(OR(B341="",N(N341)=0,N341=1000),IF(B341="","","Check"),INDEX(Rules!$B:$B,N341))</f>
        <v/>
      </c>
      <c r="F341" s="21" t="str">
        <f aca="false">IF(OR(B341="",N(N341)=0,N341=1000),"",INDEX(Rules!$C:$C,N341))</f>
        <v/>
      </c>
      <c r="G341" s="24"/>
      <c r="H341" s="24"/>
      <c r="I341" s="20" t="str">
        <f aca="false">IF(B341="","",IF(G341&lt;&gt;"",G341,E341))</f>
        <v/>
      </c>
      <c r="J341" s="21" t="str">
        <f aca="false">IF(B341="","",IF(H341&lt;&gt;"",H341,F341))</f>
        <v/>
      </c>
      <c r="K341" s="26" t="str">
        <f aca="false">IF(A341="","",DATE(YEAR(A341),MONTH(A341),1))</f>
        <v/>
      </c>
      <c r="L341" s="21" t="str">
        <f aca="false">IF(J341="",IF(B341="","",IF(N(C341)&gt;=0,"Income","Expense")),IFERROR(INDEX(Lists!$B$2:$B$30,MATCH(J341,Lists!$A$2:$A$30,0)),""))</f>
        <v/>
      </c>
      <c r="M341" s="24"/>
      <c r="N341" s="27" t="str">
        <f aca="false">IF(B341="","",IFERROR(1000-SUMPRODUCT(MAX(ISNUMBER(SEARCH(Rules!$A$5:$A$204,B341))*(Rules!$A$5:$A$204&lt;&gt;"")*(1000-ROW(Rules!$A$5:$A$204)))),""))</f>
        <v/>
      </c>
    </row>
    <row r="342" customFormat="false" ht="15" hidden="false" customHeight="false" outlineLevel="0" collapsed="false">
      <c r="A342" s="23"/>
      <c r="B342" s="24"/>
      <c r="C342" s="25"/>
      <c r="D342" s="24"/>
      <c r="E342" s="21" t="str">
        <f aca="false">IF(OR(B342="",N(N342)=0,N342=1000),IF(B342="","","Check"),INDEX(Rules!$B:$B,N342))</f>
        <v/>
      </c>
      <c r="F342" s="21" t="str">
        <f aca="false">IF(OR(B342="",N(N342)=0,N342=1000),"",INDEX(Rules!$C:$C,N342))</f>
        <v/>
      </c>
      <c r="G342" s="24"/>
      <c r="H342" s="24"/>
      <c r="I342" s="20" t="str">
        <f aca="false">IF(B342="","",IF(G342&lt;&gt;"",G342,E342))</f>
        <v/>
      </c>
      <c r="J342" s="21" t="str">
        <f aca="false">IF(B342="","",IF(H342&lt;&gt;"",H342,F342))</f>
        <v/>
      </c>
      <c r="K342" s="26" t="str">
        <f aca="false">IF(A342="","",DATE(YEAR(A342),MONTH(A342),1))</f>
        <v/>
      </c>
      <c r="L342" s="21" t="str">
        <f aca="false">IF(J342="",IF(B342="","",IF(N(C342)&gt;=0,"Income","Expense")),IFERROR(INDEX(Lists!$B$2:$B$30,MATCH(J342,Lists!$A$2:$A$30,0)),""))</f>
        <v/>
      </c>
      <c r="M342" s="24"/>
      <c r="N342" s="27" t="str">
        <f aca="false">IF(B342="","",IFERROR(1000-SUMPRODUCT(MAX(ISNUMBER(SEARCH(Rules!$A$5:$A$204,B342))*(Rules!$A$5:$A$204&lt;&gt;"")*(1000-ROW(Rules!$A$5:$A$204)))),""))</f>
        <v/>
      </c>
    </row>
    <row r="343" customFormat="false" ht="15" hidden="false" customHeight="false" outlineLevel="0" collapsed="false">
      <c r="A343" s="23"/>
      <c r="B343" s="24"/>
      <c r="C343" s="25"/>
      <c r="D343" s="24"/>
      <c r="E343" s="21" t="str">
        <f aca="false">IF(OR(B343="",N(N343)=0,N343=1000),IF(B343="","","Check"),INDEX(Rules!$B:$B,N343))</f>
        <v/>
      </c>
      <c r="F343" s="21" t="str">
        <f aca="false">IF(OR(B343="",N(N343)=0,N343=1000),"",INDEX(Rules!$C:$C,N343))</f>
        <v/>
      </c>
      <c r="G343" s="24"/>
      <c r="H343" s="24"/>
      <c r="I343" s="20" t="str">
        <f aca="false">IF(B343="","",IF(G343&lt;&gt;"",G343,E343))</f>
        <v/>
      </c>
      <c r="J343" s="21" t="str">
        <f aca="false">IF(B343="","",IF(H343&lt;&gt;"",H343,F343))</f>
        <v/>
      </c>
      <c r="K343" s="26" t="str">
        <f aca="false">IF(A343="","",DATE(YEAR(A343),MONTH(A343),1))</f>
        <v/>
      </c>
      <c r="L343" s="21" t="str">
        <f aca="false">IF(J343="",IF(B343="","",IF(N(C343)&gt;=0,"Income","Expense")),IFERROR(INDEX(Lists!$B$2:$B$30,MATCH(J343,Lists!$A$2:$A$30,0)),""))</f>
        <v/>
      </c>
      <c r="M343" s="24"/>
      <c r="N343" s="27" t="str">
        <f aca="false">IF(B343="","",IFERROR(1000-SUMPRODUCT(MAX(ISNUMBER(SEARCH(Rules!$A$5:$A$204,B343))*(Rules!$A$5:$A$204&lt;&gt;"")*(1000-ROW(Rules!$A$5:$A$204)))),""))</f>
        <v/>
      </c>
    </row>
    <row r="344" customFormat="false" ht="15" hidden="false" customHeight="false" outlineLevel="0" collapsed="false">
      <c r="A344" s="23"/>
      <c r="B344" s="24"/>
      <c r="C344" s="25"/>
      <c r="D344" s="24"/>
      <c r="E344" s="21" t="str">
        <f aca="false">IF(OR(B344="",N(N344)=0,N344=1000),IF(B344="","","Check"),INDEX(Rules!$B:$B,N344))</f>
        <v/>
      </c>
      <c r="F344" s="21" t="str">
        <f aca="false">IF(OR(B344="",N(N344)=0,N344=1000),"",INDEX(Rules!$C:$C,N344))</f>
        <v/>
      </c>
      <c r="G344" s="24"/>
      <c r="H344" s="24"/>
      <c r="I344" s="20" t="str">
        <f aca="false">IF(B344="","",IF(G344&lt;&gt;"",G344,E344))</f>
        <v/>
      </c>
      <c r="J344" s="21" t="str">
        <f aca="false">IF(B344="","",IF(H344&lt;&gt;"",H344,F344))</f>
        <v/>
      </c>
      <c r="K344" s="26" t="str">
        <f aca="false">IF(A344="","",DATE(YEAR(A344),MONTH(A344),1))</f>
        <v/>
      </c>
      <c r="L344" s="21" t="str">
        <f aca="false">IF(J344="",IF(B344="","",IF(N(C344)&gt;=0,"Income","Expense")),IFERROR(INDEX(Lists!$B$2:$B$30,MATCH(J344,Lists!$A$2:$A$30,0)),""))</f>
        <v/>
      </c>
      <c r="M344" s="24"/>
      <c r="N344" s="27" t="str">
        <f aca="false">IF(B344="","",IFERROR(1000-SUMPRODUCT(MAX(ISNUMBER(SEARCH(Rules!$A$5:$A$204,B344))*(Rules!$A$5:$A$204&lt;&gt;"")*(1000-ROW(Rules!$A$5:$A$204)))),""))</f>
        <v/>
      </c>
    </row>
    <row r="345" customFormat="false" ht="15" hidden="false" customHeight="false" outlineLevel="0" collapsed="false">
      <c r="A345" s="23"/>
      <c r="B345" s="24"/>
      <c r="C345" s="25"/>
      <c r="D345" s="24"/>
      <c r="E345" s="21" t="str">
        <f aca="false">IF(OR(B345="",N(N345)=0,N345=1000),IF(B345="","","Check"),INDEX(Rules!$B:$B,N345))</f>
        <v/>
      </c>
      <c r="F345" s="21" t="str">
        <f aca="false">IF(OR(B345="",N(N345)=0,N345=1000),"",INDEX(Rules!$C:$C,N345))</f>
        <v/>
      </c>
      <c r="G345" s="24"/>
      <c r="H345" s="24"/>
      <c r="I345" s="20" t="str">
        <f aca="false">IF(B345="","",IF(G345&lt;&gt;"",G345,E345))</f>
        <v/>
      </c>
      <c r="J345" s="21" t="str">
        <f aca="false">IF(B345="","",IF(H345&lt;&gt;"",H345,F345))</f>
        <v/>
      </c>
      <c r="K345" s="26" t="str">
        <f aca="false">IF(A345="","",DATE(YEAR(A345),MONTH(A345),1))</f>
        <v/>
      </c>
      <c r="L345" s="21" t="str">
        <f aca="false">IF(J345="",IF(B345="","",IF(N(C345)&gt;=0,"Income","Expense")),IFERROR(INDEX(Lists!$B$2:$B$30,MATCH(J345,Lists!$A$2:$A$30,0)),""))</f>
        <v/>
      </c>
      <c r="M345" s="24"/>
      <c r="N345" s="27" t="str">
        <f aca="false">IF(B345="","",IFERROR(1000-SUMPRODUCT(MAX(ISNUMBER(SEARCH(Rules!$A$5:$A$204,B345))*(Rules!$A$5:$A$204&lt;&gt;"")*(1000-ROW(Rules!$A$5:$A$204)))),""))</f>
        <v/>
      </c>
    </row>
    <row r="346" customFormat="false" ht="15" hidden="false" customHeight="false" outlineLevel="0" collapsed="false">
      <c r="A346" s="23"/>
      <c r="B346" s="24"/>
      <c r="C346" s="25"/>
      <c r="D346" s="24"/>
      <c r="E346" s="21" t="str">
        <f aca="false">IF(OR(B346="",N(N346)=0,N346=1000),IF(B346="","","Check"),INDEX(Rules!$B:$B,N346))</f>
        <v/>
      </c>
      <c r="F346" s="21" t="str">
        <f aca="false">IF(OR(B346="",N(N346)=0,N346=1000),"",INDEX(Rules!$C:$C,N346))</f>
        <v/>
      </c>
      <c r="G346" s="24"/>
      <c r="H346" s="24"/>
      <c r="I346" s="20" t="str">
        <f aca="false">IF(B346="","",IF(G346&lt;&gt;"",G346,E346))</f>
        <v/>
      </c>
      <c r="J346" s="21" t="str">
        <f aca="false">IF(B346="","",IF(H346&lt;&gt;"",H346,F346))</f>
        <v/>
      </c>
      <c r="K346" s="26" t="str">
        <f aca="false">IF(A346="","",DATE(YEAR(A346),MONTH(A346),1))</f>
        <v/>
      </c>
      <c r="L346" s="21" t="str">
        <f aca="false">IF(J346="",IF(B346="","",IF(N(C346)&gt;=0,"Income","Expense")),IFERROR(INDEX(Lists!$B$2:$B$30,MATCH(J346,Lists!$A$2:$A$30,0)),""))</f>
        <v/>
      </c>
      <c r="M346" s="24"/>
      <c r="N346" s="27" t="str">
        <f aca="false">IF(B346="","",IFERROR(1000-SUMPRODUCT(MAX(ISNUMBER(SEARCH(Rules!$A$5:$A$204,B346))*(Rules!$A$5:$A$204&lt;&gt;"")*(1000-ROW(Rules!$A$5:$A$204)))),""))</f>
        <v/>
      </c>
    </row>
    <row r="347" customFormat="false" ht="15" hidden="false" customHeight="false" outlineLevel="0" collapsed="false">
      <c r="A347" s="23"/>
      <c r="B347" s="24"/>
      <c r="C347" s="25"/>
      <c r="D347" s="24"/>
      <c r="E347" s="21" t="str">
        <f aca="false">IF(OR(B347="",N(N347)=0,N347=1000),IF(B347="","","Check"),INDEX(Rules!$B:$B,N347))</f>
        <v/>
      </c>
      <c r="F347" s="21" t="str">
        <f aca="false">IF(OR(B347="",N(N347)=0,N347=1000),"",INDEX(Rules!$C:$C,N347))</f>
        <v/>
      </c>
      <c r="G347" s="24"/>
      <c r="H347" s="24"/>
      <c r="I347" s="20" t="str">
        <f aca="false">IF(B347="","",IF(G347&lt;&gt;"",G347,E347))</f>
        <v/>
      </c>
      <c r="J347" s="21" t="str">
        <f aca="false">IF(B347="","",IF(H347&lt;&gt;"",H347,F347))</f>
        <v/>
      </c>
      <c r="K347" s="26" t="str">
        <f aca="false">IF(A347="","",DATE(YEAR(A347),MONTH(A347),1))</f>
        <v/>
      </c>
      <c r="L347" s="21" t="str">
        <f aca="false">IF(J347="",IF(B347="","",IF(N(C347)&gt;=0,"Income","Expense")),IFERROR(INDEX(Lists!$B$2:$B$30,MATCH(J347,Lists!$A$2:$A$30,0)),""))</f>
        <v/>
      </c>
      <c r="M347" s="24"/>
      <c r="N347" s="27" t="str">
        <f aca="false">IF(B347="","",IFERROR(1000-SUMPRODUCT(MAX(ISNUMBER(SEARCH(Rules!$A$5:$A$204,B347))*(Rules!$A$5:$A$204&lt;&gt;"")*(1000-ROW(Rules!$A$5:$A$204)))),""))</f>
        <v/>
      </c>
    </row>
    <row r="348" customFormat="false" ht="15" hidden="false" customHeight="false" outlineLevel="0" collapsed="false">
      <c r="A348" s="23"/>
      <c r="B348" s="24"/>
      <c r="C348" s="25"/>
      <c r="D348" s="24"/>
      <c r="E348" s="21" t="str">
        <f aca="false">IF(OR(B348="",N(N348)=0,N348=1000),IF(B348="","","Check"),INDEX(Rules!$B:$B,N348))</f>
        <v/>
      </c>
      <c r="F348" s="21" t="str">
        <f aca="false">IF(OR(B348="",N(N348)=0,N348=1000),"",INDEX(Rules!$C:$C,N348))</f>
        <v/>
      </c>
      <c r="G348" s="24"/>
      <c r="H348" s="24"/>
      <c r="I348" s="20" t="str">
        <f aca="false">IF(B348="","",IF(G348&lt;&gt;"",G348,E348))</f>
        <v/>
      </c>
      <c r="J348" s="21" t="str">
        <f aca="false">IF(B348="","",IF(H348&lt;&gt;"",H348,F348))</f>
        <v/>
      </c>
      <c r="K348" s="26" t="str">
        <f aca="false">IF(A348="","",DATE(YEAR(A348),MONTH(A348),1))</f>
        <v/>
      </c>
      <c r="L348" s="21" t="str">
        <f aca="false">IF(J348="",IF(B348="","",IF(N(C348)&gt;=0,"Income","Expense")),IFERROR(INDEX(Lists!$B$2:$B$30,MATCH(J348,Lists!$A$2:$A$30,0)),""))</f>
        <v/>
      </c>
      <c r="M348" s="24"/>
      <c r="N348" s="27" t="str">
        <f aca="false">IF(B348="","",IFERROR(1000-SUMPRODUCT(MAX(ISNUMBER(SEARCH(Rules!$A$5:$A$204,B348))*(Rules!$A$5:$A$204&lt;&gt;"")*(1000-ROW(Rules!$A$5:$A$204)))),""))</f>
        <v/>
      </c>
    </row>
    <row r="349" customFormat="false" ht="15" hidden="false" customHeight="false" outlineLevel="0" collapsed="false">
      <c r="A349" s="23"/>
      <c r="B349" s="24"/>
      <c r="C349" s="25"/>
      <c r="D349" s="24"/>
      <c r="E349" s="21" t="str">
        <f aca="false">IF(OR(B349="",N(N349)=0,N349=1000),IF(B349="","","Check"),INDEX(Rules!$B:$B,N349))</f>
        <v/>
      </c>
      <c r="F349" s="21" t="str">
        <f aca="false">IF(OR(B349="",N(N349)=0,N349=1000),"",INDEX(Rules!$C:$C,N349))</f>
        <v/>
      </c>
      <c r="G349" s="24"/>
      <c r="H349" s="24"/>
      <c r="I349" s="20" t="str">
        <f aca="false">IF(B349="","",IF(G349&lt;&gt;"",G349,E349))</f>
        <v/>
      </c>
      <c r="J349" s="21" t="str">
        <f aca="false">IF(B349="","",IF(H349&lt;&gt;"",H349,F349))</f>
        <v/>
      </c>
      <c r="K349" s="26" t="str">
        <f aca="false">IF(A349="","",DATE(YEAR(A349),MONTH(A349),1))</f>
        <v/>
      </c>
      <c r="L349" s="21" t="str">
        <f aca="false">IF(J349="",IF(B349="","",IF(N(C349)&gt;=0,"Income","Expense")),IFERROR(INDEX(Lists!$B$2:$B$30,MATCH(J349,Lists!$A$2:$A$30,0)),""))</f>
        <v/>
      </c>
      <c r="M349" s="24"/>
      <c r="N349" s="27" t="str">
        <f aca="false">IF(B349="","",IFERROR(1000-SUMPRODUCT(MAX(ISNUMBER(SEARCH(Rules!$A$5:$A$204,B349))*(Rules!$A$5:$A$204&lt;&gt;"")*(1000-ROW(Rules!$A$5:$A$204)))),""))</f>
        <v/>
      </c>
    </row>
    <row r="350" customFormat="false" ht="15" hidden="false" customHeight="false" outlineLevel="0" collapsed="false">
      <c r="A350" s="23"/>
      <c r="B350" s="24"/>
      <c r="C350" s="25"/>
      <c r="D350" s="24"/>
      <c r="E350" s="21" t="str">
        <f aca="false">IF(OR(B350="",N(N350)=0,N350=1000),IF(B350="","","Check"),INDEX(Rules!$B:$B,N350))</f>
        <v/>
      </c>
      <c r="F350" s="21" t="str">
        <f aca="false">IF(OR(B350="",N(N350)=0,N350=1000),"",INDEX(Rules!$C:$C,N350))</f>
        <v/>
      </c>
      <c r="G350" s="24"/>
      <c r="H350" s="24"/>
      <c r="I350" s="20" t="str">
        <f aca="false">IF(B350="","",IF(G350&lt;&gt;"",G350,E350))</f>
        <v/>
      </c>
      <c r="J350" s="21" t="str">
        <f aca="false">IF(B350="","",IF(H350&lt;&gt;"",H350,F350))</f>
        <v/>
      </c>
      <c r="K350" s="26" t="str">
        <f aca="false">IF(A350="","",DATE(YEAR(A350),MONTH(A350),1))</f>
        <v/>
      </c>
      <c r="L350" s="21" t="str">
        <f aca="false">IF(J350="",IF(B350="","",IF(N(C350)&gt;=0,"Income","Expense")),IFERROR(INDEX(Lists!$B$2:$B$30,MATCH(J350,Lists!$A$2:$A$30,0)),""))</f>
        <v/>
      </c>
      <c r="M350" s="24"/>
      <c r="N350" s="27" t="str">
        <f aca="false">IF(B350="","",IFERROR(1000-SUMPRODUCT(MAX(ISNUMBER(SEARCH(Rules!$A$5:$A$204,B350))*(Rules!$A$5:$A$204&lt;&gt;"")*(1000-ROW(Rules!$A$5:$A$204)))),""))</f>
        <v/>
      </c>
    </row>
    <row r="351" customFormat="false" ht="15" hidden="false" customHeight="false" outlineLevel="0" collapsed="false">
      <c r="A351" s="23"/>
      <c r="B351" s="24"/>
      <c r="C351" s="25"/>
      <c r="D351" s="24"/>
      <c r="E351" s="21" t="str">
        <f aca="false">IF(OR(B351="",N(N351)=0,N351=1000),IF(B351="","","Check"),INDEX(Rules!$B:$B,N351))</f>
        <v/>
      </c>
      <c r="F351" s="21" t="str">
        <f aca="false">IF(OR(B351="",N(N351)=0,N351=1000),"",INDEX(Rules!$C:$C,N351))</f>
        <v/>
      </c>
      <c r="G351" s="24"/>
      <c r="H351" s="24"/>
      <c r="I351" s="20" t="str">
        <f aca="false">IF(B351="","",IF(G351&lt;&gt;"",G351,E351))</f>
        <v/>
      </c>
      <c r="J351" s="21" t="str">
        <f aca="false">IF(B351="","",IF(H351&lt;&gt;"",H351,F351))</f>
        <v/>
      </c>
      <c r="K351" s="26" t="str">
        <f aca="false">IF(A351="","",DATE(YEAR(A351),MONTH(A351),1))</f>
        <v/>
      </c>
      <c r="L351" s="21" t="str">
        <f aca="false">IF(J351="",IF(B351="","",IF(N(C351)&gt;=0,"Income","Expense")),IFERROR(INDEX(Lists!$B$2:$B$30,MATCH(J351,Lists!$A$2:$A$30,0)),""))</f>
        <v/>
      </c>
      <c r="M351" s="24"/>
      <c r="N351" s="27" t="str">
        <f aca="false">IF(B351="","",IFERROR(1000-SUMPRODUCT(MAX(ISNUMBER(SEARCH(Rules!$A$5:$A$204,B351))*(Rules!$A$5:$A$204&lt;&gt;"")*(1000-ROW(Rules!$A$5:$A$204)))),""))</f>
        <v/>
      </c>
    </row>
    <row r="352" customFormat="false" ht="15" hidden="false" customHeight="false" outlineLevel="0" collapsed="false">
      <c r="A352" s="23"/>
      <c r="B352" s="24"/>
      <c r="C352" s="25"/>
      <c r="D352" s="24"/>
      <c r="E352" s="21" t="str">
        <f aca="false">IF(OR(B352="",N(N352)=0,N352=1000),IF(B352="","","Check"),INDEX(Rules!$B:$B,N352))</f>
        <v/>
      </c>
      <c r="F352" s="21" t="str">
        <f aca="false">IF(OR(B352="",N(N352)=0,N352=1000),"",INDEX(Rules!$C:$C,N352))</f>
        <v/>
      </c>
      <c r="G352" s="24"/>
      <c r="H352" s="24"/>
      <c r="I352" s="20" t="str">
        <f aca="false">IF(B352="","",IF(G352&lt;&gt;"",G352,E352))</f>
        <v/>
      </c>
      <c r="J352" s="21" t="str">
        <f aca="false">IF(B352="","",IF(H352&lt;&gt;"",H352,F352))</f>
        <v/>
      </c>
      <c r="K352" s="26" t="str">
        <f aca="false">IF(A352="","",DATE(YEAR(A352),MONTH(A352),1))</f>
        <v/>
      </c>
      <c r="L352" s="21" t="str">
        <f aca="false">IF(J352="",IF(B352="","",IF(N(C352)&gt;=0,"Income","Expense")),IFERROR(INDEX(Lists!$B$2:$B$30,MATCH(J352,Lists!$A$2:$A$30,0)),""))</f>
        <v/>
      </c>
      <c r="M352" s="24"/>
      <c r="N352" s="27" t="str">
        <f aca="false">IF(B352="","",IFERROR(1000-SUMPRODUCT(MAX(ISNUMBER(SEARCH(Rules!$A$5:$A$204,B352))*(Rules!$A$5:$A$204&lt;&gt;"")*(1000-ROW(Rules!$A$5:$A$204)))),""))</f>
        <v/>
      </c>
    </row>
    <row r="353" customFormat="false" ht="15" hidden="false" customHeight="false" outlineLevel="0" collapsed="false">
      <c r="A353" s="23"/>
      <c r="B353" s="24"/>
      <c r="C353" s="25"/>
      <c r="D353" s="24"/>
      <c r="E353" s="21" t="str">
        <f aca="false">IF(OR(B353="",N(N353)=0,N353=1000),IF(B353="","","Check"),INDEX(Rules!$B:$B,N353))</f>
        <v/>
      </c>
      <c r="F353" s="21" t="str">
        <f aca="false">IF(OR(B353="",N(N353)=0,N353=1000),"",INDEX(Rules!$C:$C,N353))</f>
        <v/>
      </c>
      <c r="G353" s="24"/>
      <c r="H353" s="24"/>
      <c r="I353" s="20" t="str">
        <f aca="false">IF(B353="","",IF(G353&lt;&gt;"",G353,E353))</f>
        <v/>
      </c>
      <c r="J353" s="21" t="str">
        <f aca="false">IF(B353="","",IF(H353&lt;&gt;"",H353,F353))</f>
        <v/>
      </c>
      <c r="K353" s="26" t="str">
        <f aca="false">IF(A353="","",DATE(YEAR(A353),MONTH(A353),1))</f>
        <v/>
      </c>
      <c r="L353" s="21" t="str">
        <f aca="false">IF(J353="",IF(B353="","",IF(N(C353)&gt;=0,"Income","Expense")),IFERROR(INDEX(Lists!$B$2:$B$30,MATCH(J353,Lists!$A$2:$A$30,0)),""))</f>
        <v/>
      </c>
      <c r="M353" s="24"/>
      <c r="N353" s="27" t="str">
        <f aca="false">IF(B353="","",IFERROR(1000-SUMPRODUCT(MAX(ISNUMBER(SEARCH(Rules!$A$5:$A$204,B353))*(Rules!$A$5:$A$204&lt;&gt;"")*(1000-ROW(Rules!$A$5:$A$204)))),""))</f>
        <v/>
      </c>
    </row>
    <row r="354" customFormat="false" ht="15" hidden="false" customHeight="false" outlineLevel="0" collapsed="false">
      <c r="A354" s="23"/>
      <c r="B354" s="24"/>
      <c r="C354" s="25"/>
      <c r="D354" s="24"/>
      <c r="E354" s="21" t="str">
        <f aca="false">IF(OR(B354="",N(N354)=0,N354=1000),IF(B354="","","Check"),INDEX(Rules!$B:$B,N354))</f>
        <v/>
      </c>
      <c r="F354" s="21" t="str">
        <f aca="false">IF(OR(B354="",N(N354)=0,N354=1000),"",INDEX(Rules!$C:$C,N354))</f>
        <v/>
      </c>
      <c r="G354" s="24"/>
      <c r="H354" s="24"/>
      <c r="I354" s="20" t="str">
        <f aca="false">IF(B354="","",IF(G354&lt;&gt;"",G354,E354))</f>
        <v/>
      </c>
      <c r="J354" s="21" t="str">
        <f aca="false">IF(B354="","",IF(H354&lt;&gt;"",H354,F354))</f>
        <v/>
      </c>
      <c r="K354" s="26" t="str">
        <f aca="false">IF(A354="","",DATE(YEAR(A354),MONTH(A354),1))</f>
        <v/>
      </c>
      <c r="L354" s="21" t="str">
        <f aca="false">IF(J354="",IF(B354="","",IF(N(C354)&gt;=0,"Income","Expense")),IFERROR(INDEX(Lists!$B$2:$B$30,MATCH(J354,Lists!$A$2:$A$30,0)),""))</f>
        <v/>
      </c>
      <c r="M354" s="24"/>
      <c r="N354" s="27" t="str">
        <f aca="false">IF(B354="","",IFERROR(1000-SUMPRODUCT(MAX(ISNUMBER(SEARCH(Rules!$A$5:$A$204,B354))*(Rules!$A$5:$A$204&lt;&gt;"")*(1000-ROW(Rules!$A$5:$A$204)))),""))</f>
        <v/>
      </c>
    </row>
    <row r="355" customFormat="false" ht="15" hidden="false" customHeight="false" outlineLevel="0" collapsed="false">
      <c r="A355" s="23"/>
      <c r="B355" s="24"/>
      <c r="C355" s="25"/>
      <c r="D355" s="24"/>
      <c r="E355" s="21" t="str">
        <f aca="false">IF(OR(B355="",N(N355)=0,N355=1000),IF(B355="","","Check"),INDEX(Rules!$B:$B,N355))</f>
        <v/>
      </c>
      <c r="F355" s="21" t="str">
        <f aca="false">IF(OR(B355="",N(N355)=0,N355=1000),"",INDEX(Rules!$C:$C,N355))</f>
        <v/>
      </c>
      <c r="G355" s="24"/>
      <c r="H355" s="24"/>
      <c r="I355" s="20" t="str">
        <f aca="false">IF(B355="","",IF(G355&lt;&gt;"",G355,E355))</f>
        <v/>
      </c>
      <c r="J355" s="21" t="str">
        <f aca="false">IF(B355="","",IF(H355&lt;&gt;"",H355,F355))</f>
        <v/>
      </c>
      <c r="K355" s="26" t="str">
        <f aca="false">IF(A355="","",DATE(YEAR(A355),MONTH(A355),1))</f>
        <v/>
      </c>
      <c r="L355" s="21" t="str">
        <f aca="false">IF(J355="",IF(B355="","",IF(N(C355)&gt;=0,"Income","Expense")),IFERROR(INDEX(Lists!$B$2:$B$30,MATCH(J355,Lists!$A$2:$A$30,0)),""))</f>
        <v/>
      </c>
      <c r="M355" s="24"/>
      <c r="N355" s="27" t="str">
        <f aca="false">IF(B355="","",IFERROR(1000-SUMPRODUCT(MAX(ISNUMBER(SEARCH(Rules!$A$5:$A$204,B355))*(Rules!$A$5:$A$204&lt;&gt;"")*(1000-ROW(Rules!$A$5:$A$204)))),""))</f>
        <v/>
      </c>
    </row>
    <row r="356" customFormat="false" ht="15" hidden="false" customHeight="false" outlineLevel="0" collapsed="false">
      <c r="A356" s="23"/>
      <c r="B356" s="24"/>
      <c r="C356" s="25"/>
      <c r="D356" s="24"/>
      <c r="E356" s="21" t="str">
        <f aca="false">IF(OR(B356="",N(N356)=0,N356=1000),IF(B356="","","Check"),INDEX(Rules!$B:$B,N356))</f>
        <v/>
      </c>
      <c r="F356" s="21" t="str">
        <f aca="false">IF(OR(B356="",N(N356)=0,N356=1000),"",INDEX(Rules!$C:$C,N356))</f>
        <v/>
      </c>
      <c r="G356" s="24"/>
      <c r="H356" s="24"/>
      <c r="I356" s="20" t="str">
        <f aca="false">IF(B356="","",IF(G356&lt;&gt;"",G356,E356))</f>
        <v/>
      </c>
      <c r="J356" s="21" t="str">
        <f aca="false">IF(B356="","",IF(H356&lt;&gt;"",H356,F356))</f>
        <v/>
      </c>
      <c r="K356" s="26" t="str">
        <f aca="false">IF(A356="","",DATE(YEAR(A356),MONTH(A356),1))</f>
        <v/>
      </c>
      <c r="L356" s="21" t="str">
        <f aca="false">IF(J356="",IF(B356="","",IF(N(C356)&gt;=0,"Income","Expense")),IFERROR(INDEX(Lists!$B$2:$B$30,MATCH(J356,Lists!$A$2:$A$30,0)),""))</f>
        <v/>
      </c>
      <c r="M356" s="24"/>
      <c r="N356" s="27" t="str">
        <f aca="false">IF(B356="","",IFERROR(1000-SUMPRODUCT(MAX(ISNUMBER(SEARCH(Rules!$A$5:$A$204,B356))*(Rules!$A$5:$A$204&lt;&gt;"")*(1000-ROW(Rules!$A$5:$A$204)))),""))</f>
        <v/>
      </c>
    </row>
    <row r="357" customFormat="false" ht="15" hidden="false" customHeight="false" outlineLevel="0" collapsed="false">
      <c r="A357" s="23"/>
      <c r="B357" s="24"/>
      <c r="C357" s="25"/>
      <c r="D357" s="24"/>
      <c r="E357" s="21" t="str">
        <f aca="false">IF(OR(B357="",N(N357)=0,N357=1000),IF(B357="","","Check"),INDEX(Rules!$B:$B,N357))</f>
        <v/>
      </c>
      <c r="F357" s="21" t="str">
        <f aca="false">IF(OR(B357="",N(N357)=0,N357=1000),"",INDEX(Rules!$C:$C,N357))</f>
        <v/>
      </c>
      <c r="G357" s="24"/>
      <c r="H357" s="24"/>
      <c r="I357" s="20" t="str">
        <f aca="false">IF(B357="","",IF(G357&lt;&gt;"",G357,E357))</f>
        <v/>
      </c>
      <c r="J357" s="21" t="str">
        <f aca="false">IF(B357="","",IF(H357&lt;&gt;"",H357,F357))</f>
        <v/>
      </c>
      <c r="K357" s="26" t="str">
        <f aca="false">IF(A357="","",DATE(YEAR(A357),MONTH(A357),1))</f>
        <v/>
      </c>
      <c r="L357" s="21" t="str">
        <f aca="false">IF(J357="",IF(B357="","",IF(N(C357)&gt;=0,"Income","Expense")),IFERROR(INDEX(Lists!$B$2:$B$30,MATCH(J357,Lists!$A$2:$A$30,0)),""))</f>
        <v/>
      </c>
      <c r="M357" s="24"/>
      <c r="N357" s="27" t="str">
        <f aca="false">IF(B357="","",IFERROR(1000-SUMPRODUCT(MAX(ISNUMBER(SEARCH(Rules!$A$5:$A$204,B357))*(Rules!$A$5:$A$204&lt;&gt;"")*(1000-ROW(Rules!$A$5:$A$204)))),""))</f>
        <v/>
      </c>
    </row>
    <row r="358" customFormat="false" ht="15" hidden="false" customHeight="false" outlineLevel="0" collapsed="false">
      <c r="A358" s="23"/>
      <c r="B358" s="24"/>
      <c r="C358" s="25"/>
      <c r="D358" s="24"/>
      <c r="E358" s="21" t="str">
        <f aca="false">IF(OR(B358="",N(N358)=0,N358=1000),IF(B358="","","Check"),INDEX(Rules!$B:$B,N358))</f>
        <v/>
      </c>
      <c r="F358" s="21" t="str">
        <f aca="false">IF(OR(B358="",N(N358)=0,N358=1000),"",INDEX(Rules!$C:$C,N358))</f>
        <v/>
      </c>
      <c r="G358" s="24"/>
      <c r="H358" s="24"/>
      <c r="I358" s="20" t="str">
        <f aca="false">IF(B358="","",IF(G358&lt;&gt;"",G358,E358))</f>
        <v/>
      </c>
      <c r="J358" s="21" t="str">
        <f aca="false">IF(B358="","",IF(H358&lt;&gt;"",H358,F358))</f>
        <v/>
      </c>
      <c r="K358" s="26" t="str">
        <f aca="false">IF(A358="","",DATE(YEAR(A358),MONTH(A358),1))</f>
        <v/>
      </c>
      <c r="L358" s="21" t="str">
        <f aca="false">IF(J358="",IF(B358="","",IF(N(C358)&gt;=0,"Income","Expense")),IFERROR(INDEX(Lists!$B$2:$B$30,MATCH(J358,Lists!$A$2:$A$30,0)),""))</f>
        <v/>
      </c>
      <c r="M358" s="24"/>
      <c r="N358" s="27" t="str">
        <f aca="false">IF(B358="","",IFERROR(1000-SUMPRODUCT(MAX(ISNUMBER(SEARCH(Rules!$A$5:$A$204,B358))*(Rules!$A$5:$A$204&lt;&gt;"")*(1000-ROW(Rules!$A$5:$A$204)))),""))</f>
        <v/>
      </c>
    </row>
    <row r="359" customFormat="false" ht="15" hidden="false" customHeight="false" outlineLevel="0" collapsed="false">
      <c r="A359" s="23"/>
      <c r="B359" s="24"/>
      <c r="C359" s="25"/>
      <c r="D359" s="24"/>
      <c r="E359" s="21" t="str">
        <f aca="false">IF(OR(B359="",N(N359)=0,N359=1000),IF(B359="","","Check"),INDEX(Rules!$B:$B,N359))</f>
        <v/>
      </c>
      <c r="F359" s="21" t="str">
        <f aca="false">IF(OR(B359="",N(N359)=0,N359=1000),"",INDEX(Rules!$C:$C,N359))</f>
        <v/>
      </c>
      <c r="G359" s="24"/>
      <c r="H359" s="24"/>
      <c r="I359" s="20" t="str">
        <f aca="false">IF(B359="","",IF(G359&lt;&gt;"",G359,E359))</f>
        <v/>
      </c>
      <c r="J359" s="21" t="str">
        <f aca="false">IF(B359="","",IF(H359&lt;&gt;"",H359,F359))</f>
        <v/>
      </c>
      <c r="K359" s="26" t="str">
        <f aca="false">IF(A359="","",DATE(YEAR(A359),MONTH(A359),1))</f>
        <v/>
      </c>
      <c r="L359" s="21" t="str">
        <f aca="false">IF(J359="",IF(B359="","",IF(N(C359)&gt;=0,"Income","Expense")),IFERROR(INDEX(Lists!$B$2:$B$30,MATCH(J359,Lists!$A$2:$A$30,0)),""))</f>
        <v/>
      </c>
      <c r="M359" s="24"/>
      <c r="N359" s="27" t="str">
        <f aca="false">IF(B359="","",IFERROR(1000-SUMPRODUCT(MAX(ISNUMBER(SEARCH(Rules!$A$5:$A$204,B359))*(Rules!$A$5:$A$204&lt;&gt;"")*(1000-ROW(Rules!$A$5:$A$204)))),""))</f>
        <v/>
      </c>
    </row>
    <row r="360" customFormat="false" ht="15" hidden="false" customHeight="false" outlineLevel="0" collapsed="false">
      <c r="A360" s="23"/>
      <c r="B360" s="24"/>
      <c r="C360" s="25"/>
      <c r="D360" s="24"/>
      <c r="E360" s="21" t="str">
        <f aca="false">IF(OR(B360="",N(N360)=0,N360=1000),IF(B360="","","Check"),INDEX(Rules!$B:$B,N360))</f>
        <v/>
      </c>
      <c r="F360" s="21" t="str">
        <f aca="false">IF(OR(B360="",N(N360)=0,N360=1000),"",INDEX(Rules!$C:$C,N360))</f>
        <v/>
      </c>
      <c r="G360" s="24"/>
      <c r="H360" s="24"/>
      <c r="I360" s="20" t="str">
        <f aca="false">IF(B360="","",IF(G360&lt;&gt;"",G360,E360))</f>
        <v/>
      </c>
      <c r="J360" s="21" t="str">
        <f aca="false">IF(B360="","",IF(H360&lt;&gt;"",H360,F360))</f>
        <v/>
      </c>
      <c r="K360" s="26" t="str">
        <f aca="false">IF(A360="","",DATE(YEAR(A360),MONTH(A360),1))</f>
        <v/>
      </c>
      <c r="L360" s="21" t="str">
        <f aca="false">IF(J360="",IF(B360="","",IF(N(C360)&gt;=0,"Income","Expense")),IFERROR(INDEX(Lists!$B$2:$B$30,MATCH(J360,Lists!$A$2:$A$30,0)),""))</f>
        <v/>
      </c>
      <c r="M360" s="24"/>
      <c r="N360" s="27" t="str">
        <f aca="false">IF(B360="","",IFERROR(1000-SUMPRODUCT(MAX(ISNUMBER(SEARCH(Rules!$A$5:$A$204,B360))*(Rules!$A$5:$A$204&lt;&gt;"")*(1000-ROW(Rules!$A$5:$A$204)))),""))</f>
        <v/>
      </c>
    </row>
    <row r="361" customFormat="false" ht="15" hidden="false" customHeight="false" outlineLevel="0" collapsed="false">
      <c r="A361" s="23"/>
      <c r="B361" s="24"/>
      <c r="C361" s="25"/>
      <c r="D361" s="24"/>
      <c r="E361" s="21" t="str">
        <f aca="false">IF(OR(B361="",N(N361)=0,N361=1000),IF(B361="","","Check"),INDEX(Rules!$B:$B,N361))</f>
        <v/>
      </c>
      <c r="F361" s="21" t="str">
        <f aca="false">IF(OR(B361="",N(N361)=0,N361=1000),"",INDEX(Rules!$C:$C,N361))</f>
        <v/>
      </c>
      <c r="G361" s="24"/>
      <c r="H361" s="24"/>
      <c r="I361" s="20" t="str">
        <f aca="false">IF(B361="","",IF(G361&lt;&gt;"",G361,E361))</f>
        <v/>
      </c>
      <c r="J361" s="21" t="str">
        <f aca="false">IF(B361="","",IF(H361&lt;&gt;"",H361,F361))</f>
        <v/>
      </c>
      <c r="K361" s="26" t="str">
        <f aca="false">IF(A361="","",DATE(YEAR(A361),MONTH(A361),1))</f>
        <v/>
      </c>
      <c r="L361" s="21" t="str">
        <f aca="false">IF(J361="",IF(B361="","",IF(N(C361)&gt;=0,"Income","Expense")),IFERROR(INDEX(Lists!$B$2:$B$30,MATCH(J361,Lists!$A$2:$A$30,0)),""))</f>
        <v/>
      </c>
      <c r="M361" s="24"/>
      <c r="N361" s="27" t="str">
        <f aca="false">IF(B361="","",IFERROR(1000-SUMPRODUCT(MAX(ISNUMBER(SEARCH(Rules!$A$5:$A$204,B361))*(Rules!$A$5:$A$204&lt;&gt;"")*(1000-ROW(Rules!$A$5:$A$204)))),""))</f>
        <v/>
      </c>
    </row>
    <row r="362" customFormat="false" ht="15" hidden="false" customHeight="false" outlineLevel="0" collapsed="false">
      <c r="A362" s="23"/>
      <c r="B362" s="24"/>
      <c r="C362" s="25"/>
      <c r="D362" s="24"/>
      <c r="E362" s="21" t="str">
        <f aca="false">IF(OR(B362="",N(N362)=0,N362=1000),IF(B362="","","Check"),INDEX(Rules!$B:$B,N362))</f>
        <v/>
      </c>
      <c r="F362" s="21" t="str">
        <f aca="false">IF(OR(B362="",N(N362)=0,N362=1000),"",INDEX(Rules!$C:$C,N362))</f>
        <v/>
      </c>
      <c r="G362" s="24"/>
      <c r="H362" s="24"/>
      <c r="I362" s="20" t="str">
        <f aca="false">IF(B362="","",IF(G362&lt;&gt;"",G362,E362))</f>
        <v/>
      </c>
      <c r="J362" s="21" t="str">
        <f aca="false">IF(B362="","",IF(H362&lt;&gt;"",H362,F362))</f>
        <v/>
      </c>
      <c r="K362" s="26" t="str">
        <f aca="false">IF(A362="","",DATE(YEAR(A362),MONTH(A362),1))</f>
        <v/>
      </c>
      <c r="L362" s="21" t="str">
        <f aca="false">IF(J362="",IF(B362="","",IF(N(C362)&gt;=0,"Income","Expense")),IFERROR(INDEX(Lists!$B$2:$B$30,MATCH(J362,Lists!$A$2:$A$30,0)),""))</f>
        <v/>
      </c>
      <c r="M362" s="24"/>
      <c r="N362" s="27" t="str">
        <f aca="false">IF(B362="","",IFERROR(1000-SUMPRODUCT(MAX(ISNUMBER(SEARCH(Rules!$A$5:$A$204,B362))*(Rules!$A$5:$A$204&lt;&gt;"")*(1000-ROW(Rules!$A$5:$A$204)))),""))</f>
        <v/>
      </c>
    </row>
    <row r="363" customFormat="false" ht="15" hidden="false" customHeight="false" outlineLevel="0" collapsed="false">
      <c r="A363" s="23"/>
      <c r="B363" s="24"/>
      <c r="C363" s="25"/>
      <c r="D363" s="24"/>
      <c r="E363" s="21" t="str">
        <f aca="false">IF(OR(B363="",N(N363)=0,N363=1000),IF(B363="","","Check"),INDEX(Rules!$B:$B,N363))</f>
        <v/>
      </c>
      <c r="F363" s="21" t="str">
        <f aca="false">IF(OR(B363="",N(N363)=0,N363=1000),"",INDEX(Rules!$C:$C,N363))</f>
        <v/>
      </c>
      <c r="G363" s="24"/>
      <c r="H363" s="24"/>
      <c r="I363" s="20" t="str">
        <f aca="false">IF(B363="","",IF(G363&lt;&gt;"",G363,E363))</f>
        <v/>
      </c>
      <c r="J363" s="21" t="str">
        <f aca="false">IF(B363="","",IF(H363&lt;&gt;"",H363,F363))</f>
        <v/>
      </c>
      <c r="K363" s="26" t="str">
        <f aca="false">IF(A363="","",DATE(YEAR(A363),MONTH(A363),1))</f>
        <v/>
      </c>
      <c r="L363" s="21" t="str">
        <f aca="false">IF(J363="",IF(B363="","",IF(N(C363)&gt;=0,"Income","Expense")),IFERROR(INDEX(Lists!$B$2:$B$30,MATCH(J363,Lists!$A$2:$A$30,0)),""))</f>
        <v/>
      </c>
      <c r="M363" s="24"/>
      <c r="N363" s="27" t="str">
        <f aca="false">IF(B363="","",IFERROR(1000-SUMPRODUCT(MAX(ISNUMBER(SEARCH(Rules!$A$5:$A$204,B363))*(Rules!$A$5:$A$204&lt;&gt;"")*(1000-ROW(Rules!$A$5:$A$204)))),""))</f>
        <v/>
      </c>
    </row>
    <row r="364" customFormat="false" ht="15" hidden="false" customHeight="false" outlineLevel="0" collapsed="false">
      <c r="A364" s="23"/>
      <c r="B364" s="24"/>
      <c r="C364" s="25"/>
      <c r="D364" s="24"/>
      <c r="E364" s="21" t="str">
        <f aca="false">IF(OR(B364="",N(N364)=0,N364=1000),IF(B364="","","Check"),INDEX(Rules!$B:$B,N364))</f>
        <v/>
      </c>
      <c r="F364" s="21" t="str">
        <f aca="false">IF(OR(B364="",N(N364)=0,N364=1000),"",INDEX(Rules!$C:$C,N364))</f>
        <v/>
      </c>
      <c r="G364" s="24"/>
      <c r="H364" s="24"/>
      <c r="I364" s="20" t="str">
        <f aca="false">IF(B364="","",IF(G364&lt;&gt;"",G364,E364))</f>
        <v/>
      </c>
      <c r="J364" s="21" t="str">
        <f aca="false">IF(B364="","",IF(H364&lt;&gt;"",H364,F364))</f>
        <v/>
      </c>
      <c r="K364" s="26" t="str">
        <f aca="false">IF(A364="","",DATE(YEAR(A364),MONTH(A364),1))</f>
        <v/>
      </c>
      <c r="L364" s="21" t="str">
        <f aca="false">IF(J364="",IF(B364="","",IF(N(C364)&gt;=0,"Income","Expense")),IFERROR(INDEX(Lists!$B$2:$B$30,MATCH(J364,Lists!$A$2:$A$30,0)),""))</f>
        <v/>
      </c>
      <c r="M364" s="24"/>
      <c r="N364" s="27" t="str">
        <f aca="false">IF(B364="","",IFERROR(1000-SUMPRODUCT(MAX(ISNUMBER(SEARCH(Rules!$A$5:$A$204,B364))*(Rules!$A$5:$A$204&lt;&gt;"")*(1000-ROW(Rules!$A$5:$A$204)))),""))</f>
        <v/>
      </c>
    </row>
    <row r="365" customFormat="false" ht="15" hidden="false" customHeight="false" outlineLevel="0" collapsed="false">
      <c r="A365" s="23"/>
      <c r="B365" s="24"/>
      <c r="C365" s="25"/>
      <c r="D365" s="24"/>
      <c r="E365" s="21" t="str">
        <f aca="false">IF(OR(B365="",N(N365)=0,N365=1000),IF(B365="","","Check"),INDEX(Rules!$B:$B,N365))</f>
        <v/>
      </c>
      <c r="F365" s="21" t="str">
        <f aca="false">IF(OR(B365="",N(N365)=0,N365=1000),"",INDEX(Rules!$C:$C,N365))</f>
        <v/>
      </c>
      <c r="G365" s="24"/>
      <c r="H365" s="24"/>
      <c r="I365" s="20" t="str">
        <f aca="false">IF(B365="","",IF(G365&lt;&gt;"",G365,E365))</f>
        <v/>
      </c>
      <c r="J365" s="21" t="str">
        <f aca="false">IF(B365="","",IF(H365&lt;&gt;"",H365,F365))</f>
        <v/>
      </c>
      <c r="K365" s="26" t="str">
        <f aca="false">IF(A365="","",DATE(YEAR(A365),MONTH(A365),1))</f>
        <v/>
      </c>
      <c r="L365" s="21" t="str">
        <f aca="false">IF(J365="",IF(B365="","",IF(N(C365)&gt;=0,"Income","Expense")),IFERROR(INDEX(Lists!$B$2:$B$30,MATCH(J365,Lists!$A$2:$A$30,0)),""))</f>
        <v/>
      </c>
      <c r="M365" s="24"/>
      <c r="N365" s="27" t="str">
        <f aca="false">IF(B365="","",IFERROR(1000-SUMPRODUCT(MAX(ISNUMBER(SEARCH(Rules!$A$5:$A$204,B365))*(Rules!$A$5:$A$204&lt;&gt;"")*(1000-ROW(Rules!$A$5:$A$204)))),""))</f>
        <v/>
      </c>
    </row>
    <row r="366" customFormat="false" ht="15" hidden="false" customHeight="false" outlineLevel="0" collapsed="false">
      <c r="A366" s="23"/>
      <c r="B366" s="24"/>
      <c r="C366" s="25"/>
      <c r="D366" s="24"/>
      <c r="E366" s="21" t="str">
        <f aca="false">IF(OR(B366="",N(N366)=0,N366=1000),IF(B366="","","Check"),INDEX(Rules!$B:$B,N366))</f>
        <v/>
      </c>
      <c r="F366" s="21" t="str">
        <f aca="false">IF(OR(B366="",N(N366)=0,N366=1000),"",INDEX(Rules!$C:$C,N366))</f>
        <v/>
      </c>
      <c r="G366" s="24"/>
      <c r="H366" s="24"/>
      <c r="I366" s="20" t="str">
        <f aca="false">IF(B366="","",IF(G366&lt;&gt;"",G366,E366))</f>
        <v/>
      </c>
      <c r="J366" s="21" t="str">
        <f aca="false">IF(B366="","",IF(H366&lt;&gt;"",H366,F366))</f>
        <v/>
      </c>
      <c r="K366" s="26" t="str">
        <f aca="false">IF(A366="","",DATE(YEAR(A366),MONTH(A366),1))</f>
        <v/>
      </c>
      <c r="L366" s="21" t="str">
        <f aca="false">IF(J366="",IF(B366="","",IF(N(C366)&gt;=0,"Income","Expense")),IFERROR(INDEX(Lists!$B$2:$B$30,MATCH(J366,Lists!$A$2:$A$30,0)),""))</f>
        <v/>
      </c>
      <c r="M366" s="24"/>
      <c r="N366" s="27" t="str">
        <f aca="false">IF(B366="","",IFERROR(1000-SUMPRODUCT(MAX(ISNUMBER(SEARCH(Rules!$A$5:$A$204,B366))*(Rules!$A$5:$A$204&lt;&gt;"")*(1000-ROW(Rules!$A$5:$A$204)))),""))</f>
        <v/>
      </c>
    </row>
    <row r="367" customFormat="false" ht="15" hidden="false" customHeight="false" outlineLevel="0" collapsed="false">
      <c r="A367" s="23"/>
      <c r="B367" s="24"/>
      <c r="C367" s="25"/>
      <c r="D367" s="24"/>
      <c r="E367" s="21" t="str">
        <f aca="false">IF(OR(B367="",N(N367)=0,N367=1000),IF(B367="","","Check"),INDEX(Rules!$B:$B,N367))</f>
        <v/>
      </c>
      <c r="F367" s="21" t="str">
        <f aca="false">IF(OR(B367="",N(N367)=0,N367=1000),"",INDEX(Rules!$C:$C,N367))</f>
        <v/>
      </c>
      <c r="G367" s="24"/>
      <c r="H367" s="24"/>
      <c r="I367" s="20" t="str">
        <f aca="false">IF(B367="","",IF(G367&lt;&gt;"",G367,E367))</f>
        <v/>
      </c>
      <c r="J367" s="21" t="str">
        <f aca="false">IF(B367="","",IF(H367&lt;&gt;"",H367,F367))</f>
        <v/>
      </c>
      <c r="K367" s="26" t="str">
        <f aca="false">IF(A367="","",DATE(YEAR(A367),MONTH(A367),1))</f>
        <v/>
      </c>
      <c r="L367" s="21" t="str">
        <f aca="false">IF(J367="",IF(B367="","",IF(N(C367)&gt;=0,"Income","Expense")),IFERROR(INDEX(Lists!$B$2:$B$30,MATCH(J367,Lists!$A$2:$A$30,0)),""))</f>
        <v/>
      </c>
      <c r="M367" s="24"/>
      <c r="N367" s="27" t="str">
        <f aca="false">IF(B367="","",IFERROR(1000-SUMPRODUCT(MAX(ISNUMBER(SEARCH(Rules!$A$5:$A$204,B367))*(Rules!$A$5:$A$204&lt;&gt;"")*(1000-ROW(Rules!$A$5:$A$204)))),""))</f>
        <v/>
      </c>
    </row>
    <row r="368" customFormat="false" ht="15" hidden="false" customHeight="false" outlineLevel="0" collapsed="false">
      <c r="A368" s="23"/>
      <c r="B368" s="24"/>
      <c r="C368" s="25"/>
      <c r="D368" s="24"/>
      <c r="E368" s="21" t="str">
        <f aca="false">IF(OR(B368="",N(N368)=0,N368=1000),IF(B368="","","Check"),INDEX(Rules!$B:$B,N368))</f>
        <v/>
      </c>
      <c r="F368" s="21" t="str">
        <f aca="false">IF(OR(B368="",N(N368)=0,N368=1000),"",INDEX(Rules!$C:$C,N368))</f>
        <v/>
      </c>
      <c r="G368" s="24"/>
      <c r="H368" s="24"/>
      <c r="I368" s="20" t="str">
        <f aca="false">IF(B368="","",IF(G368&lt;&gt;"",G368,E368))</f>
        <v/>
      </c>
      <c r="J368" s="21" t="str">
        <f aca="false">IF(B368="","",IF(H368&lt;&gt;"",H368,F368))</f>
        <v/>
      </c>
      <c r="K368" s="26" t="str">
        <f aca="false">IF(A368="","",DATE(YEAR(A368),MONTH(A368),1))</f>
        <v/>
      </c>
      <c r="L368" s="21" t="str">
        <f aca="false">IF(J368="",IF(B368="","",IF(N(C368)&gt;=0,"Income","Expense")),IFERROR(INDEX(Lists!$B$2:$B$30,MATCH(J368,Lists!$A$2:$A$30,0)),""))</f>
        <v/>
      </c>
      <c r="M368" s="24"/>
      <c r="N368" s="27" t="str">
        <f aca="false">IF(B368="","",IFERROR(1000-SUMPRODUCT(MAX(ISNUMBER(SEARCH(Rules!$A$5:$A$204,B368))*(Rules!$A$5:$A$204&lt;&gt;"")*(1000-ROW(Rules!$A$5:$A$204)))),""))</f>
        <v/>
      </c>
    </row>
    <row r="369" customFormat="false" ht="15" hidden="false" customHeight="false" outlineLevel="0" collapsed="false">
      <c r="A369" s="23"/>
      <c r="B369" s="24"/>
      <c r="C369" s="25"/>
      <c r="D369" s="24"/>
      <c r="E369" s="21" t="str">
        <f aca="false">IF(OR(B369="",N(N369)=0,N369=1000),IF(B369="","","Check"),INDEX(Rules!$B:$B,N369))</f>
        <v/>
      </c>
      <c r="F369" s="21" t="str">
        <f aca="false">IF(OR(B369="",N(N369)=0,N369=1000),"",INDEX(Rules!$C:$C,N369))</f>
        <v/>
      </c>
      <c r="G369" s="24"/>
      <c r="H369" s="24"/>
      <c r="I369" s="20" t="str">
        <f aca="false">IF(B369="","",IF(G369&lt;&gt;"",G369,E369))</f>
        <v/>
      </c>
      <c r="J369" s="21" t="str">
        <f aca="false">IF(B369="","",IF(H369&lt;&gt;"",H369,F369))</f>
        <v/>
      </c>
      <c r="K369" s="26" t="str">
        <f aca="false">IF(A369="","",DATE(YEAR(A369),MONTH(A369),1))</f>
        <v/>
      </c>
      <c r="L369" s="21" t="str">
        <f aca="false">IF(J369="",IF(B369="","",IF(N(C369)&gt;=0,"Income","Expense")),IFERROR(INDEX(Lists!$B$2:$B$30,MATCH(J369,Lists!$A$2:$A$30,0)),""))</f>
        <v/>
      </c>
      <c r="M369" s="24"/>
      <c r="N369" s="27" t="str">
        <f aca="false">IF(B369="","",IFERROR(1000-SUMPRODUCT(MAX(ISNUMBER(SEARCH(Rules!$A$5:$A$204,B369))*(Rules!$A$5:$A$204&lt;&gt;"")*(1000-ROW(Rules!$A$5:$A$204)))),""))</f>
        <v/>
      </c>
    </row>
    <row r="370" customFormat="false" ht="15" hidden="false" customHeight="false" outlineLevel="0" collapsed="false">
      <c r="A370" s="23"/>
      <c r="B370" s="24"/>
      <c r="C370" s="25"/>
      <c r="D370" s="24"/>
      <c r="E370" s="21" t="str">
        <f aca="false">IF(OR(B370="",N(N370)=0,N370=1000),IF(B370="","","Check"),INDEX(Rules!$B:$B,N370))</f>
        <v/>
      </c>
      <c r="F370" s="21" t="str">
        <f aca="false">IF(OR(B370="",N(N370)=0,N370=1000),"",INDEX(Rules!$C:$C,N370))</f>
        <v/>
      </c>
      <c r="G370" s="24"/>
      <c r="H370" s="24"/>
      <c r="I370" s="20" t="str">
        <f aca="false">IF(B370="","",IF(G370&lt;&gt;"",G370,E370))</f>
        <v/>
      </c>
      <c r="J370" s="21" t="str">
        <f aca="false">IF(B370="","",IF(H370&lt;&gt;"",H370,F370))</f>
        <v/>
      </c>
      <c r="K370" s="26" t="str">
        <f aca="false">IF(A370="","",DATE(YEAR(A370),MONTH(A370),1))</f>
        <v/>
      </c>
      <c r="L370" s="21" t="str">
        <f aca="false">IF(J370="",IF(B370="","",IF(N(C370)&gt;=0,"Income","Expense")),IFERROR(INDEX(Lists!$B$2:$B$30,MATCH(J370,Lists!$A$2:$A$30,0)),""))</f>
        <v/>
      </c>
      <c r="M370" s="24"/>
      <c r="N370" s="27" t="str">
        <f aca="false">IF(B370="","",IFERROR(1000-SUMPRODUCT(MAX(ISNUMBER(SEARCH(Rules!$A$5:$A$204,B370))*(Rules!$A$5:$A$204&lt;&gt;"")*(1000-ROW(Rules!$A$5:$A$204)))),""))</f>
        <v/>
      </c>
    </row>
    <row r="371" customFormat="false" ht="15" hidden="false" customHeight="false" outlineLevel="0" collapsed="false">
      <c r="A371" s="23"/>
      <c r="B371" s="24"/>
      <c r="C371" s="25"/>
      <c r="D371" s="24"/>
      <c r="E371" s="21" t="str">
        <f aca="false">IF(OR(B371="",N(N371)=0,N371=1000),IF(B371="","","Check"),INDEX(Rules!$B:$B,N371))</f>
        <v/>
      </c>
      <c r="F371" s="21" t="str">
        <f aca="false">IF(OR(B371="",N(N371)=0,N371=1000),"",INDEX(Rules!$C:$C,N371))</f>
        <v/>
      </c>
      <c r="G371" s="24"/>
      <c r="H371" s="24"/>
      <c r="I371" s="20" t="str">
        <f aca="false">IF(B371="","",IF(G371&lt;&gt;"",G371,E371))</f>
        <v/>
      </c>
      <c r="J371" s="21" t="str">
        <f aca="false">IF(B371="","",IF(H371&lt;&gt;"",H371,F371))</f>
        <v/>
      </c>
      <c r="K371" s="26" t="str">
        <f aca="false">IF(A371="","",DATE(YEAR(A371),MONTH(A371),1))</f>
        <v/>
      </c>
      <c r="L371" s="21" t="str">
        <f aca="false">IF(J371="",IF(B371="","",IF(N(C371)&gt;=0,"Income","Expense")),IFERROR(INDEX(Lists!$B$2:$B$30,MATCH(J371,Lists!$A$2:$A$30,0)),""))</f>
        <v/>
      </c>
      <c r="M371" s="24"/>
      <c r="N371" s="27" t="str">
        <f aca="false">IF(B371="","",IFERROR(1000-SUMPRODUCT(MAX(ISNUMBER(SEARCH(Rules!$A$5:$A$204,B371))*(Rules!$A$5:$A$204&lt;&gt;"")*(1000-ROW(Rules!$A$5:$A$204)))),""))</f>
        <v/>
      </c>
    </row>
    <row r="372" customFormat="false" ht="15" hidden="false" customHeight="false" outlineLevel="0" collapsed="false">
      <c r="A372" s="23"/>
      <c r="B372" s="24"/>
      <c r="C372" s="25"/>
      <c r="D372" s="24"/>
      <c r="E372" s="21" t="str">
        <f aca="false">IF(OR(B372="",N(N372)=0,N372=1000),IF(B372="","","Check"),INDEX(Rules!$B:$B,N372))</f>
        <v/>
      </c>
      <c r="F372" s="21" t="str">
        <f aca="false">IF(OR(B372="",N(N372)=0,N372=1000),"",INDEX(Rules!$C:$C,N372))</f>
        <v/>
      </c>
      <c r="G372" s="24"/>
      <c r="H372" s="24"/>
      <c r="I372" s="20" t="str">
        <f aca="false">IF(B372="","",IF(G372&lt;&gt;"",G372,E372))</f>
        <v/>
      </c>
      <c r="J372" s="21" t="str">
        <f aca="false">IF(B372="","",IF(H372&lt;&gt;"",H372,F372))</f>
        <v/>
      </c>
      <c r="K372" s="26" t="str">
        <f aca="false">IF(A372="","",DATE(YEAR(A372),MONTH(A372),1))</f>
        <v/>
      </c>
      <c r="L372" s="21" t="str">
        <f aca="false">IF(J372="",IF(B372="","",IF(N(C372)&gt;=0,"Income","Expense")),IFERROR(INDEX(Lists!$B$2:$B$30,MATCH(J372,Lists!$A$2:$A$30,0)),""))</f>
        <v/>
      </c>
      <c r="M372" s="24"/>
      <c r="N372" s="27" t="str">
        <f aca="false">IF(B372="","",IFERROR(1000-SUMPRODUCT(MAX(ISNUMBER(SEARCH(Rules!$A$5:$A$204,B372))*(Rules!$A$5:$A$204&lt;&gt;"")*(1000-ROW(Rules!$A$5:$A$204)))),""))</f>
        <v/>
      </c>
    </row>
    <row r="373" customFormat="false" ht="15" hidden="false" customHeight="false" outlineLevel="0" collapsed="false">
      <c r="A373" s="23"/>
      <c r="B373" s="24"/>
      <c r="C373" s="25"/>
      <c r="D373" s="24"/>
      <c r="E373" s="21" t="str">
        <f aca="false">IF(OR(B373="",N(N373)=0,N373=1000),IF(B373="","","Check"),INDEX(Rules!$B:$B,N373))</f>
        <v/>
      </c>
      <c r="F373" s="21" t="str">
        <f aca="false">IF(OR(B373="",N(N373)=0,N373=1000),"",INDEX(Rules!$C:$C,N373))</f>
        <v/>
      </c>
      <c r="G373" s="24"/>
      <c r="H373" s="24"/>
      <c r="I373" s="20" t="str">
        <f aca="false">IF(B373="","",IF(G373&lt;&gt;"",G373,E373))</f>
        <v/>
      </c>
      <c r="J373" s="21" t="str">
        <f aca="false">IF(B373="","",IF(H373&lt;&gt;"",H373,F373))</f>
        <v/>
      </c>
      <c r="K373" s="26" t="str">
        <f aca="false">IF(A373="","",DATE(YEAR(A373),MONTH(A373),1))</f>
        <v/>
      </c>
      <c r="L373" s="21" t="str">
        <f aca="false">IF(J373="",IF(B373="","",IF(N(C373)&gt;=0,"Income","Expense")),IFERROR(INDEX(Lists!$B$2:$B$30,MATCH(J373,Lists!$A$2:$A$30,0)),""))</f>
        <v/>
      </c>
      <c r="M373" s="24"/>
      <c r="N373" s="27" t="str">
        <f aca="false">IF(B373="","",IFERROR(1000-SUMPRODUCT(MAX(ISNUMBER(SEARCH(Rules!$A$5:$A$204,B373))*(Rules!$A$5:$A$204&lt;&gt;"")*(1000-ROW(Rules!$A$5:$A$204)))),""))</f>
        <v/>
      </c>
    </row>
    <row r="374" customFormat="false" ht="15" hidden="false" customHeight="false" outlineLevel="0" collapsed="false">
      <c r="A374" s="23"/>
      <c r="B374" s="24"/>
      <c r="C374" s="25"/>
      <c r="D374" s="24"/>
      <c r="E374" s="21" t="str">
        <f aca="false">IF(OR(B374="",N(N374)=0,N374=1000),IF(B374="","","Check"),INDEX(Rules!$B:$B,N374))</f>
        <v/>
      </c>
      <c r="F374" s="21" t="str">
        <f aca="false">IF(OR(B374="",N(N374)=0,N374=1000),"",INDEX(Rules!$C:$C,N374))</f>
        <v/>
      </c>
      <c r="G374" s="24"/>
      <c r="H374" s="24"/>
      <c r="I374" s="20" t="str">
        <f aca="false">IF(B374="","",IF(G374&lt;&gt;"",G374,E374))</f>
        <v/>
      </c>
      <c r="J374" s="21" t="str">
        <f aca="false">IF(B374="","",IF(H374&lt;&gt;"",H374,F374))</f>
        <v/>
      </c>
      <c r="K374" s="26" t="str">
        <f aca="false">IF(A374="","",DATE(YEAR(A374),MONTH(A374),1))</f>
        <v/>
      </c>
      <c r="L374" s="21" t="str">
        <f aca="false">IF(J374="",IF(B374="","",IF(N(C374)&gt;=0,"Income","Expense")),IFERROR(INDEX(Lists!$B$2:$B$30,MATCH(J374,Lists!$A$2:$A$30,0)),""))</f>
        <v/>
      </c>
      <c r="M374" s="24"/>
      <c r="N374" s="27" t="str">
        <f aca="false">IF(B374="","",IFERROR(1000-SUMPRODUCT(MAX(ISNUMBER(SEARCH(Rules!$A$5:$A$204,B374))*(Rules!$A$5:$A$204&lt;&gt;"")*(1000-ROW(Rules!$A$5:$A$204)))),""))</f>
        <v/>
      </c>
    </row>
    <row r="375" customFormat="false" ht="15" hidden="false" customHeight="false" outlineLevel="0" collapsed="false">
      <c r="A375" s="23"/>
      <c r="B375" s="24"/>
      <c r="C375" s="25"/>
      <c r="D375" s="24"/>
      <c r="E375" s="21" t="str">
        <f aca="false">IF(OR(B375="",N(N375)=0,N375=1000),IF(B375="","","Check"),INDEX(Rules!$B:$B,N375))</f>
        <v/>
      </c>
      <c r="F375" s="21" t="str">
        <f aca="false">IF(OR(B375="",N(N375)=0,N375=1000),"",INDEX(Rules!$C:$C,N375))</f>
        <v/>
      </c>
      <c r="G375" s="24"/>
      <c r="H375" s="24"/>
      <c r="I375" s="20" t="str">
        <f aca="false">IF(B375="","",IF(G375&lt;&gt;"",G375,E375))</f>
        <v/>
      </c>
      <c r="J375" s="21" t="str">
        <f aca="false">IF(B375="","",IF(H375&lt;&gt;"",H375,F375))</f>
        <v/>
      </c>
      <c r="K375" s="26" t="str">
        <f aca="false">IF(A375="","",DATE(YEAR(A375),MONTH(A375),1))</f>
        <v/>
      </c>
      <c r="L375" s="21" t="str">
        <f aca="false">IF(J375="",IF(B375="","",IF(N(C375)&gt;=0,"Income","Expense")),IFERROR(INDEX(Lists!$B$2:$B$30,MATCH(J375,Lists!$A$2:$A$30,0)),""))</f>
        <v/>
      </c>
      <c r="M375" s="24"/>
      <c r="N375" s="27" t="str">
        <f aca="false">IF(B375="","",IFERROR(1000-SUMPRODUCT(MAX(ISNUMBER(SEARCH(Rules!$A$5:$A$204,B375))*(Rules!$A$5:$A$204&lt;&gt;"")*(1000-ROW(Rules!$A$5:$A$204)))),""))</f>
        <v/>
      </c>
    </row>
    <row r="376" customFormat="false" ht="15" hidden="false" customHeight="false" outlineLevel="0" collapsed="false">
      <c r="A376" s="23"/>
      <c r="B376" s="24"/>
      <c r="C376" s="25"/>
      <c r="D376" s="24"/>
      <c r="E376" s="21" t="str">
        <f aca="false">IF(OR(B376="",N(N376)=0,N376=1000),IF(B376="","","Check"),INDEX(Rules!$B:$B,N376))</f>
        <v/>
      </c>
      <c r="F376" s="21" t="str">
        <f aca="false">IF(OR(B376="",N(N376)=0,N376=1000),"",INDEX(Rules!$C:$C,N376))</f>
        <v/>
      </c>
      <c r="G376" s="24"/>
      <c r="H376" s="24"/>
      <c r="I376" s="20" t="str">
        <f aca="false">IF(B376="","",IF(G376&lt;&gt;"",G376,E376))</f>
        <v/>
      </c>
      <c r="J376" s="21" t="str">
        <f aca="false">IF(B376="","",IF(H376&lt;&gt;"",H376,F376))</f>
        <v/>
      </c>
      <c r="K376" s="26" t="str">
        <f aca="false">IF(A376="","",DATE(YEAR(A376),MONTH(A376),1))</f>
        <v/>
      </c>
      <c r="L376" s="21" t="str">
        <f aca="false">IF(J376="",IF(B376="","",IF(N(C376)&gt;=0,"Income","Expense")),IFERROR(INDEX(Lists!$B$2:$B$30,MATCH(J376,Lists!$A$2:$A$30,0)),""))</f>
        <v/>
      </c>
      <c r="M376" s="24"/>
      <c r="N376" s="27" t="str">
        <f aca="false">IF(B376="","",IFERROR(1000-SUMPRODUCT(MAX(ISNUMBER(SEARCH(Rules!$A$5:$A$204,B376))*(Rules!$A$5:$A$204&lt;&gt;"")*(1000-ROW(Rules!$A$5:$A$204)))),""))</f>
        <v/>
      </c>
    </row>
    <row r="377" customFormat="false" ht="15" hidden="false" customHeight="false" outlineLevel="0" collapsed="false">
      <c r="A377" s="23"/>
      <c r="B377" s="24"/>
      <c r="C377" s="25"/>
      <c r="D377" s="24"/>
      <c r="E377" s="21" t="str">
        <f aca="false">IF(OR(B377="",N(N377)=0,N377=1000),IF(B377="","","Check"),INDEX(Rules!$B:$B,N377))</f>
        <v/>
      </c>
      <c r="F377" s="21" t="str">
        <f aca="false">IF(OR(B377="",N(N377)=0,N377=1000),"",INDEX(Rules!$C:$C,N377))</f>
        <v/>
      </c>
      <c r="G377" s="24"/>
      <c r="H377" s="24"/>
      <c r="I377" s="20" t="str">
        <f aca="false">IF(B377="","",IF(G377&lt;&gt;"",G377,E377))</f>
        <v/>
      </c>
      <c r="J377" s="21" t="str">
        <f aca="false">IF(B377="","",IF(H377&lt;&gt;"",H377,F377))</f>
        <v/>
      </c>
      <c r="K377" s="26" t="str">
        <f aca="false">IF(A377="","",DATE(YEAR(A377),MONTH(A377),1))</f>
        <v/>
      </c>
      <c r="L377" s="21" t="str">
        <f aca="false">IF(J377="",IF(B377="","",IF(N(C377)&gt;=0,"Income","Expense")),IFERROR(INDEX(Lists!$B$2:$B$30,MATCH(J377,Lists!$A$2:$A$30,0)),""))</f>
        <v/>
      </c>
      <c r="M377" s="24"/>
      <c r="N377" s="27" t="str">
        <f aca="false">IF(B377="","",IFERROR(1000-SUMPRODUCT(MAX(ISNUMBER(SEARCH(Rules!$A$5:$A$204,B377))*(Rules!$A$5:$A$204&lt;&gt;"")*(1000-ROW(Rules!$A$5:$A$204)))),""))</f>
        <v/>
      </c>
    </row>
    <row r="378" customFormat="false" ht="15" hidden="false" customHeight="false" outlineLevel="0" collapsed="false">
      <c r="A378" s="23"/>
      <c r="B378" s="24"/>
      <c r="C378" s="25"/>
      <c r="D378" s="24"/>
      <c r="E378" s="21" t="str">
        <f aca="false">IF(OR(B378="",N(N378)=0,N378=1000),IF(B378="","","Check"),INDEX(Rules!$B:$B,N378))</f>
        <v/>
      </c>
      <c r="F378" s="21" t="str">
        <f aca="false">IF(OR(B378="",N(N378)=0,N378=1000),"",INDEX(Rules!$C:$C,N378))</f>
        <v/>
      </c>
      <c r="G378" s="24"/>
      <c r="H378" s="24"/>
      <c r="I378" s="20" t="str">
        <f aca="false">IF(B378="","",IF(G378&lt;&gt;"",G378,E378))</f>
        <v/>
      </c>
      <c r="J378" s="21" t="str">
        <f aca="false">IF(B378="","",IF(H378&lt;&gt;"",H378,F378))</f>
        <v/>
      </c>
      <c r="K378" s="26" t="str">
        <f aca="false">IF(A378="","",DATE(YEAR(A378),MONTH(A378),1))</f>
        <v/>
      </c>
      <c r="L378" s="21" t="str">
        <f aca="false">IF(J378="",IF(B378="","",IF(N(C378)&gt;=0,"Income","Expense")),IFERROR(INDEX(Lists!$B$2:$B$30,MATCH(J378,Lists!$A$2:$A$30,0)),""))</f>
        <v/>
      </c>
      <c r="M378" s="24"/>
      <c r="N378" s="27" t="str">
        <f aca="false">IF(B378="","",IFERROR(1000-SUMPRODUCT(MAX(ISNUMBER(SEARCH(Rules!$A$5:$A$204,B378))*(Rules!$A$5:$A$204&lt;&gt;"")*(1000-ROW(Rules!$A$5:$A$204)))),""))</f>
        <v/>
      </c>
    </row>
    <row r="379" customFormat="false" ht="15" hidden="false" customHeight="false" outlineLevel="0" collapsed="false">
      <c r="A379" s="23"/>
      <c r="B379" s="24"/>
      <c r="C379" s="25"/>
      <c r="D379" s="24"/>
      <c r="E379" s="21" t="str">
        <f aca="false">IF(OR(B379="",N(N379)=0,N379=1000),IF(B379="","","Check"),INDEX(Rules!$B:$B,N379))</f>
        <v/>
      </c>
      <c r="F379" s="21" t="str">
        <f aca="false">IF(OR(B379="",N(N379)=0,N379=1000),"",INDEX(Rules!$C:$C,N379))</f>
        <v/>
      </c>
      <c r="G379" s="24"/>
      <c r="H379" s="24"/>
      <c r="I379" s="20" t="str">
        <f aca="false">IF(B379="","",IF(G379&lt;&gt;"",G379,E379))</f>
        <v/>
      </c>
      <c r="J379" s="21" t="str">
        <f aca="false">IF(B379="","",IF(H379&lt;&gt;"",H379,F379))</f>
        <v/>
      </c>
      <c r="K379" s="26" t="str">
        <f aca="false">IF(A379="","",DATE(YEAR(A379),MONTH(A379),1))</f>
        <v/>
      </c>
      <c r="L379" s="21" t="str">
        <f aca="false">IF(J379="",IF(B379="","",IF(N(C379)&gt;=0,"Income","Expense")),IFERROR(INDEX(Lists!$B$2:$B$30,MATCH(J379,Lists!$A$2:$A$30,0)),""))</f>
        <v/>
      </c>
      <c r="M379" s="24"/>
      <c r="N379" s="27" t="str">
        <f aca="false">IF(B379="","",IFERROR(1000-SUMPRODUCT(MAX(ISNUMBER(SEARCH(Rules!$A$5:$A$204,B379))*(Rules!$A$5:$A$204&lt;&gt;"")*(1000-ROW(Rules!$A$5:$A$204)))),""))</f>
        <v/>
      </c>
    </row>
    <row r="380" customFormat="false" ht="15" hidden="false" customHeight="false" outlineLevel="0" collapsed="false">
      <c r="A380" s="23"/>
      <c r="B380" s="24"/>
      <c r="C380" s="25"/>
      <c r="D380" s="24"/>
      <c r="E380" s="21" t="str">
        <f aca="false">IF(OR(B380="",N(N380)=0,N380=1000),IF(B380="","","Check"),INDEX(Rules!$B:$B,N380))</f>
        <v/>
      </c>
      <c r="F380" s="21" t="str">
        <f aca="false">IF(OR(B380="",N(N380)=0,N380=1000),"",INDEX(Rules!$C:$C,N380))</f>
        <v/>
      </c>
      <c r="G380" s="24"/>
      <c r="H380" s="24"/>
      <c r="I380" s="20" t="str">
        <f aca="false">IF(B380="","",IF(G380&lt;&gt;"",G380,E380))</f>
        <v/>
      </c>
      <c r="J380" s="21" t="str">
        <f aca="false">IF(B380="","",IF(H380&lt;&gt;"",H380,F380))</f>
        <v/>
      </c>
      <c r="K380" s="26" t="str">
        <f aca="false">IF(A380="","",DATE(YEAR(A380),MONTH(A380),1))</f>
        <v/>
      </c>
      <c r="L380" s="21" t="str">
        <f aca="false">IF(J380="",IF(B380="","",IF(N(C380)&gt;=0,"Income","Expense")),IFERROR(INDEX(Lists!$B$2:$B$30,MATCH(J380,Lists!$A$2:$A$30,0)),""))</f>
        <v/>
      </c>
      <c r="M380" s="24"/>
      <c r="N380" s="27" t="str">
        <f aca="false">IF(B380="","",IFERROR(1000-SUMPRODUCT(MAX(ISNUMBER(SEARCH(Rules!$A$5:$A$204,B380))*(Rules!$A$5:$A$204&lt;&gt;"")*(1000-ROW(Rules!$A$5:$A$204)))),""))</f>
        <v/>
      </c>
    </row>
    <row r="381" customFormat="false" ht="15" hidden="false" customHeight="false" outlineLevel="0" collapsed="false">
      <c r="A381" s="23"/>
      <c r="B381" s="24"/>
      <c r="C381" s="25"/>
      <c r="D381" s="24"/>
      <c r="E381" s="21" t="str">
        <f aca="false">IF(OR(B381="",N(N381)=0,N381=1000),IF(B381="","","Check"),INDEX(Rules!$B:$B,N381))</f>
        <v/>
      </c>
      <c r="F381" s="21" t="str">
        <f aca="false">IF(OR(B381="",N(N381)=0,N381=1000),"",INDEX(Rules!$C:$C,N381))</f>
        <v/>
      </c>
      <c r="G381" s="24"/>
      <c r="H381" s="24"/>
      <c r="I381" s="20" t="str">
        <f aca="false">IF(B381="","",IF(G381&lt;&gt;"",G381,E381))</f>
        <v/>
      </c>
      <c r="J381" s="21" t="str">
        <f aca="false">IF(B381="","",IF(H381&lt;&gt;"",H381,F381))</f>
        <v/>
      </c>
      <c r="K381" s="26" t="str">
        <f aca="false">IF(A381="","",DATE(YEAR(A381),MONTH(A381),1))</f>
        <v/>
      </c>
      <c r="L381" s="21" t="str">
        <f aca="false">IF(J381="",IF(B381="","",IF(N(C381)&gt;=0,"Income","Expense")),IFERROR(INDEX(Lists!$B$2:$B$30,MATCH(J381,Lists!$A$2:$A$30,0)),""))</f>
        <v/>
      </c>
      <c r="M381" s="24"/>
      <c r="N381" s="27" t="str">
        <f aca="false">IF(B381="","",IFERROR(1000-SUMPRODUCT(MAX(ISNUMBER(SEARCH(Rules!$A$5:$A$204,B381))*(Rules!$A$5:$A$204&lt;&gt;"")*(1000-ROW(Rules!$A$5:$A$204)))),""))</f>
        <v/>
      </c>
    </row>
    <row r="382" customFormat="false" ht="15" hidden="false" customHeight="false" outlineLevel="0" collapsed="false">
      <c r="A382" s="23"/>
      <c r="B382" s="24"/>
      <c r="C382" s="25"/>
      <c r="D382" s="24"/>
      <c r="E382" s="21" t="str">
        <f aca="false">IF(OR(B382="",N(N382)=0,N382=1000),IF(B382="","","Check"),INDEX(Rules!$B:$B,N382))</f>
        <v/>
      </c>
      <c r="F382" s="21" t="str">
        <f aca="false">IF(OR(B382="",N(N382)=0,N382=1000),"",INDEX(Rules!$C:$C,N382))</f>
        <v/>
      </c>
      <c r="G382" s="24"/>
      <c r="H382" s="24"/>
      <c r="I382" s="20" t="str">
        <f aca="false">IF(B382="","",IF(G382&lt;&gt;"",G382,E382))</f>
        <v/>
      </c>
      <c r="J382" s="21" t="str">
        <f aca="false">IF(B382="","",IF(H382&lt;&gt;"",H382,F382))</f>
        <v/>
      </c>
      <c r="K382" s="26" t="str">
        <f aca="false">IF(A382="","",DATE(YEAR(A382),MONTH(A382),1))</f>
        <v/>
      </c>
      <c r="L382" s="21" t="str">
        <f aca="false">IF(J382="",IF(B382="","",IF(N(C382)&gt;=0,"Income","Expense")),IFERROR(INDEX(Lists!$B$2:$B$30,MATCH(J382,Lists!$A$2:$A$30,0)),""))</f>
        <v/>
      </c>
      <c r="M382" s="24"/>
      <c r="N382" s="27" t="str">
        <f aca="false">IF(B382="","",IFERROR(1000-SUMPRODUCT(MAX(ISNUMBER(SEARCH(Rules!$A$5:$A$204,B382))*(Rules!$A$5:$A$204&lt;&gt;"")*(1000-ROW(Rules!$A$5:$A$204)))),""))</f>
        <v/>
      </c>
    </row>
    <row r="383" customFormat="false" ht="15" hidden="false" customHeight="false" outlineLevel="0" collapsed="false">
      <c r="A383" s="23"/>
      <c r="B383" s="24"/>
      <c r="C383" s="25"/>
      <c r="D383" s="24"/>
      <c r="E383" s="21" t="str">
        <f aca="false">IF(OR(B383="",N(N383)=0,N383=1000),IF(B383="","","Check"),INDEX(Rules!$B:$B,N383))</f>
        <v/>
      </c>
      <c r="F383" s="21" t="str">
        <f aca="false">IF(OR(B383="",N(N383)=0,N383=1000),"",INDEX(Rules!$C:$C,N383))</f>
        <v/>
      </c>
      <c r="G383" s="24"/>
      <c r="H383" s="24"/>
      <c r="I383" s="20" t="str">
        <f aca="false">IF(B383="","",IF(G383&lt;&gt;"",G383,E383))</f>
        <v/>
      </c>
      <c r="J383" s="21" t="str">
        <f aca="false">IF(B383="","",IF(H383&lt;&gt;"",H383,F383))</f>
        <v/>
      </c>
      <c r="K383" s="26" t="str">
        <f aca="false">IF(A383="","",DATE(YEAR(A383),MONTH(A383),1))</f>
        <v/>
      </c>
      <c r="L383" s="21" t="str">
        <f aca="false">IF(J383="",IF(B383="","",IF(N(C383)&gt;=0,"Income","Expense")),IFERROR(INDEX(Lists!$B$2:$B$30,MATCH(J383,Lists!$A$2:$A$30,0)),""))</f>
        <v/>
      </c>
      <c r="M383" s="24"/>
      <c r="N383" s="27" t="str">
        <f aca="false">IF(B383="","",IFERROR(1000-SUMPRODUCT(MAX(ISNUMBER(SEARCH(Rules!$A$5:$A$204,B383))*(Rules!$A$5:$A$204&lt;&gt;"")*(1000-ROW(Rules!$A$5:$A$204)))),""))</f>
        <v/>
      </c>
    </row>
    <row r="384" customFormat="false" ht="15" hidden="false" customHeight="false" outlineLevel="0" collapsed="false">
      <c r="A384" s="23"/>
      <c r="B384" s="24"/>
      <c r="C384" s="25"/>
      <c r="D384" s="24"/>
      <c r="E384" s="21" t="str">
        <f aca="false">IF(OR(B384="",N(N384)=0,N384=1000),IF(B384="","","Check"),INDEX(Rules!$B:$B,N384))</f>
        <v/>
      </c>
      <c r="F384" s="21" t="str">
        <f aca="false">IF(OR(B384="",N(N384)=0,N384=1000),"",INDEX(Rules!$C:$C,N384))</f>
        <v/>
      </c>
      <c r="G384" s="24"/>
      <c r="H384" s="24"/>
      <c r="I384" s="20" t="str">
        <f aca="false">IF(B384="","",IF(G384&lt;&gt;"",G384,E384))</f>
        <v/>
      </c>
      <c r="J384" s="21" t="str">
        <f aca="false">IF(B384="","",IF(H384&lt;&gt;"",H384,F384))</f>
        <v/>
      </c>
      <c r="K384" s="26" t="str">
        <f aca="false">IF(A384="","",DATE(YEAR(A384),MONTH(A384),1))</f>
        <v/>
      </c>
      <c r="L384" s="21" t="str">
        <f aca="false">IF(J384="",IF(B384="","",IF(N(C384)&gt;=0,"Income","Expense")),IFERROR(INDEX(Lists!$B$2:$B$30,MATCH(J384,Lists!$A$2:$A$30,0)),""))</f>
        <v/>
      </c>
      <c r="M384" s="24"/>
      <c r="N384" s="27" t="str">
        <f aca="false">IF(B384="","",IFERROR(1000-SUMPRODUCT(MAX(ISNUMBER(SEARCH(Rules!$A$5:$A$204,B384))*(Rules!$A$5:$A$204&lt;&gt;"")*(1000-ROW(Rules!$A$5:$A$204)))),""))</f>
        <v/>
      </c>
    </row>
    <row r="385" customFormat="false" ht="15" hidden="false" customHeight="false" outlineLevel="0" collapsed="false">
      <c r="A385" s="23"/>
      <c r="B385" s="24"/>
      <c r="C385" s="25"/>
      <c r="D385" s="24"/>
      <c r="E385" s="21" t="str">
        <f aca="false">IF(OR(B385="",N(N385)=0,N385=1000),IF(B385="","","Check"),INDEX(Rules!$B:$B,N385))</f>
        <v/>
      </c>
      <c r="F385" s="21" t="str">
        <f aca="false">IF(OR(B385="",N(N385)=0,N385=1000),"",INDEX(Rules!$C:$C,N385))</f>
        <v/>
      </c>
      <c r="G385" s="24"/>
      <c r="H385" s="24"/>
      <c r="I385" s="20" t="str">
        <f aca="false">IF(B385="","",IF(G385&lt;&gt;"",G385,E385))</f>
        <v/>
      </c>
      <c r="J385" s="21" t="str">
        <f aca="false">IF(B385="","",IF(H385&lt;&gt;"",H385,F385))</f>
        <v/>
      </c>
      <c r="K385" s="26" t="str">
        <f aca="false">IF(A385="","",DATE(YEAR(A385),MONTH(A385),1))</f>
        <v/>
      </c>
      <c r="L385" s="21" t="str">
        <f aca="false">IF(J385="",IF(B385="","",IF(N(C385)&gt;=0,"Income","Expense")),IFERROR(INDEX(Lists!$B$2:$B$30,MATCH(J385,Lists!$A$2:$A$30,0)),""))</f>
        <v/>
      </c>
      <c r="M385" s="24"/>
      <c r="N385" s="27" t="str">
        <f aca="false">IF(B385="","",IFERROR(1000-SUMPRODUCT(MAX(ISNUMBER(SEARCH(Rules!$A$5:$A$204,B385))*(Rules!$A$5:$A$204&lt;&gt;"")*(1000-ROW(Rules!$A$5:$A$204)))),""))</f>
        <v/>
      </c>
    </row>
    <row r="386" customFormat="false" ht="15" hidden="false" customHeight="false" outlineLevel="0" collapsed="false">
      <c r="A386" s="23"/>
      <c r="B386" s="24"/>
      <c r="C386" s="25"/>
      <c r="D386" s="24"/>
      <c r="E386" s="21" t="str">
        <f aca="false">IF(OR(B386="",N(N386)=0,N386=1000),IF(B386="","","Check"),INDEX(Rules!$B:$B,N386))</f>
        <v/>
      </c>
      <c r="F386" s="21" t="str">
        <f aca="false">IF(OR(B386="",N(N386)=0,N386=1000),"",INDEX(Rules!$C:$C,N386))</f>
        <v/>
      </c>
      <c r="G386" s="24"/>
      <c r="H386" s="24"/>
      <c r="I386" s="20" t="str">
        <f aca="false">IF(B386="","",IF(G386&lt;&gt;"",G386,E386))</f>
        <v/>
      </c>
      <c r="J386" s="21" t="str">
        <f aca="false">IF(B386="","",IF(H386&lt;&gt;"",H386,F386))</f>
        <v/>
      </c>
      <c r="K386" s="26" t="str">
        <f aca="false">IF(A386="","",DATE(YEAR(A386),MONTH(A386),1))</f>
        <v/>
      </c>
      <c r="L386" s="21" t="str">
        <f aca="false">IF(J386="",IF(B386="","",IF(N(C386)&gt;=0,"Income","Expense")),IFERROR(INDEX(Lists!$B$2:$B$30,MATCH(J386,Lists!$A$2:$A$30,0)),""))</f>
        <v/>
      </c>
      <c r="M386" s="24"/>
      <c r="N386" s="27" t="str">
        <f aca="false">IF(B386="","",IFERROR(1000-SUMPRODUCT(MAX(ISNUMBER(SEARCH(Rules!$A$5:$A$204,B386))*(Rules!$A$5:$A$204&lt;&gt;"")*(1000-ROW(Rules!$A$5:$A$204)))),""))</f>
        <v/>
      </c>
    </row>
    <row r="387" customFormat="false" ht="15" hidden="false" customHeight="false" outlineLevel="0" collapsed="false">
      <c r="A387" s="23"/>
      <c r="B387" s="24"/>
      <c r="C387" s="25"/>
      <c r="D387" s="24"/>
      <c r="E387" s="21" t="str">
        <f aca="false">IF(OR(B387="",N(N387)=0,N387=1000),IF(B387="","","Check"),INDEX(Rules!$B:$B,N387))</f>
        <v/>
      </c>
      <c r="F387" s="21" t="str">
        <f aca="false">IF(OR(B387="",N(N387)=0,N387=1000),"",INDEX(Rules!$C:$C,N387))</f>
        <v/>
      </c>
      <c r="G387" s="24"/>
      <c r="H387" s="24"/>
      <c r="I387" s="20" t="str">
        <f aca="false">IF(B387="","",IF(G387&lt;&gt;"",G387,E387))</f>
        <v/>
      </c>
      <c r="J387" s="21" t="str">
        <f aca="false">IF(B387="","",IF(H387&lt;&gt;"",H387,F387))</f>
        <v/>
      </c>
      <c r="K387" s="26" t="str">
        <f aca="false">IF(A387="","",DATE(YEAR(A387),MONTH(A387),1))</f>
        <v/>
      </c>
      <c r="L387" s="21" t="str">
        <f aca="false">IF(J387="",IF(B387="","",IF(N(C387)&gt;=0,"Income","Expense")),IFERROR(INDEX(Lists!$B$2:$B$30,MATCH(J387,Lists!$A$2:$A$30,0)),""))</f>
        <v/>
      </c>
      <c r="M387" s="24"/>
      <c r="N387" s="27" t="str">
        <f aca="false">IF(B387="","",IFERROR(1000-SUMPRODUCT(MAX(ISNUMBER(SEARCH(Rules!$A$5:$A$204,B387))*(Rules!$A$5:$A$204&lt;&gt;"")*(1000-ROW(Rules!$A$5:$A$204)))),""))</f>
        <v/>
      </c>
    </row>
    <row r="388" customFormat="false" ht="15" hidden="false" customHeight="false" outlineLevel="0" collapsed="false">
      <c r="A388" s="23"/>
      <c r="B388" s="24"/>
      <c r="C388" s="25"/>
      <c r="D388" s="24"/>
      <c r="E388" s="21" t="str">
        <f aca="false">IF(OR(B388="",N(N388)=0,N388=1000),IF(B388="","","Check"),INDEX(Rules!$B:$B,N388))</f>
        <v/>
      </c>
      <c r="F388" s="21" t="str">
        <f aca="false">IF(OR(B388="",N(N388)=0,N388=1000),"",INDEX(Rules!$C:$C,N388))</f>
        <v/>
      </c>
      <c r="G388" s="24"/>
      <c r="H388" s="24"/>
      <c r="I388" s="20" t="str">
        <f aca="false">IF(B388="","",IF(G388&lt;&gt;"",G388,E388))</f>
        <v/>
      </c>
      <c r="J388" s="21" t="str">
        <f aca="false">IF(B388="","",IF(H388&lt;&gt;"",H388,F388))</f>
        <v/>
      </c>
      <c r="K388" s="26" t="str">
        <f aca="false">IF(A388="","",DATE(YEAR(A388),MONTH(A388),1))</f>
        <v/>
      </c>
      <c r="L388" s="21" t="str">
        <f aca="false">IF(J388="",IF(B388="","",IF(N(C388)&gt;=0,"Income","Expense")),IFERROR(INDEX(Lists!$B$2:$B$30,MATCH(J388,Lists!$A$2:$A$30,0)),""))</f>
        <v/>
      </c>
      <c r="M388" s="24"/>
      <c r="N388" s="27" t="str">
        <f aca="false">IF(B388="","",IFERROR(1000-SUMPRODUCT(MAX(ISNUMBER(SEARCH(Rules!$A$5:$A$204,B388))*(Rules!$A$5:$A$204&lt;&gt;"")*(1000-ROW(Rules!$A$5:$A$204)))),""))</f>
        <v/>
      </c>
    </row>
    <row r="389" customFormat="false" ht="15" hidden="false" customHeight="false" outlineLevel="0" collapsed="false">
      <c r="A389" s="23"/>
      <c r="B389" s="24"/>
      <c r="C389" s="25"/>
      <c r="D389" s="24"/>
      <c r="E389" s="21" t="str">
        <f aca="false">IF(OR(B389="",N(N389)=0,N389=1000),IF(B389="","","Check"),INDEX(Rules!$B:$B,N389))</f>
        <v/>
      </c>
      <c r="F389" s="21" t="str">
        <f aca="false">IF(OR(B389="",N(N389)=0,N389=1000),"",INDEX(Rules!$C:$C,N389))</f>
        <v/>
      </c>
      <c r="G389" s="24"/>
      <c r="H389" s="24"/>
      <c r="I389" s="20" t="str">
        <f aca="false">IF(B389="","",IF(G389&lt;&gt;"",G389,E389))</f>
        <v/>
      </c>
      <c r="J389" s="21" t="str">
        <f aca="false">IF(B389="","",IF(H389&lt;&gt;"",H389,F389))</f>
        <v/>
      </c>
      <c r="K389" s="26" t="str">
        <f aca="false">IF(A389="","",DATE(YEAR(A389),MONTH(A389),1))</f>
        <v/>
      </c>
      <c r="L389" s="21" t="str">
        <f aca="false">IF(J389="",IF(B389="","",IF(N(C389)&gt;=0,"Income","Expense")),IFERROR(INDEX(Lists!$B$2:$B$30,MATCH(J389,Lists!$A$2:$A$30,0)),""))</f>
        <v/>
      </c>
      <c r="M389" s="24"/>
      <c r="N389" s="27" t="str">
        <f aca="false">IF(B389="","",IFERROR(1000-SUMPRODUCT(MAX(ISNUMBER(SEARCH(Rules!$A$5:$A$204,B389))*(Rules!$A$5:$A$204&lt;&gt;"")*(1000-ROW(Rules!$A$5:$A$204)))),""))</f>
        <v/>
      </c>
    </row>
    <row r="390" customFormat="false" ht="15" hidden="false" customHeight="false" outlineLevel="0" collapsed="false">
      <c r="A390" s="23"/>
      <c r="B390" s="24"/>
      <c r="C390" s="25"/>
      <c r="D390" s="24"/>
      <c r="E390" s="21" t="str">
        <f aca="false">IF(OR(B390="",N(N390)=0,N390=1000),IF(B390="","","Check"),INDEX(Rules!$B:$B,N390))</f>
        <v/>
      </c>
      <c r="F390" s="21" t="str">
        <f aca="false">IF(OR(B390="",N(N390)=0,N390=1000),"",INDEX(Rules!$C:$C,N390))</f>
        <v/>
      </c>
      <c r="G390" s="24"/>
      <c r="H390" s="24"/>
      <c r="I390" s="20" t="str">
        <f aca="false">IF(B390="","",IF(G390&lt;&gt;"",G390,E390))</f>
        <v/>
      </c>
      <c r="J390" s="21" t="str">
        <f aca="false">IF(B390="","",IF(H390&lt;&gt;"",H390,F390))</f>
        <v/>
      </c>
      <c r="K390" s="26" t="str">
        <f aca="false">IF(A390="","",DATE(YEAR(A390),MONTH(A390),1))</f>
        <v/>
      </c>
      <c r="L390" s="21" t="str">
        <f aca="false">IF(J390="",IF(B390="","",IF(N(C390)&gt;=0,"Income","Expense")),IFERROR(INDEX(Lists!$B$2:$B$30,MATCH(J390,Lists!$A$2:$A$30,0)),""))</f>
        <v/>
      </c>
      <c r="M390" s="24"/>
      <c r="N390" s="27" t="str">
        <f aca="false">IF(B390="","",IFERROR(1000-SUMPRODUCT(MAX(ISNUMBER(SEARCH(Rules!$A$5:$A$204,B390))*(Rules!$A$5:$A$204&lt;&gt;"")*(1000-ROW(Rules!$A$5:$A$204)))),""))</f>
        <v/>
      </c>
    </row>
    <row r="391" customFormat="false" ht="15" hidden="false" customHeight="false" outlineLevel="0" collapsed="false">
      <c r="A391" s="23"/>
      <c r="B391" s="24"/>
      <c r="C391" s="25"/>
      <c r="D391" s="24"/>
      <c r="E391" s="21" t="str">
        <f aca="false">IF(OR(B391="",N(N391)=0,N391=1000),IF(B391="","","Check"),INDEX(Rules!$B:$B,N391))</f>
        <v/>
      </c>
      <c r="F391" s="21" t="str">
        <f aca="false">IF(OR(B391="",N(N391)=0,N391=1000),"",INDEX(Rules!$C:$C,N391))</f>
        <v/>
      </c>
      <c r="G391" s="24"/>
      <c r="H391" s="24"/>
      <c r="I391" s="20" t="str">
        <f aca="false">IF(B391="","",IF(G391&lt;&gt;"",G391,E391))</f>
        <v/>
      </c>
      <c r="J391" s="21" t="str">
        <f aca="false">IF(B391="","",IF(H391&lt;&gt;"",H391,F391))</f>
        <v/>
      </c>
      <c r="K391" s="26" t="str">
        <f aca="false">IF(A391="","",DATE(YEAR(A391),MONTH(A391),1))</f>
        <v/>
      </c>
      <c r="L391" s="21" t="str">
        <f aca="false">IF(J391="",IF(B391="","",IF(N(C391)&gt;=0,"Income","Expense")),IFERROR(INDEX(Lists!$B$2:$B$30,MATCH(J391,Lists!$A$2:$A$30,0)),""))</f>
        <v/>
      </c>
      <c r="M391" s="24"/>
      <c r="N391" s="27" t="str">
        <f aca="false">IF(B391="","",IFERROR(1000-SUMPRODUCT(MAX(ISNUMBER(SEARCH(Rules!$A$5:$A$204,B391))*(Rules!$A$5:$A$204&lt;&gt;"")*(1000-ROW(Rules!$A$5:$A$204)))),""))</f>
        <v/>
      </c>
    </row>
    <row r="392" customFormat="false" ht="15" hidden="false" customHeight="false" outlineLevel="0" collapsed="false">
      <c r="A392" s="23"/>
      <c r="B392" s="24"/>
      <c r="C392" s="25"/>
      <c r="D392" s="24"/>
      <c r="E392" s="21" t="str">
        <f aca="false">IF(OR(B392="",N(N392)=0,N392=1000),IF(B392="","","Check"),INDEX(Rules!$B:$B,N392))</f>
        <v/>
      </c>
      <c r="F392" s="21" t="str">
        <f aca="false">IF(OR(B392="",N(N392)=0,N392=1000),"",INDEX(Rules!$C:$C,N392))</f>
        <v/>
      </c>
      <c r="G392" s="24"/>
      <c r="H392" s="24"/>
      <c r="I392" s="20" t="str">
        <f aca="false">IF(B392="","",IF(G392&lt;&gt;"",G392,E392))</f>
        <v/>
      </c>
      <c r="J392" s="21" t="str">
        <f aca="false">IF(B392="","",IF(H392&lt;&gt;"",H392,F392))</f>
        <v/>
      </c>
      <c r="K392" s="26" t="str">
        <f aca="false">IF(A392="","",DATE(YEAR(A392),MONTH(A392),1))</f>
        <v/>
      </c>
      <c r="L392" s="21" t="str">
        <f aca="false">IF(J392="",IF(B392="","",IF(N(C392)&gt;=0,"Income","Expense")),IFERROR(INDEX(Lists!$B$2:$B$30,MATCH(J392,Lists!$A$2:$A$30,0)),""))</f>
        <v/>
      </c>
      <c r="M392" s="24"/>
      <c r="N392" s="27" t="str">
        <f aca="false">IF(B392="","",IFERROR(1000-SUMPRODUCT(MAX(ISNUMBER(SEARCH(Rules!$A$5:$A$204,B392))*(Rules!$A$5:$A$204&lt;&gt;"")*(1000-ROW(Rules!$A$5:$A$204)))),""))</f>
        <v/>
      </c>
    </row>
    <row r="393" customFormat="false" ht="15" hidden="false" customHeight="false" outlineLevel="0" collapsed="false">
      <c r="A393" s="23"/>
      <c r="B393" s="24"/>
      <c r="C393" s="25"/>
      <c r="D393" s="24"/>
      <c r="E393" s="21" t="str">
        <f aca="false">IF(OR(B393="",N(N393)=0,N393=1000),IF(B393="","","Check"),INDEX(Rules!$B:$B,N393))</f>
        <v/>
      </c>
      <c r="F393" s="21" t="str">
        <f aca="false">IF(OR(B393="",N(N393)=0,N393=1000),"",INDEX(Rules!$C:$C,N393))</f>
        <v/>
      </c>
      <c r="G393" s="24"/>
      <c r="H393" s="24"/>
      <c r="I393" s="20" t="str">
        <f aca="false">IF(B393="","",IF(G393&lt;&gt;"",G393,E393))</f>
        <v/>
      </c>
      <c r="J393" s="21" t="str">
        <f aca="false">IF(B393="","",IF(H393&lt;&gt;"",H393,F393))</f>
        <v/>
      </c>
      <c r="K393" s="26" t="str">
        <f aca="false">IF(A393="","",DATE(YEAR(A393),MONTH(A393),1))</f>
        <v/>
      </c>
      <c r="L393" s="21" t="str">
        <f aca="false">IF(J393="",IF(B393="","",IF(N(C393)&gt;=0,"Income","Expense")),IFERROR(INDEX(Lists!$B$2:$B$30,MATCH(J393,Lists!$A$2:$A$30,0)),""))</f>
        <v/>
      </c>
      <c r="M393" s="24"/>
      <c r="N393" s="27" t="str">
        <f aca="false">IF(B393="","",IFERROR(1000-SUMPRODUCT(MAX(ISNUMBER(SEARCH(Rules!$A$5:$A$204,B393))*(Rules!$A$5:$A$204&lt;&gt;"")*(1000-ROW(Rules!$A$5:$A$204)))),""))</f>
        <v/>
      </c>
    </row>
    <row r="394" customFormat="false" ht="15" hidden="false" customHeight="false" outlineLevel="0" collapsed="false">
      <c r="A394" s="23"/>
      <c r="B394" s="24"/>
      <c r="C394" s="25"/>
      <c r="D394" s="24"/>
      <c r="E394" s="21" t="str">
        <f aca="false">IF(OR(B394="",N(N394)=0,N394=1000),IF(B394="","","Check"),INDEX(Rules!$B:$B,N394))</f>
        <v/>
      </c>
      <c r="F394" s="21" t="str">
        <f aca="false">IF(OR(B394="",N(N394)=0,N394=1000),"",INDEX(Rules!$C:$C,N394))</f>
        <v/>
      </c>
      <c r="G394" s="24"/>
      <c r="H394" s="24"/>
      <c r="I394" s="20" t="str">
        <f aca="false">IF(B394="","",IF(G394&lt;&gt;"",G394,E394))</f>
        <v/>
      </c>
      <c r="J394" s="21" t="str">
        <f aca="false">IF(B394="","",IF(H394&lt;&gt;"",H394,F394))</f>
        <v/>
      </c>
      <c r="K394" s="26" t="str">
        <f aca="false">IF(A394="","",DATE(YEAR(A394),MONTH(A394),1))</f>
        <v/>
      </c>
      <c r="L394" s="21" t="str">
        <f aca="false">IF(J394="",IF(B394="","",IF(N(C394)&gt;=0,"Income","Expense")),IFERROR(INDEX(Lists!$B$2:$B$30,MATCH(J394,Lists!$A$2:$A$30,0)),""))</f>
        <v/>
      </c>
      <c r="M394" s="24"/>
      <c r="N394" s="27" t="str">
        <f aca="false">IF(B394="","",IFERROR(1000-SUMPRODUCT(MAX(ISNUMBER(SEARCH(Rules!$A$5:$A$204,B394))*(Rules!$A$5:$A$204&lt;&gt;"")*(1000-ROW(Rules!$A$5:$A$204)))),""))</f>
        <v/>
      </c>
    </row>
    <row r="395" customFormat="false" ht="15" hidden="false" customHeight="false" outlineLevel="0" collapsed="false">
      <c r="A395" s="23"/>
      <c r="B395" s="24"/>
      <c r="C395" s="25"/>
      <c r="D395" s="24"/>
      <c r="E395" s="21" t="str">
        <f aca="false">IF(OR(B395="",N(N395)=0,N395=1000),IF(B395="","","Check"),INDEX(Rules!$B:$B,N395))</f>
        <v/>
      </c>
      <c r="F395" s="21" t="str">
        <f aca="false">IF(OR(B395="",N(N395)=0,N395=1000),"",INDEX(Rules!$C:$C,N395))</f>
        <v/>
      </c>
      <c r="G395" s="24"/>
      <c r="H395" s="24"/>
      <c r="I395" s="20" t="str">
        <f aca="false">IF(B395="","",IF(G395&lt;&gt;"",G395,E395))</f>
        <v/>
      </c>
      <c r="J395" s="21" t="str">
        <f aca="false">IF(B395="","",IF(H395&lt;&gt;"",H395,F395))</f>
        <v/>
      </c>
      <c r="K395" s="26" t="str">
        <f aca="false">IF(A395="","",DATE(YEAR(A395),MONTH(A395),1))</f>
        <v/>
      </c>
      <c r="L395" s="21" t="str">
        <f aca="false">IF(J395="",IF(B395="","",IF(N(C395)&gt;=0,"Income","Expense")),IFERROR(INDEX(Lists!$B$2:$B$30,MATCH(J395,Lists!$A$2:$A$30,0)),""))</f>
        <v/>
      </c>
      <c r="M395" s="24"/>
      <c r="N395" s="27" t="str">
        <f aca="false">IF(B395="","",IFERROR(1000-SUMPRODUCT(MAX(ISNUMBER(SEARCH(Rules!$A$5:$A$204,B395))*(Rules!$A$5:$A$204&lt;&gt;"")*(1000-ROW(Rules!$A$5:$A$204)))),""))</f>
        <v/>
      </c>
    </row>
    <row r="396" customFormat="false" ht="15" hidden="false" customHeight="false" outlineLevel="0" collapsed="false">
      <c r="A396" s="23"/>
      <c r="B396" s="24"/>
      <c r="C396" s="25"/>
      <c r="D396" s="24"/>
      <c r="E396" s="21" t="str">
        <f aca="false">IF(OR(B396="",N(N396)=0,N396=1000),IF(B396="","","Check"),INDEX(Rules!$B:$B,N396))</f>
        <v/>
      </c>
      <c r="F396" s="21" t="str">
        <f aca="false">IF(OR(B396="",N(N396)=0,N396=1000),"",INDEX(Rules!$C:$C,N396))</f>
        <v/>
      </c>
      <c r="G396" s="24"/>
      <c r="H396" s="24"/>
      <c r="I396" s="20" t="str">
        <f aca="false">IF(B396="","",IF(G396&lt;&gt;"",G396,E396))</f>
        <v/>
      </c>
      <c r="J396" s="21" t="str">
        <f aca="false">IF(B396="","",IF(H396&lt;&gt;"",H396,F396))</f>
        <v/>
      </c>
      <c r="K396" s="26" t="str">
        <f aca="false">IF(A396="","",DATE(YEAR(A396),MONTH(A396),1))</f>
        <v/>
      </c>
      <c r="L396" s="21" t="str">
        <f aca="false">IF(J396="",IF(B396="","",IF(N(C396)&gt;=0,"Income","Expense")),IFERROR(INDEX(Lists!$B$2:$B$30,MATCH(J396,Lists!$A$2:$A$30,0)),""))</f>
        <v/>
      </c>
      <c r="M396" s="24"/>
      <c r="N396" s="27" t="str">
        <f aca="false">IF(B396="","",IFERROR(1000-SUMPRODUCT(MAX(ISNUMBER(SEARCH(Rules!$A$5:$A$204,B396))*(Rules!$A$5:$A$204&lt;&gt;"")*(1000-ROW(Rules!$A$5:$A$204)))),""))</f>
        <v/>
      </c>
    </row>
    <row r="397" customFormat="false" ht="15" hidden="false" customHeight="false" outlineLevel="0" collapsed="false">
      <c r="A397" s="23"/>
      <c r="B397" s="24"/>
      <c r="C397" s="25"/>
      <c r="D397" s="24"/>
      <c r="E397" s="21" t="str">
        <f aca="false">IF(OR(B397="",N(N397)=0,N397=1000),IF(B397="","","Check"),INDEX(Rules!$B:$B,N397))</f>
        <v/>
      </c>
      <c r="F397" s="21" t="str">
        <f aca="false">IF(OR(B397="",N(N397)=0,N397=1000),"",INDEX(Rules!$C:$C,N397))</f>
        <v/>
      </c>
      <c r="G397" s="24"/>
      <c r="H397" s="24"/>
      <c r="I397" s="20" t="str">
        <f aca="false">IF(B397="","",IF(G397&lt;&gt;"",G397,E397))</f>
        <v/>
      </c>
      <c r="J397" s="21" t="str">
        <f aca="false">IF(B397="","",IF(H397&lt;&gt;"",H397,F397))</f>
        <v/>
      </c>
      <c r="K397" s="26" t="str">
        <f aca="false">IF(A397="","",DATE(YEAR(A397),MONTH(A397),1))</f>
        <v/>
      </c>
      <c r="L397" s="21" t="str">
        <f aca="false">IF(J397="",IF(B397="","",IF(N(C397)&gt;=0,"Income","Expense")),IFERROR(INDEX(Lists!$B$2:$B$30,MATCH(J397,Lists!$A$2:$A$30,0)),""))</f>
        <v/>
      </c>
      <c r="M397" s="24"/>
      <c r="N397" s="27" t="str">
        <f aca="false">IF(B397="","",IFERROR(1000-SUMPRODUCT(MAX(ISNUMBER(SEARCH(Rules!$A$5:$A$204,B397))*(Rules!$A$5:$A$204&lt;&gt;"")*(1000-ROW(Rules!$A$5:$A$204)))),""))</f>
        <v/>
      </c>
    </row>
    <row r="398" customFormat="false" ht="15" hidden="false" customHeight="false" outlineLevel="0" collapsed="false">
      <c r="A398" s="23"/>
      <c r="B398" s="24"/>
      <c r="C398" s="25"/>
      <c r="D398" s="24"/>
      <c r="E398" s="21" t="str">
        <f aca="false">IF(OR(B398="",N(N398)=0,N398=1000),IF(B398="","","Check"),INDEX(Rules!$B:$B,N398))</f>
        <v/>
      </c>
      <c r="F398" s="21" t="str">
        <f aca="false">IF(OR(B398="",N(N398)=0,N398=1000),"",INDEX(Rules!$C:$C,N398))</f>
        <v/>
      </c>
      <c r="G398" s="24"/>
      <c r="H398" s="24"/>
      <c r="I398" s="20" t="str">
        <f aca="false">IF(B398="","",IF(G398&lt;&gt;"",G398,E398))</f>
        <v/>
      </c>
      <c r="J398" s="21" t="str">
        <f aca="false">IF(B398="","",IF(H398&lt;&gt;"",H398,F398))</f>
        <v/>
      </c>
      <c r="K398" s="26" t="str">
        <f aca="false">IF(A398="","",DATE(YEAR(A398),MONTH(A398),1))</f>
        <v/>
      </c>
      <c r="L398" s="21" t="str">
        <f aca="false">IF(J398="",IF(B398="","",IF(N(C398)&gt;=0,"Income","Expense")),IFERROR(INDEX(Lists!$B$2:$B$30,MATCH(J398,Lists!$A$2:$A$30,0)),""))</f>
        <v/>
      </c>
      <c r="M398" s="24"/>
      <c r="N398" s="27" t="str">
        <f aca="false">IF(B398="","",IFERROR(1000-SUMPRODUCT(MAX(ISNUMBER(SEARCH(Rules!$A$5:$A$204,B398))*(Rules!$A$5:$A$204&lt;&gt;"")*(1000-ROW(Rules!$A$5:$A$204)))),""))</f>
        <v/>
      </c>
    </row>
    <row r="399" customFormat="false" ht="15" hidden="false" customHeight="false" outlineLevel="0" collapsed="false">
      <c r="A399" s="23"/>
      <c r="B399" s="24"/>
      <c r="C399" s="25"/>
      <c r="D399" s="24"/>
      <c r="E399" s="21" t="str">
        <f aca="false">IF(OR(B399="",N(N399)=0,N399=1000),IF(B399="","","Check"),INDEX(Rules!$B:$B,N399))</f>
        <v/>
      </c>
      <c r="F399" s="21" t="str">
        <f aca="false">IF(OR(B399="",N(N399)=0,N399=1000),"",INDEX(Rules!$C:$C,N399))</f>
        <v/>
      </c>
      <c r="G399" s="24"/>
      <c r="H399" s="24"/>
      <c r="I399" s="20" t="str">
        <f aca="false">IF(B399="","",IF(G399&lt;&gt;"",G399,E399))</f>
        <v/>
      </c>
      <c r="J399" s="21" t="str">
        <f aca="false">IF(B399="","",IF(H399&lt;&gt;"",H399,F399))</f>
        <v/>
      </c>
      <c r="K399" s="26" t="str">
        <f aca="false">IF(A399="","",DATE(YEAR(A399),MONTH(A399),1))</f>
        <v/>
      </c>
      <c r="L399" s="21" t="str">
        <f aca="false">IF(J399="",IF(B399="","",IF(N(C399)&gt;=0,"Income","Expense")),IFERROR(INDEX(Lists!$B$2:$B$30,MATCH(J399,Lists!$A$2:$A$30,0)),""))</f>
        <v/>
      </c>
      <c r="M399" s="24"/>
      <c r="N399" s="27" t="str">
        <f aca="false">IF(B399="","",IFERROR(1000-SUMPRODUCT(MAX(ISNUMBER(SEARCH(Rules!$A$5:$A$204,B399))*(Rules!$A$5:$A$204&lt;&gt;"")*(1000-ROW(Rules!$A$5:$A$204)))),""))</f>
        <v/>
      </c>
    </row>
    <row r="400" customFormat="false" ht="15" hidden="false" customHeight="false" outlineLevel="0" collapsed="false">
      <c r="A400" s="23"/>
      <c r="B400" s="24"/>
      <c r="C400" s="25"/>
      <c r="D400" s="24"/>
      <c r="E400" s="21" t="str">
        <f aca="false">IF(OR(B400="",N(N400)=0,N400=1000),IF(B400="","","Check"),INDEX(Rules!$B:$B,N400))</f>
        <v/>
      </c>
      <c r="F400" s="21" t="str">
        <f aca="false">IF(OR(B400="",N(N400)=0,N400=1000),"",INDEX(Rules!$C:$C,N400))</f>
        <v/>
      </c>
      <c r="G400" s="24"/>
      <c r="H400" s="24"/>
      <c r="I400" s="20" t="str">
        <f aca="false">IF(B400="","",IF(G400&lt;&gt;"",G400,E400))</f>
        <v/>
      </c>
      <c r="J400" s="21" t="str">
        <f aca="false">IF(B400="","",IF(H400&lt;&gt;"",H400,F400))</f>
        <v/>
      </c>
      <c r="K400" s="26" t="str">
        <f aca="false">IF(A400="","",DATE(YEAR(A400),MONTH(A400),1))</f>
        <v/>
      </c>
      <c r="L400" s="21" t="str">
        <f aca="false">IF(J400="",IF(B400="","",IF(N(C400)&gt;=0,"Income","Expense")),IFERROR(INDEX(Lists!$B$2:$B$30,MATCH(J400,Lists!$A$2:$A$30,0)),""))</f>
        <v/>
      </c>
      <c r="M400" s="24"/>
      <c r="N400" s="27" t="str">
        <f aca="false">IF(B400="","",IFERROR(1000-SUMPRODUCT(MAX(ISNUMBER(SEARCH(Rules!$A$5:$A$204,B400))*(Rules!$A$5:$A$204&lt;&gt;"")*(1000-ROW(Rules!$A$5:$A$204)))),""))</f>
        <v/>
      </c>
    </row>
    <row r="401" customFormat="false" ht="15" hidden="false" customHeight="false" outlineLevel="0" collapsed="false">
      <c r="A401" s="23"/>
      <c r="B401" s="24"/>
      <c r="C401" s="25"/>
      <c r="D401" s="24"/>
      <c r="E401" s="21" t="str">
        <f aca="false">IF(OR(B401="",N(N401)=0,N401=1000),IF(B401="","","Check"),INDEX(Rules!$B:$B,N401))</f>
        <v/>
      </c>
      <c r="F401" s="21" t="str">
        <f aca="false">IF(OR(B401="",N(N401)=0,N401=1000),"",INDEX(Rules!$C:$C,N401))</f>
        <v/>
      </c>
      <c r="G401" s="24"/>
      <c r="H401" s="24"/>
      <c r="I401" s="20" t="str">
        <f aca="false">IF(B401="","",IF(G401&lt;&gt;"",G401,E401))</f>
        <v/>
      </c>
      <c r="J401" s="21" t="str">
        <f aca="false">IF(B401="","",IF(H401&lt;&gt;"",H401,F401))</f>
        <v/>
      </c>
      <c r="K401" s="26" t="str">
        <f aca="false">IF(A401="","",DATE(YEAR(A401),MONTH(A401),1))</f>
        <v/>
      </c>
      <c r="L401" s="21" t="str">
        <f aca="false">IF(J401="",IF(B401="","",IF(N(C401)&gt;=0,"Income","Expense")),IFERROR(INDEX(Lists!$B$2:$B$30,MATCH(J401,Lists!$A$2:$A$30,0)),""))</f>
        <v/>
      </c>
      <c r="M401" s="24"/>
      <c r="N401" s="27" t="str">
        <f aca="false">IF(B401="","",IFERROR(1000-SUMPRODUCT(MAX(ISNUMBER(SEARCH(Rules!$A$5:$A$204,B401))*(Rules!$A$5:$A$204&lt;&gt;"")*(1000-ROW(Rules!$A$5:$A$204)))),""))</f>
        <v/>
      </c>
    </row>
    <row r="402" customFormat="false" ht="15" hidden="false" customHeight="false" outlineLevel="0" collapsed="false">
      <c r="A402" s="23"/>
      <c r="B402" s="24"/>
      <c r="C402" s="25"/>
      <c r="D402" s="24"/>
      <c r="E402" s="21" t="str">
        <f aca="false">IF(OR(B402="",N(N402)=0,N402=1000),IF(B402="","","Check"),INDEX(Rules!$B:$B,N402))</f>
        <v/>
      </c>
      <c r="F402" s="21" t="str">
        <f aca="false">IF(OR(B402="",N(N402)=0,N402=1000),"",INDEX(Rules!$C:$C,N402))</f>
        <v/>
      </c>
      <c r="G402" s="24"/>
      <c r="H402" s="24"/>
      <c r="I402" s="20" t="str">
        <f aca="false">IF(B402="","",IF(G402&lt;&gt;"",G402,E402))</f>
        <v/>
      </c>
      <c r="J402" s="21" t="str">
        <f aca="false">IF(B402="","",IF(H402&lt;&gt;"",H402,F402))</f>
        <v/>
      </c>
      <c r="K402" s="26" t="str">
        <f aca="false">IF(A402="","",DATE(YEAR(A402),MONTH(A402),1))</f>
        <v/>
      </c>
      <c r="L402" s="21" t="str">
        <f aca="false">IF(J402="",IF(B402="","",IF(N(C402)&gt;=0,"Income","Expense")),IFERROR(INDEX(Lists!$B$2:$B$30,MATCH(J402,Lists!$A$2:$A$30,0)),""))</f>
        <v/>
      </c>
      <c r="M402" s="24"/>
      <c r="N402" s="27" t="str">
        <f aca="false">IF(B402="","",IFERROR(1000-SUMPRODUCT(MAX(ISNUMBER(SEARCH(Rules!$A$5:$A$204,B402))*(Rules!$A$5:$A$204&lt;&gt;"")*(1000-ROW(Rules!$A$5:$A$204)))),""))</f>
        <v/>
      </c>
    </row>
    <row r="403" customFormat="false" ht="15" hidden="false" customHeight="false" outlineLevel="0" collapsed="false">
      <c r="A403" s="23"/>
      <c r="B403" s="24"/>
      <c r="C403" s="25"/>
      <c r="D403" s="24"/>
      <c r="E403" s="21" t="str">
        <f aca="false">IF(OR(B403="",N(N403)=0,N403=1000),IF(B403="","","Check"),INDEX(Rules!$B:$B,N403))</f>
        <v/>
      </c>
      <c r="F403" s="21" t="str">
        <f aca="false">IF(OR(B403="",N(N403)=0,N403=1000),"",INDEX(Rules!$C:$C,N403))</f>
        <v/>
      </c>
      <c r="G403" s="24"/>
      <c r="H403" s="24"/>
      <c r="I403" s="20" t="str">
        <f aca="false">IF(B403="","",IF(G403&lt;&gt;"",G403,E403))</f>
        <v/>
      </c>
      <c r="J403" s="21" t="str">
        <f aca="false">IF(B403="","",IF(H403&lt;&gt;"",H403,F403))</f>
        <v/>
      </c>
      <c r="K403" s="26" t="str">
        <f aca="false">IF(A403="","",DATE(YEAR(A403),MONTH(A403),1))</f>
        <v/>
      </c>
      <c r="L403" s="21" t="str">
        <f aca="false">IF(J403="",IF(B403="","",IF(N(C403)&gt;=0,"Income","Expense")),IFERROR(INDEX(Lists!$B$2:$B$30,MATCH(J403,Lists!$A$2:$A$30,0)),""))</f>
        <v/>
      </c>
      <c r="M403" s="24"/>
      <c r="N403" s="27" t="str">
        <f aca="false">IF(B403="","",IFERROR(1000-SUMPRODUCT(MAX(ISNUMBER(SEARCH(Rules!$A$5:$A$204,B403))*(Rules!$A$5:$A$204&lt;&gt;"")*(1000-ROW(Rules!$A$5:$A$204)))),""))</f>
        <v/>
      </c>
    </row>
    <row r="404" customFormat="false" ht="15" hidden="false" customHeight="false" outlineLevel="0" collapsed="false">
      <c r="A404" s="23"/>
      <c r="B404" s="24"/>
      <c r="C404" s="25"/>
      <c r="D404" s="24"/>
      <c r="E404" s="21" t="str">
        <f aca="false">IF(OR(B404="",N(N404)=0,N404=1000),IF(B404="","","Check"),INDEX(Rules!$B:$B,N404))</f>
        <v/>
      </c>
      <c r="F404" s="21" t="str">
        <f aca="false">IF(OR(B404="",N(N404)=0,N404=1000),"",INDEX(Rules!$C:$C,N404))</f>
        <v/>
      </c>
      <c r="G404" s="24"/>
      <c r="H404" s="24"/>
      <c r="I404" s="20" t="str">
        <f aca="false">IF(B404="","",IF(G404&lt;&gt;"",G404,E404))</f>
        <v/>
      </c>
      <c r="J404" s="21" t="str">
        <f aca="false">IF(B404="","",IF(H404&lt;&gt;"",H404,F404))</f>
        <v/>
      </c>
      <c r="K404" s="26" t="str">
        <f aca="false">IF(A404="","",DATE(YEAR(A404),MONTH(A404),1))</f>
        <v/>
      </c>
      <c r="L404" s="21" t="str">
        <f aca="false">IF(J404="",IF(B404="","",IF(N(C404)&gt;=0,"Income","Expense")),IFERROR(INDEX(Lists!$B$2:$B$30,MATCH(J404,Lists!$A$2:$A$30,0)),""))</f>
        <v/>
      </c>
      <c r="M404" s="24"/>
      <c r="N404" s="27" t="str">
        <f aca="false">IF(B404="","",IFERROR(1000-SUMPRODUCT(MAX(ISNUMBER(SEARCH(Rules!$A$5:$A$204,B404))*(Rules!$A$5:$A$204&lt;&gt;"")*(1000-ROW(Rules!$A$5:$A$204)))),""))</f>
        <v/>
      </c>
    </row>
    <row r="405" customFormat="false" ht="15" hidden="false" customHeight="false" outlineLevel="0" collapsed="false">
      <c r="A405" s="23"/>
      <c r="B405" s="24"/>
      <c r="C405" s="25"/>
      <c r="D405" s="24"/>
      <c r="E405" s="21" t="str">
        <f aca="false">IF(OR(B405="",N(N405)=0,N405=1000),IF(B405="","","Check"),INDEX(Rules!$B:$B,N405))</f>
        <v/>
      </c>
      <c r="F405" s="21" t="str">
        <f aca="false">IF(OR(B405="",N(N405)=0,N405=1000),"",INDEX(Rules!$C:$C,N405))</f>
        <v/>
      </c>
      <c r="G405" s="24"/>
      <c r="H405" s="24"/>
      <c r="I405" s="20" t="str">
        <f aca="false">IF(B405="","",IF(G405&lt;&gt;"",G405,E405))</f>
        <v/>
      </c>
      <c r="J405" s="21" t="str">
        <f aca="false">IF(B405="","",IF(H405&lt;&gt;"",H405,F405))</f>
        <v/>
      </c>
      <c r="K405" s="26" t="str">
        <f aca="false">IF(A405="","",DATE(YEAR(A405),MONTH(A405),1))</f>
        <v/>
      </c>
      <c r="L405" s="21" t="str">
        <f aca="false">IF(J405="",IF(B405="","",IF(N(C405)&gt;=0,"Income","Expense")),IFERROR(INDEX(Lists!$B$2:$B$30,MATCH(J405,Lists!$A$2:$A$30,0)),""))</f>
        <v/>
      </c>
      <c r="M405" s="24"/>
      <c r="N405" s="27" t="str">
        <f aca="false">IF(B405="","",IFERROR(1000-SUMPRODUCT(MAX(ISNUMBER(SEARCH(Rules!$A$5:$A$204,B405))*(Rules!$A$5:$A$204&lt;&gt;"")*(1000-ROW(Rules!$A$5:$A$204)))),""))</f>
        <v/>
      </c>
    </row>
    <row r="406" customFormat="false" ht="15" hidden="false" customHeight="false" outlineLevel="0" collapsed="false">
      <c r="A406" s="23"/>
      <c r="B406" s="24"/>
      <c r="C406" s="25"/>
      <c r="D406" s="24"/>
      <c r="E406" s="21" t="str">
        <f aca="false">IF(OR(B406="",N(N406)=0,N406=1000),IF(B406="","","Check"),INDEX(Rules!$B:$B,N406))</f>
        <v/>
      </c>
      <c r="F406" s="21" t="str">
        <f aca="false">IF(OR(B406="",N(N406)=0,N406=1000),"",INDEX(Rules!$C:$C,N406))</f>
        <v/>
      </c>
      <c r="G406" s="24"/>
      <c r="H406" s="24"/>
      <c r="I406" s="20" t="str">
        <f aca="false">IF(B406="","",IF(G406&lt;&gt;"",G406,E406))</f>
        <v/>
      </c>
      <c r="J406" s="21" t="str">
        <f aca="false">IF(B406="","",IF(H406&lt;&gt;"",H406,F406))</f>
        <v/>
      </c>
      <c r="K406" s="26" t="str">
        <f aca="false">IF(A406="","",DATE(YEAR(A406),MONTH(A406),1))</f>
        <v/>
      </c>
      <c r="L406" s="21" t="str">
        <f aca="false">IF(J406="",IF(B406="","",IF(N(C406)&gt;=0,"Income","Expense")),IFERROR(INDEX(Lists!$B$2:$B$30,MATCH(J406,Lists!$A$2:$A$30,0)),""))</f>
        <v/>
      </c>
      <c r="M406" s="24"/>
      <c r="N406" s="27" t="str">
        <f aca="false">IF(B406="","",IFERROR(1000-SUMPRODUCT(MAX(ISNUMBER(SEARCH(Rules!$A$5:$A$204,B406))*(Rules!$A$5:$A$204&lt;&gt;"")*(1000-ROW(Rules!$A$5:$A$204)))),""))</f>
        <v/>
      </c>
    </row>
    <row r="407" customFormat="false" ht="15" hidden="false" customHeight="false" outlineLevel="0" collapsed="false">
      <c r="A407" s="23"/>
      <c r="B407" s="24"/>
      <c r="C407" s="25"/>
      <c r="D407" s="24"/>
      <c r="E407" s="21" t="str">
        <f aca="false">IF(OR(B407="",N(N407)=0,N407=1000),IF(B407="","","Check"),INDEX(Rules!$B:$B,N407))</f>
        <v/>
      </c>
      <c r="F407" s="21" t="str">
        <f aca="false">IF(OR(B407="",N(N407)=0,N407=1000),"",INDEX(Rules!$C:$C,N407))</f>
        <v/>
      </c>
      <c r="G407" s="24"/>
      <c r="H407" s="24"/>
      <c r="I407" s="20" t="str">
        <f aca="false">IF(B407="","",IF(G407&lt;&gt;"",G407,E407))</f>
        <v/>
      </c>
      <c r="J407" s="21" t="str">
        <f aca="false">IF(B407="","",IF(H407&lt;&gt;"",H407,F407))</f>
        <v/>
      </c>
      <c r="K407" s="26" t="str">
        <f aca="false">IF(A407="","",DATE(YEAR(A407),MONTH(A407),1))</f>
        <v/>
      </c>
      <c r="L407" s="21" t="str">
        <f aca="false">IF(J407="",IF(B407="","",IF(N(C407)&gt;=0,"Income","Expense")),IFERROR(INDEX(Lists!$B$2:$B$30,MATCH(J407,Lists!$A$2:$A$30,0)),""))</f>
        <v/>
      </c>
      <c r="M407" s="24"/>
      <c r="N407" s="27" t="str">
        <f aca="false">IF(B407="","",IFERROR(1000-SUMPRODUCT(MAX(ISNUMBER(SEARCH(Rules!$A$5:$A$204,B407))*(Rules!$A$5:$A$204&lt;&gt;"")*(1000-ROW(Rules!$A$5:$A$204)))),""))</f>
        <v/>
      </c>
    </row>
    <row r="408" customFormat="false" ht="15" hidden="false" customHeight="false" outlineLevel="0" collapsed="false">
      <c r="A408" s="23"/>
      <c r="B408" s="24"/>
      <c r="C408" s="25"/>
      <c r="D408" s="24"/>
      <c r="E408" s="21" t="str">
        <f aca="false">IF(OR(B408="",N(N408)=0,N408=1000),IF(B408="","","Check"),INDEX(Rules!$B:$B,N408))</f>
        <v/>
      </c>
      <c r="F408" s="21" t="str">
        <f aca="false">IF(OR(B408="",N(N408)=0,N408=1000),"",INDEX(Rules!$C:$C,N408))</f>
        <v/>
      </c>
      <c r="G408" s="24"/>
      <c r="H408" s="24"/>
      <c r="I408" s="20" t="str">
        <f aca="false">IF(B408="","",IF(G408&lt;&gt;"",G408,E408))</f>
        <v/>
      </c>
      <c r="J408" s="21" t="str">
        <f aca="false">IF(B408="","",IF(H408&lt;&gt;"",H408,F408))</f>
        <v/>
      </c>
      <c r="K408" s="26" t="str">
        <f aca="false">IF(A408="","",DATE(YEAR(A408),MONTH(A408),1))</f>
        <v/>
      </c>
      <c r="L408" s="21" t="str">
        <f aca="false">IF(J408="",IF(B408="","",IF(N(C408)&gt;=0,"Income","Expense")),IFERROR(INDEX(Lists!$B$2:$B$30,MATCH(J408,Lists!$A$2:$A$30,0)),""))</f>
        <v/>
      </c>
      <c r="M408" s="24"/>
      <c r="N408" s="27" t="str">
        <f aca="false">IF(B408="","",IFERROR(1000-SUMPRODUCT(MAX(ISNUMBER(SEARCH(Rules!$A$5:$A$204,B408))*(Rules!$A$5:$A$204&lt;&gt;"")*(1000-ROW(Rules!$A$5:$A$204)))),""))</f>
        <v/>
      </c>
    </row>
    <row r="409" customFormat="false" ht="15" hidden="false" customHeight="false" outlineLevel="0" collapsed="false">
      <c r="A409" s="23"/>
      <c r="B409" s="24"/>
      <c r="C409" s="25"/>
      <c r="D409" s="24"/>
      <c r="E409" s="21" t="str">
        <f aca="false">IF(OR(B409="",N(N409)=0,N409=1000),IF(B409="","","Check"),INDEX(Rules!$B:$B,N409))</f>
        <v/>
      </c>
      <c r="F409" s="21" t="str">
        <f aca="false">IF(OR(B409="",N(N409)=0,N409=1000),"",INDEX(Rules!$C:$C,N409))</f>
        <v/>
      </c>
      <c r="G409" s="24"/>
      <c r="H409" s="24"/>
      <c r="I409" s="20" t="str">
        <f aca="false">IF(B409="","",IF(G409&lt;&gt;"",G409,E409))</f>
        <v/>
      </c>
      <c r="J409" s="21" t="str">
        <f aca="false">IF(B409="","",IF(H409&lt;&gt;"",H409,F409))</f>
        <v/>
      </c>
      <c r="K409" s="26" t="str">
        <f aca="false">IF(A409="","",DATE(YEAR(A409),MONTH(A409),1))</f>
        <v/>
      </c>
      <c r="L409" s="21" t="str">
        <f aca="false">IF(J409="",IF(B409="","",IF(N(C409)&gt;=0,"Income","Expense")),IFERROR(INDEX(Lists!$B$2:$B$30,MATCH(J409,Lists!$A$2:$A$30,0)),""))</f>
        <v/>
      </c>
      <c r="M409" s="24"/>
      <c r="N409" s="27" t="str">
        <f aca="false">IF(B409="","",IFERROR(1000-SUMPRODUCT(MAX(ISNUMBER(SEARCH(Rules!$A$5:$A$204,B409))*(Rules!$A$5:$A$204&lt;&gt;"")*(1000-ROW(Rules!$A$5:$A$204)))),""))</f>
        <v/>
      </c>
    </row>
    <row r="410" customFormat="false" ht="15" hidden="false" customHeight="false" outlineLevel="0" collapsed="false">
      <c r="A410" s="23"/>
      <c r="B410" s="24"/>
      <c r="C410" s="25"/>
      <c r="D410" s="24"/>
      <c r="E410" s="21" t="str">
        <f aca="false">IF(OR(B410="",N(N410)=0,N410=1000),IF(B410="","","Check"),INDEX(Rules!$B:$B,N410))</f>
        <v/>
      </c>
      <c r="F410" s="21" t="str">
        <f aca="false">IF(OR(B410="",N(N410)=0,N410=1000),"",INDEX(Rules!$C:$C,N410))</f>
        <v/>
      </c>
      <c r="G410" s="24"/>
      <c r="H410" s="24"/>
      <c r="I410" s="20" t="str">
        <f aca="false">IF(B410="","",IF(G410&lt;&gt;"",G410,E410))</f>
        <v/>
      </c>
      <c r="J410" s="21" t="str">
        <f aca="false">IF(B410="","",IF(H410&lt;&gt;"",H410,F410))</f>
        <v/>
      </c>
      <c r="K410" s="26" t="str">
        <f aca="false">IF(A410="","",DATE(YEAR(A410),MONTH(A410),1))</f>
        <v/>
      </c>
      <c r="L410" s="21" t="str">
        <f aca="false">IF(J410="",IF(B410="","",IF(N(C410)&gt;=0,"Income","Expense")),IFERROR(INDEX(Lists!$B$2:$B$30,MATCH(J410,Lists!$A$2:$A$30,0)),""))</f>
        <v/>
      </c>
      <c r="M410" s="24"/>
      <c r="N410" s="27" t="str">
        <f aca="false">IF(B410="","",IFERROR(1000-SUMPRODUCT(MAX(ISNUMBER(SEARCH(Rules!$A$5:$A$204,B410))*(Rules!$A$5:$A$204&lt;&gt;"")*(1000-ROW(Rules!$A$5:$A$204)))),""))</f>
        <v/>
      </c>
    </row>
    <row r="411" customFormat="false" ht="15" hidden="false" customHeight="false" outlineLevel="0" collapsed="false">
      <c r="A411" s="23"/>
      <c r="B411" s="24"/>
      <c r="C411" s="25"/>
      <c r="D411" s="24"/>
      <c r="E411" s="21" t="str">
        <f aca="false">IF(OR(B411="",N(N411)=0,N411=1000),IF(B411="","","Check"),INDEX(Rules!$B:$B,N411))</f>
        <v/>
      </c>
      <c r="F411" s="21" t="str">
        <f aca="false">IF(OR(B411="",N(N411)=0,N411=1000),"",INDEX(Rules!$C:$C,N411))</f>
        <v/>
      </c>
      <c r="G411" s="24"/>
      <c r="H411" s="24"/>
      <c r="I411" s="20" t="str">
        <f aca="false">IF(B411="","",IF(G411&lt;&gt;"",G411,E411))</f>
        <v/>
      </c>
      <c r="J411" s="21" t="str">
        <f aca="false">IF(B411="","",IF(H411&lt;&gt;"",H411,F411))</f>
        <v/>
      </c>
      <c r="K411" s="26" t="str">
        <f aca="false">IF(A411="","",DATE(YEAR(A411),MONTH(A411),1))</f>
        <v/>
      </c>
      <c r="L411" s="21" t="str">
        <f aca="false">IF(J411="",IF(B411="","",IF(N(C411)&gt;=0,"Income","Expense")),IFERROR(INDEX(Lists!$B$2:$B$30,MATCH(J411,Lists!$A$2:$A$30,0)),""))</f>
        <v/>
      </c>
      <c r="M411" s="24"/>
      <c r="N411" s="27" t="str">
        <f aca="false">IF(B411="","",IFERROR(1000-SUMPRODUCT(MAX(ISNUMBER(SEARCH(Rules!$A$5:$A$204,B411))*(Rules!$A$5:$A$204&lt;&gt;"")*(1000-ROW(Rules!$A$5:$A$204)))),""))</f>
        <v/>
      </c>
    </row>
    <row r="412" customFormat="false" ht="15" hidden="false" customHeight="false" outlineLevel="0" collapsed="false">
      <c r="A412" s="23"/>
      <c r="B412" s="24"/>
      <c r="C412" s="25"/>
      <c r="D412" s="24"/>
      <c r="E412" s="21" t="str">
        <f aca="false">IF(OR(B412="",N(N412)=0,N412=1000),IF(B412="","","Check"),INDEX(Rules!$B:$B,N412))</f>
        <v/>
      </c>
      <c r="F412" s="21" t="str">
        <f aca="false">IF(OR(B412="",N(N412)=0,N412=1000),"",INDEX(Rules!$C:$C,N412))</f>
        <v/>
      </c>
      <c r="G412" s="24"/>
      <c r="H412" s="24"/>
      <c r="I412" s="20" t="str">
        <f aca="false">IF(B412="","",IF(G412&lt;&gt;"",G412,E412))</f>
        <v/>
      </c>
      <c r="J412" s="21" t="str">
        <f aca="false">IF(B412="","",IF(H412&lt;&gt;"",H412,F412))</f>
        <v/>
      </c>
      <c r="K412" s="26" t="str">
        <f aca="false">IF(A412="","",DATE(YEAR(A412),MONTH(A412),1))</f>
        <v/>
      </c>
      <c r="L412" s="21" t="str">
        <f aca="false">IF(J412="",IF(B412="","",IF(N(C412)&gt;=0,"Income","Expense")),IFERROR(INDEX(Lists!$B$2:$B$30,MATCH(J412,Lists!$A$2:$A$30,0)),""))</f>
        <v/>
      </c>
      <c r="M412" s="24"/>
      <c r="N412" s="27" t="str">
        <f aca="false">IF(B412="","",IFERROR(1000-SUMPRODUCT(MAX(ISNUMBER(SEARCH(Rules!$A$5:$A$204,B412))*(Rules!$A$5:$A$204&lt;&gt;"")*(1000-ROW(Rules!$A$5:$A$204)))),""))</f>
        <v/>
      </c>
    </row>
    <row r="413" customFormat="false" ht="15" hidden="false" customHeight="false" outlineLevel="0" collapsed="false">
      <c r="A413" s="23"/>
      <c r="B413" s="24"/>
      <c r="C413" s="25"/>
      <c r="D413" s="24"/>
      <c r="E413" s="21" t="str">
        <f aca="false">IF(OR(B413="",N(N413)=0,N413=1000),IF(B413="","","Check"),INDEX(Rules!$B:$B,N413))</f>
        <v/>
      </c>
      <c r="F413" s="21" t="str">
        <f aca="false">IF(OR(B413="",N(N413)=0,N413=1000),"",INDEX(Rules!$C:$C,N413))</f>
        <v/>
      </c>
      <c r="G413" s="24"/>
      <c r="H413" s="24"/>
      <c r="I413" s="20" t="str">
        <f aca="false">IF(B413="","",IF(G413&lt;&gt;"",G413,E413))</f>
        <v/>
      </c>
      <c r="J413" s="21" t="str">
        <f aca="false">IF(B413="","",IF(H413&lt;&gt;"",H413,F413))</f>
        <v/>
      </c>
      <c r="K413" s="26" t="str">
        <f aca="false">IF(A413="","",DATE(YEAR(A413),MONTH(A413),1))</f>
        <v/>
      </c>
      <c r="L413" s="21" t="str">
        <f aca="false">IF(J413="",IF(B413="","",IF(N(C413)&gt;=0,"Income","Expense")),IFERROR(INDEX(Lists!$B$2:$B$30,MATCH(J413,Lists!$A$2:$A$30,0)),""))</f>
        <v/>
      </c>
      <c r="M413" s="24"/>
      <c r="N413" s="27" t="str">
        <f aca="false">IF(B413="","",IFERROR(1000-SUMPRODUCT(MAX(ISNUMBER(SEARCH(Rules!$A$5:$A$204,B413))*(Rules!$A$5:$A$204&lt;&gt;"")*(1000-ROW(Rules!$A$5:$A$204)))),""))</f>
        <v/>
      </c>
    </row>
    <row r="414" customFormat="false" ht="15" hidden="false" customHeight="false" outlineLevel="0" collapsed="false">
      <c r="A414" s="23"/>
      <c r="B414" s="24"/>
      <c r="C414" s="25"/>
      <c r="D414" s="24"/>
      <c r="E414" s="21" t="str">
        <f aca="false">IF(OR(B414="",N(N414)=0,N414=1000),IF(B414="","","Check"),INDEX(Rules!$B:$B,N414))</f>
        <v/>
      </c>
      <c r="F414" s="21" t="str">
        <f aca="false">IF(OR(B414="",N(N414)=0,N414=1000),"",INDEX(Rules!$C:$C,N414))</f>
        <v/>
      </c>
      <c r="G414" s="24"/>
      <c r="H414" s="24"/>
      <c r="I414" s="20" t="str">
        <f aca="false">IF(B414="","",IF(G414&lt;&gt;"",G414,E414))</f>
        <v/>
      </c>
      <c r="J414" s="21" t="str">
        <f aca="false">IF(B414="","",IF(H414&lt;&gt;"",H414,F414))</f>
        <v/>
      </c>
      <c r="K414" s="26" t="str">
        <f aca="false">IF(A414="","",DATE(YEAR(A414),MONTH(A414),1))</f>
        <v/>
      </c>
      <c r="L414" s="21" t="str">
        <f aca="false">IF(J414="",IF(B414="","",IF(N(C414)&gt;=0,"Income","Expense")),IFERROR(INDEX(Lists!$B$2:$B$30,MATCH(J414,Lists!$A$2:$A$30,0)),""))</f>
        <v/>
      </c>
      <c r="M414" s="24"/>
      <c r="N414" s="27" t="str">
        <f aca="false">IF(B414="","",IFERROR(1000-SUMPRODUCT(MAX(ISNUMBER(SEARCH(Rules!$A$5:$A$204,B414))*(Rules!$A$5:$A$204&lt;&gt;"")*(1000-ROW(Rules!$A$5:$A$204)))),""))</f>
        <v/>
      </c>
    </row>
    <row r="415" customFormat="false" ht="15" hidden="false" customHeight="false" outlineLevel="0" collapsed="false">
      <c r="A415" s="23"/>
      <c r="B415" s="24"/>
      <c r="C415" s="25"/>
      <c r="D415" s="24"/>
      <c r="E415" s="21" t="str">
        <f aca="false">IF(OR(B415="",N(N415)=0,N415=1000),IF(B415="","","Check"),INDEX(Rules!$B:$B,N415))</f>
        <v/>
      </c>
      <c r="F415" s="21" t="str">
        <f aca="false">IF(OR(B415="",N(N415)=0,N415=1000),"",INDEX(Rules!$C:$C,N415))</f>
        <v/>
      </c>
      <c r="G415" s="24"/>
      <c r="H415" s="24"/>
      <c r="I415" s="20" t="str">
        <f aca="false">IF(B415="","",IF(G415&lt;&gt;"",G415,E415))</f>
        <v/>
      </c>
      <c r="J415" s="21" t="str">
        <f aca="false">IF(B415="","",IF(H415&lt;&gt;"",H415,F415))</f>
        <v/>
      </c>
      <c r="K415" s="26" t="str">
        <f aca="false">IF(A415="","",DATE(YEAR(A415),MONTH(A415),1))</f>
        <v/>
      </c>
      <c r="L415" s="21" t="str">
        <f aca="false">IF(J415="",IF(B415="","",IF(N(C415)&gt;=0,"Income","Expense")),IFERROR(INDEX(Lists!$B$2:$B$30,MATCH(J415,Lists!$A$2:$A$30,0)),""))</f>
        <v/>
      </c>
      <c r="M415" s="24"/>
      <c r="N415" s="27" t="str">
        <f aca="false">IF(B415="","",IFERROR(1000-SUMPRODUCT(MAX(ISNUMBER(SEARCH(Rules!$A$5:$A$204,B415))*(Rules!$A$5:$A$204&lt;&gt;"")*(1000-ROW(Rules!$A$5:$A$204)))),""))</f>
        <v/>
      </c>
    </row>
    <row r="416" customFormat="false" ht="15" hidden="false" customHeight="false" outlineLevel="0" collapsed="false">
      <c r="A416" s="23"/>
      <c r="B416" s="24"/>
      <c r="C416" s="25"/>
      <c r="D416" s="24"/>
      <c r="E416" s="21" t="str">
        <f aca="false">IF(OR(B416="",N(N416)=0,N416=1000),IF(B416="","","Check"),INDEX(Rules!$B:$B,N416))</f>
        <v/>
      </c>
      <c r="F416" s="21" t="str">
        <f aca="false">IF(OR(B416="",N(N416)=0,N416=1000),"",INDEX(Rules!$C:$C,N416))</f>
        <v/>
      </c>
      <c r="G416" s="24"/>
      <c r="H416" s="24"/>
      <c r="I416" s="20" t="str">
        <f aca="false">IF(B416="","",IF(G416&lt;&gt;"",G416,E416))</f>
        <v/>
      </c>
      <c r="J416" s="21" t="str">
        <f aca="false">IF(B416="","",IF(H416&lt;&gt;"",H416,F416))</f>
        <v/>
      </c>
      <c r="K416" s="26" t="str">
        <f aca="false">IF(A416="","",DATE(YEAR(A416),MONTH(A416),1))</f>
        <v/>
      </c>
      <c r="L416" s="21" t="str">
        <f aca="false">IF(J416="",IF(B416="","",IF(N(C416)&gt;=0,"Income","Expense")),IFERROR(INDEX(Lists!$B$2:$B$30,MATCH(J416,Lists!$A$2:$A$30,0)),""))</f>
        <v/>
      </c>
      <c r="M416" s="24"/>
      <c r="N416" s="27" t="str">
        <f aca="false">IF(B416="","",IFERROR(1000-SUMPRODUCT(MAX(ISNUMBER(SEARCH(Rules!$A$5:$A$204,B416))*(Rules!$A$5:$A$204&lt;&gt;"")*(1000-ROW(Rules!$A$5:$A$204)))),""))</f>
        <v/>
      </c>
    </row>
    <row r="417" customFormat="false" ht="15" hidden="false" customHeight="false" outlineLevel="0" collapsed="false">
      <c r="A417" s="23"/>
      <c r="B417" s="24"/>
      <c r="C417" s="25"/>
      <c r="D417" s="24"/>
      <c r="E417" s="21" t="str">
        <f aca="false">IF(OR(B417="",N(N417)=0,N417=1000),IF(B417="","","Check"),INDEX(Rules!$B:$B,N417))</f>
        <v/>
      </c>
      <c r="F417" s="21" t="str">
        <f aca="false">IF(OR(B417="",N(N417)=0,N417=1000),"",INDEX(Rules!$C:$C,N417))</f>
        <v/>
      </c>
      <c r="G417" s="24"/>
      <c r="H417" s="24"/>
      <c r="I417" s="20" t="str">
        <f aca="false">IF(B417="","",IF(G417&lt;&gt;"",G417,E417))</f>
        <v/>
      </c>
      <c r="J417" s="21" t="str">
        <f aca="false">IF(B417="","",IF(H417&lt;&gt;"",H417,F417))</f>
        <v/>
      </c>
      <c r="K417" s="26" t="str">
        <f aca="false">IF(A417="","",DATE(YEAR(A417),MONTH(A417),1))</f>
        <v/>
      </c>
      <c r="L417" s="21" t="str">
        <f aca="false">IF(J417="",IF(B417="","",IF(N(C417)&gt;=0,"Income","Expense")),IFERROR(INDEX(Lists!$B$2:$B$30,MATCH(J417,Lists!$A$2:$A$30,0)),""))</f>
        <v/>
      </c>
      <c r="M417" s="24"/>
      <c r="N417" s="27" t="str">
        <f aca="false">IF(B417="","",IFERROR(1000-SUMPRODUCT(MAX(ISNUMBER(SEARCH(Rules!$A$5:$A$204,B417))*(Rules!$A$5:$A$204&lt;&gt;"")*(1000-ROW(Rules!$A$5:$A$204)))),""))</f>
        <v/>
      </c>
    </row>
    <row r="418" customFormat="false" ht="15" hidden="false" customHeight="false" outlineLevel="0" collapsed="false">
      <c r="A418" s="23"/>
      <c r="B418" s="24"/>
      <c r="C418" s="25"/>
      <c r="D418" s="24"/>
      <c r="E418" s="21" t="str">
        <f aca="false">IF(OR(B418="",N(N418)=0,N418=1000),IF(B418="","","Check"),INDEX(Rules!$B:$B,N418))</f>
        <v/>
      </c>
      <c r="F418" s="21" t="str">
        <f aca="false">IF(OR(B418="",N(N418)=0,N418=1000),"",INDEX(Rules!$C:$C,N418))</f>
        <v/>
      </c>
      <c r="G418" s="24"/>
      <c r="H418" s="24"/>
      <c r="I418" s="20" t="str">
        <f aca="false">IF(B418="","",IF(G418&lt;&gt;"",G418,E418))</f>
        <v/>
      </c>
      <c r="J418" s="21" t="str">
        <f aca="false">IF(B418="","",IF(H418&lt;&gt;"",H418,F418))</f>
        <v/>
      </c>
      <c r="K418" s="26" t="str">
        <f aca="false">IF(A418="","",DATE(YEAR(A418),MONTH(A418),1))</f>
        <v/>
      </c>
      <c r="L418" s="21" t="str">
        <f aca="false">IF(J418="",IF(B418="","",IF(N(C418)&gt;=0,"Income","Expense")),IFERROR(INDEX(Lists!$B$2:$B$30,MATCH(J418,Lists!$A$2:$A$30,0)),""))</f>
        <v/>
      </c>
      <c r="M418" s="24"/>
      <c r="N418" s="27" t="str">
        <f aca="false">IF(B418="","",IFERROR(1000-SUMPRODUCT(MAX(ISNUMBER(SEARCH(Rules!$A$5:$A$204,B418))*(Rules!$A$5:$A$204&lt;&gt;"")*(1000-ROW(Rules!$A$5:$A$204)))),""))</f>
        <v/>
      </c>
    </row>
    <row r="419" customFormat="false" ht="15" hidden="false" customHeight="false" outlineLevel="0" collapsed="false">
      <c r="A419" s="23"/>
      <c r="B419" s="24"/>
      <c r="C419" s="25"/>
      <c r="D419" s="24"/>
      <c r="E419" s="21" t="str">
        <f aca="false">IF(OR(B419="",N(N419)=0,N419=1000),IF(B419="","","Check"),INDEX(Rules!$B:$B,N419))</f>
        <v/>
      </c>
      <c r="F419" s="21" t="str">
        <f aca="false">IF(OR(B419="",N(N419)=0,N419=1000),"",INDEX(Rules!$C:$C,N419))</f>
        <v/>
      </c>
      <c r="G419" s="24"/>
      <c r="H419" s="24"/>
      <c r="I419" s="20" t="str">
        <f aca="false">IF(B419="","",IF(G419&lt;&gt;"",G419,E419))</f>
        <v/>
      </c>
      <c r="J419" s="21" t="str">
        <f aca="false">IF(B419="","",IF(H419&lt;&gt;"",H419,F419))</f>
        <v/>
      </c>
      <c r="K419" s="26" t="str">
        <f aca="false">IF(A419="","",DATE(YEAR(A419),MONTH(A419),1))</f>
        <v/>
      </c>
      <c r="L419" s="21" t="str">
        <f aca="false">IF(J419="",IF(B419="","",IF(N(C419)&gt;=0,"Income","Expense")),IFERROR(INDEX(Lists!$B$2:$B$30,MATCH(J419,Lists!$A$2:$A$30,0)),""))</f>
        <v/>
      </c>
      <c r="M419" s="24"/>
      <c r="N419" s="27" t="str">
        <f aca="false">IF(B419="","",IFERROR(1000-SUMPRODUCT(MAX(ISNUMBER(SEARCH(Rules!$A$5:$A$204,B419))*(Rules!$A$5:$A$204&lt;&gt;"")*(1000-ROW(Rules!$A$5:$A$204)))),""))</f>
        <v/>
      </c>
    </row>
    <row r="420" customFormat="false" ht="15" hidden="false" customHeight="false" outlineLevel="0" collapsed="false">
      <c r="A420" s="23"/>
      <c r="B420" s="24"/>
      <c r="C420" s="25"/>
      <c r="D420" s="24"/>
      <c r="E420" s="21" t="str">
        <f aca="false">IF(OR(B420="",N(N420)=0,N420=1000),IF(B420="","","Check"),INDEX(Rules!$B:$B,N420))</f>
        <v/>
      </c>
      <c r="F420" s="21" t="str">
        <f aca="false">IF(OR(B420="",N(N420)=0,N420=1000),"",INDEX(Rules!$C:$C,N420))</f>
        <v/>
      </c>
      <c r="G420" s="24"/>
      <c r="H420" s="24"/>
      <c r="I420" s="20" t="str">
        <f aca="false">IF(B420="","",IF(G420&lt;&gt;"",G420,E420))</f>
        <v/>
      </c>
      <c r="J420" s="21" t="str">
        <f aca="false">IF(B420="","",IF(H420&lt;&gt;"",H420,F420))</f>
        <v/>
      </c>
      <c r="K420" s="26" t="str">
        <f aca="false">IF(A420="","",DATE(YEAR(A420),MONTH(A420),1))</f>
        <v/>
      </c>
      <c r="L420" s="21" t="str">
        <f aca="false">IF(J420="",IF(B420="","",IF(N(C420)&gt;=0,"Income","Expense")),IFERROR(INDEX(Lists!$B$2:$B$30,MATCH(J420,Lists!$A$2:$A$30,0)),""))</f>
        <v/>
      </c>
      <c r="M420" s="24"/>
      <c r="N420" s="27" t="str">
        <f aca="false">IF(B420="","",IFERROR(1000-SUMPRODUCT(MAX(ISNUMBER(SEARCH(Rules!$A$5:$A$204,B420))*(Rules!$A$5:$A$204&lt;&gt;"")*(1000-ROW(Rules!$A$5:$A$204)))),""))</f>
        <v/>
      </c>
    </row>
    <row r="421" customFormat="false" ht="15" hidden="false" customHeight="false" outlineLevel="0" collapsed="false">
      <c r="A421" s="23"/>
      <c r="B421" s="24"/>
      <c r="C421" s="25"/>
      <c r="D421" s="24"/>
      <c r="E421" s="21" t="str">
        <f aca="false">IF(OR(B421="",N(N421)=0,N421=1000),IF(B421="","","Check"),INDEX(Rules!$B:$B,N421))</f>
        <v/>
      </c>
      <c r="F421" s="21" t="str">
        <f aca="false">IF(OR(B421="",N(N421)=0,N421=1000),"",INDEX(Rules!$C:$C,N421))</f>
        <v/>
      </c>
      <c r="G421" s="24"/>
      <c r="H421" s="24"/>
      <c r="I421" s="20" t="str">
        <f aca="false">IF(B421="","",IF(G421&lt;&gt;"",G421,E421))</f>
        <v/>
      </c>
      <c r="J421" s="21" t="str">
        <f aca="false">IF(B421="","",IF(H421&lt;&gt;"",H421,F421))</f>
        <v/>
      </c>
      <c r="K421" s="26" t="str">
        <f aca="false">IF(A421="","",DATE(YEAR(A421),MONTH(A421),1))</f>
        <v/>
      </c>
      <c r="L421" s="21" t="str">
        <f aca="false">IF(J421="",IF(B421="","",IF(N(C421)&gt;=0,"Income","Expense")),IFERROR(INDEX(Lists!$B$2:$B$30,MATCH(J421,Lists!$A$2:$A$30,0)),""))</f>
        <v/>
      </c>
      <c r="M421" s="24"/>
      <c r="N421" s="27" t="str">
        <f aca="false">IF(B421="","",IFERROR(1000-SUMPRODUCT(MAX(ISNUMBER(SEARCH(Rules!$A$5:$A$204,B421))*(Rules!$A$5:$A$204&lt;&gt;"")*(1000-ROW(Rules!$A$5:$A$204)))),""))</f>
        <v/>
      </c>
    </row>
    <row r="422" customFormat="false" ht="15" hidden="false" customHeight="false" outlineLevel="0" collapsed="false">
      <c r="A422" s="23"/>
      <c r="B422" s="24"/>
      <c r="C422" s="25"/>
      <c r="D422" s="24"/>
      <c r="E422" s="21" t="str">
        <f aca="false">IF(OR(B422="",N(N422)=0,N422=1000),IF(B422="","","Check"),INDEX(Rules!$B:$B,N422))</f>
        <v/>
      </c>
      <c r="F422" s="21" t="str">
        <f aca="false">IF(OR(B422="",N(N422)=0,N422=1000),"",INDEX(Rules!$C:$C,N422))</f>
        <v/>
      </c>
      <c r="G422" s="24"/>
      <c r="H422" s="24"/>
      <c r="I422" s="20" t="str">
        <f aca="false">IF(B422="","",IF(G422&lt;&gt;"",G422,E422))</f>
        <v/>
      </c>
      <c r="J422" s="21" t="str">
        <f aca="false">IF(B422="","",IF(H422&lt;&gt;"",H422,F422))</f>
        <v/>
      </c>
      <c r="K422" s="26" t="str">
        <f aca="false">IF(A422="","",DATE(YEAR(A422),MONTH(A422),1))</f>
        <v/>
      </c>
      <c r="L422" s="21" t="str">
        <f aca="false">IF(J422="",IF(B422="","",IF(N(C422)&gt;=0,"Income","Expense")),IFERROR(INDEX(Lists!$B$2:$B$30,MATCH(J422,Lists!$A$2:$A$30,0)),""))</f>
        <v/>
      </c>
      <c r="M422" s="24"/>
      <c r="N422" s="27" t="str">
        <f aca="false">IF(B422="","",IFERROR(1000-SUMPRODUCT(MAX(ISNUMBER(SEARCH(Rules!$A$5:$A$204,B422))*(Rules!$A$5:$A$204&lt;&gt;"")*(1000-ROW(Rules!$A$5:$A$204)))),""))</f>
        <v/>
      </c>
    </row>
    <row r="423" customFormat="false" ht="15" hidden="false" customHeight="false" outlineLevel="0" collapsed="false">
      <c r="A423" s="23"/>
      <c r="B423" s="24"/>
      <c r="C423" s="25"/>
      <c r="D423" s="24"/>
      <c r="E423" s="21" t="str">
        <f aca="false">IF(OR(B423="",N(N423)=0,N423=1000),IF(B423="","","Check"),INDEX(Rules!$B:$B,N423))</f>
        <v/>
      </c>
      <c r="F423" s="21" t="str">
        <f aca="false">IF(OR(B423="",N(N423)=0,N423=1000),"",INDEX(Rules!$C:$C,N423))</f>
        <v/>
      </c>
      <c r="G423" s="24"/>
      <c r="H423" s="24"/>
      <c r="I423" s="20" t="str">
        <f aca="false">IF(B423="","",IF(G423&lt;&gt;"",G423,E423))</f>
        <v/>
      </c>
      <c r="J423" s="21" t="str">
        <f aca="false">IF(B423="","",IF(H423&lt;&gt;"",H423,F423))</f>
        <v/>
      </c>
      <c r="K423" s="26" t="str">
        <f aca="false">IF(A423="","",DATE(YEAR(A423),MONTH(A423),1))</f>
        <v/>
      </c>
      <c r="L423" s="21" t="str">
        <f aca="false">IF(J423="",IF(B423="","",IF(N(C423)&gt;=0,"Income","Expense")),IFERROR(INDEX(Lists!$B$2:$B$30,MATCH(J423,Lists!$A$2:$A$30,0)),""))</f>
        <v/>
      </c>
      <c r="M423" s="24"/>
      <c r="N423" s="27" t="str">
        <f aca="false">IF(B423="","",IFERROR(1000-SUMPRODUCT(MAX(ISNUMBER(SEARCH(Rules!$A$5:$A$204,B423))*(Rules!$A$5:$A$204&lt;&gt;"")*(1000-ROW(Rules!$A$5:$A$204)))),""))</f>
        <v/>
      </c>
    </row>
    <row r="424" customFormat="false" ht="15" hidden="false" customHeight="false" outlineLevel="0" collapsed="false">
      <c r="A424" s="23"/>
      <c r="B424" s="24"/>
      <c r="C424" s="25"/>
      <c r="D424" s="24"/>
      <c r="E424" s="21" t="str">
        <f aca="false">IF(OR(B424="",N(N424)=0,N424=1000),IF(B424="","","Check"),INDEX(Rules!$B:$B,N424))</f>
        <v/>
      </c>
      <c r="F424" s="21" t="str">
        <f aca="false">IF(OR(B424="",N(N424)=0,N424=1000),"",INDEX(Rules!$C:$C,N424))</f>
        <v/>
      </c>
      <c r="G424" s="24"/>
      <c r="H424" s="24"/>
      <c r="I424" s="20" t="str">
        <f aca="false">IF(B424="","",IF(G424&lt;&gt;"",G424,E424))</f>
        <v/>
      </c>
      <c r="J424" s="21" t="str">
        <f aca="false">IF(B424="","",IF(H424&lt;&gt;"",H424,F424))</f>
        <v/>
      </c>
      <c r="K424" s="26" t="str">
        <f aca="false">IF(A424="","",DATE(YEAR(A424),MONTH(A424),1))</f>
        <v/>
      </c>
      <c r="L424" s="21" t="str">
        <f aca="false">IF(J424="",IF(B424="","",IF(N(C424)&gt;=0,"Income","Expense")),IFERROR(INDEX(Lists!$B$2:$B$30,MATCH(J424,Lists!$A$2:$A$30,0)),""))</f>
        <v/>
      </c>
      <c r="M424" s="24"/>
      <c r="N424" s="27" t="str">
        <f aca="false">IF(B424="","",IFERROR(1000-SUMPRODUCT(MAX(ISNUMBER(SEARCH(Rules!$A$5:$A$204,B424))*(Rules!$A$5:$A$204&lt;&gt;"")*(1000-ROW(Rules!$A$5:$A$204)))),""))</f>
        <v/>
      </c>
    </row>
    <row r="425" customFormat="false" ht="15" hidden="false" customHeight="false" outlineLevel="0" collapsed="false">
      <c r="A425" s="23"/>
      <c r="B425" s="24"/>
      <c r="C425" s="25"/>
      <c r="D425" s="24"/>
      <c r="E425" s="21" t="str">
        <f aca="false">IF(OR(B425="",N(N425)=0,N425=1000),IF(B425="","","Check"),INDEX(Rules!$B:$B,N425))</f>
        <v/>
      </c>
      <c r="F425" s="21" t="str">
        <f aca="false">IF(OR(B425="",N(N425)=0,N425=1000),"",INDEX(Rules!$C:$C,N425))</f>
        <v/>
      </c>
      <c r="G425" s="24"/>
      <c r="H425" s="24"/>
      <c r="I425" s="20" t="str">
        <f aca="false">IF(B425="","",IF(G425&lt;&gt;"",G425,E425))</f>
        <v/>
      </c>
      <c r="J425" s="21" t="str">
        <f aca="false">IF(B425="","",IF(H425&lt;&gt;"",H425,F425))</f>
        <v/>
      </c>
      <c r="K425" s="26" t="str">
        <f aca="false">IF(A425="","",DATE(YEAR(A425),MONTH(A425),1))</f>
        <v/>
      </c>
      <c r="L425" s="21" t="str">
        <f aca="false">IF(J425="",IF(B425="","",IF(N(C425)&gt;=0,"Income","Expense")),IFERROR(INDEX(Lists!$B$2:$B$30,MATCH(J425,Lists!$A$2:$A$30,0)),""))</f>
        <v/>
      </c>
      <c r="M425" s="24"/>
      <c r="N425" s="27" t="str">
        <f aca="false">IF(B425="","",IFERROR(1000-SUMPRODUCT(MAX(ISNUMBER(SEARCH(Rules!$A$5:$A$204,B425))*(Rules!$A$5:$A$204&lt;&gt;"")*(1000-ROW(Rules!$A$5:$A$204)))),""))</f>
        <v/>
      </c>
    </row>
    <row r="426" customFormat="false" ht="15" hidden="false" customHeight="false" outlineLevel="0" collapsed="false">
      <c r="A426" s="23"/>
      <c r="B426" s="24"/>
      <c r="C426" s="25"/>
      <c r="D426" s="24"/>
      <c r="E426" s="21" t="str">
        <f aca="false">IF(OR(B426="",N(N426)=0,N426=1000),IF(B426="","","Check"),INDEX(Rules!$B:$B,N426))</f>
        <v/>
      </c>
      <c r="F426" s="21" t="str">
        <f aca="false">IF(OR(B426="",N(N426)=0,N426=1000),"",INDEX(Rules!$C:$C,N426))</f>
        <v/>
      </c>
      <c r="G426" s="24"/>
      <c r="H426" s="24"/>
      <c r="I426" s="20" t="str">
        <f aca="false">IF(B426="","",IF(G426&lt;&gt;"",G426,E426))</f>
        <v/>
      </c>
      <c r="J426" s="21" t="str">
        <f aca="false">IF(B426="","",IF(H426&lt;&gt;"",H426,F426))</f>
        <v/>
      </c>
      <c r="K426" s="26" t="str">
        <f aca="false">IF(A426="","",DATE(YEAR(A426),MONTH(A426),1))</f>
        <v/>
      </c>
      <c r="L426" s="21" t="str">
        <f aca="false">IF(J426="",IF(B426="","",IF(N(C426)&gt;=0,"Income","Expense")),IFERROR(INDEX(Lists!$B$2:$B$30,MATCH(J426,Lists!$A$2:$A$30,0)),""))</f>
        <v/>
      </c>
      <c r="M426" s="24"/>
      <c r="N426" s="27" t="str">
        <f aca="false">IF(B426="","",IFERROR(1000-SUMPRODUCT(MAX(ISNUMBER(SEARCH(Rules!$A$5:$A$204,B426))*(Rules!$A$5:$A$204&lt;&gt;"")*(1000-ROW(Rules!$A$5:$A$204)))),""))</f>
        <v/>
      </c>
    </row>
    <row r="427" customFormat="false" ht="15" hidden="false" customHeight="false" outlineLevel="0" collapsed="false">
      <c r="A427" s="23"/>
      <c r="B427" s="24"/>
      <c r="C427" s="25"/>
      <c r="D427" s="24"/>
      <c r="E427" s="21" t="str">
        <f aca="false">IF(OR(B427="",N(N427)=0,N427=1000),IF(B427="","","Check"),INDEX(Rules!$B:$B,N427))</f>
        <v/>
      </c>
      <c r="F427" s="21" t="str">
        <f aca="false">IF(OR(B427="",N(N427)=0,N427=1000),"",INDEX(Rules!$C:$C,N427))</f>
        <v/>
      </c>
      <c r="G427" s="24"/>
      <c r="H427" s="24"/>
      <c r="I427" s="20" t="str">
        <f aca="false">IF(B427="","",IF(G427&lt;&gt;"",G427,E427))</f>
        <v/>
      </c>
      <c r="J427" s="21" t="str">
        <f aca="false">IF(B427="","",IF(H427&lt;&gt;"",H427,F427))</f>
        <v/>
      </c>
      <c r="K427" s="26" t="str">
        <f aca="false">IF(A427="","",DATE(YEAR(A427),MONTH(A427),1))</f>
        <v/>
      </c>
      <c r="L427" s="21" t="str">
        <f aca="false">IF(J427="",IF(B427="","",IF(N(C427)&gt;=0,"Income","Expense")),IFERROR(INDEX(Lists!$B$2:$B$30,MATCH(J427,Lists!$A$2:$A$30,0)),""))</f>
        <v/>
      </c>
      <c r="M427" s="24"/>
      <c r="N427" s="27" t="str">
        <f aca="false">IF(B427="","",IFERROR(1000-SUMPRODUCT(MAX(ISNUMBER(SEARCH(Rules!$A$5:$A$204,B427))*(Rules!$A$5:$A$204&lt;&gt;"")*(1000-ROW(Rules!$A$5:$A$204)))),""))</f>
        <v/>
      </c>
    </row>
    <row r="428" customFormat="false" ht="15" hidden="false" customHeight="false" outlineLevel="0" collapsed="false">
      <c r="A428" s="23"/>
      <c r="B428" s="24"/>
      <c r="C428" s="25"/>
      <c r="D428" s="24"/>
      <c r="E428" s="21" t="str">
        <f aca="false">IF(OR(B428="",N(N428)=0,N428=1000),IF(B428="","","Check"),INDEX(Rules!$B:$B,N428))</f>
        <v/>
      </c>
      <c r="F428" s="21" t="str">
        <f aca="false">IF(OR(B428="",N(N428)=0,N428=1000),"",INDEX(Rules!$C:$C,N428))</f>
        <v/>
      </c>
      <c r="G428" s="24"/>
      <c r="H428" s="24"/>
      <c r="I428" s="20" t="str">
        <f aca="false">IF(B428="","",IF(G428&lt;&gt;"",G428,E428))</f>
        <v/>
      </c>
      <c r="J428" s="21" t="str">
        <f aca="false">IF(B428="","",IF(H428&lt;&gt;"",H428,F428))</f>
        <v/>
      </c>
      <c r="K428" s="26" t="str">
        <f aca="false">IF(A428="","",DATE(YEAR(A428),MONTH(A428),1))</f>
        <v/>
      </c>
      <c r="L428" s="21" t="str">
        <f aca="false">IF(J428="",IF(B428="","",IF(N(C428)&gt;=0,"Income","Expense")),IFERROR(INDEX(Lists!$B$2:$B$30,MATCH(J428,Lists!$A$2:$A$30,0)),""))</f>
        <v/>
      </c>
      <c r="M428" s="24"/>
      <c r="N428" s="27" t="str">
        <f aca="false">IF(B428="","",IFERROR(1000-SUMPRODUCT(MAX(ISNUMBER(SEARCH(Rules!$A$5:$A$204,B428))*(Rules!$A$5:$A$204&lt;&gt;"")*(1000-ROW(Rules!$A$5:$A$204)))),""))</f>
        <v/>
      </c>
    </row>
    <row r="429" customFormat="false" ht="15" hidden="false" customHeight="false" outlineLevel="0" collapsed="false">
      <c r="A429" s="23"/>
      <c r="B429" s="24"/>
      <c r="C429" s="25"/>
      <c r="D429" s="24"/>
      <c r="E429" s="21" t="str">
        <f aca="false">IF(OR(B429="",N(N429)=0,N429=1000),IF(B429="","","Check"),INDEX(Rules!$B:$B,N429))</f>
        <v/>
      </c>
      <c r="F429" s="21" t="str">
        <f aca="false">IF(OR(B429="",N(N429)=0,N429=1000),"",INDEX(Rules!$C:$C,N429))</f>
        <v/>
      </c>
      <c r="G429" s="24"/>
      <c r="H429" s="24"/>
      <c r="I429" s="20" t="str">
        <f aca="false">IF(B429="","",IF(G429&lt;&gt;"",G429,E429))</f>
        <v/>
      </c>
      <c r="J429" s="21" t="str">
        <f aca="false">IF(B429="","",IF(H429&lt;&gt;"",H429,F429))</f>
        <v/>
      </c>
      <c r="K429" s="26" t="str">
        <f aca="false">IF(A429="","",DATE(YEAR(A429),MONTH(A429),1))</f>
        <v/>
      </c>
      <c r="L429" s="21" t="str">
        <f aca="false">IF(J429="",IF(B429="","",IF(N(C429)&gt;=0,"Income","Expense")),IFERROR(INDEX(Lists!$B$2:$B$30,MATCH(J429,Lists!$A$2:$A$30,0)),""))</f>
        <v/>
      </c>
      <c r="M429" s="24"/>
      <c r="N429" s="27" t="str">
        <f aca="false">IF(B429="","",IFERROR(1000-SUMPRODUCT(MAX(ISNUMBER(SEARCH(Rules!$A$5:$A$204,B429))*(Rules!$A$5:$A$204&lt;&gt;"")*(1000-ROW(Rules!$A$5:$A$204)))),""))</f>
        <v/>
      </c>
    </row>
    <row r="430" customFormat="false" ht="15" hidden="false" customHeight="false" outlineLevel="0" collapsed="false">
      <c r="A430" s="23"/>
      <c r="B430" s="24"/>
      <c r="C430" s="25"/>
      <c r="D430" s="24"/>
      <c r="E430" s="21" t="str">
        <f aca="false">IF(OR(B430="",N(N430)=0,N430=1000),IF(B430="","","Check"),INDEX(Rules!$B:$B,N430))</f>
        <v/>
      </c>
      <c r="F430" s="21" t="str">
        <f aca="false">IF(OR(B430="",N(N430)=0,N430=1000),"",INDEX(Rules!$C:$C,N430))</f>
        <v/>
      </c>
      <c r="G430" s="24"/>
      <c r="H430" s="24"/>
      <c r="I430" s="20" t="str">
        <f aca="false">IF(B430="","",IF(G430&lt;&gt;"",G430,E430))</f>
        <v/>
      </c>
      <c r="J430" s="21" t="str">
        <f aca="false">IF(B430="","",IF(H430&lt;&gt;"",H430,F430))</f>
        <v/>
      </c>
      <c r="K430" s="26" t="str">
        <f aca="false">IF(A430="","",DATE(YEAR(A430),MONTH(A430),1))</f>
        <v/>
      </c>
      <c r="L430" s="21" t="str">
        <f aca="false">IF(J430="",IF(B430="","",IF(N(C430)&gt;=0,"Income","Expense")),IFERROR(INDEX(Lists!$B$2:$B$30,MATCH(J430,Lists!$A$2:$A$30,0)),""))</f>
        <v/>
      </c>
      <c r="M430" s="24"/>
      <c r="N430" s="27" t="str">
        <f aca="false">IF(B430="","",IFERROR(1000-SUMPRODUCT(MAX(ISNUMBER(SEARCH(Rules!$A$5:$A$204,B430))*(Rules!$A$5:$A$204&lt;&gt;"")*(1000-ROW(Rules!$A$5:$A$204)))),""))</f>
        <v/>
      </c>
    </row>
    <row r="431" customFormat="false" ht="15" hidden="false" customHeight="false" outlineLevel="0" collapsed="false">
      <c r="A431" s="23"/>
      <c r="B431" s="24"/>
      <c r="C431" s="25"/>
      <c r="D431" s="24"/>
      <c r="E431" s="21" t="str">
        <f aca="false">IF(OR(B431="",N(N431)=0,N431=1000),IF(B431="","","Check"),INDEX(Rules!$B:$B,N431))</f>
        <v/>
      </c>
      <c r="F431" s="21" t="str">
        <f aca="false">IF(OR(B431="",N(N431)=0,N431=1000),"",INDEX(Rules!$C:$C,N431))</f>
        <v/>
      </c>
      <c r="G431" s="24"/>
      <c r="H431" s="24"/>
      <c r="I431" s="20" t="str">
        <f aca="false">IF(B431="","",IF(G431&lt;&gt;"",G431,E431))</f>
        <v/>
      </c>
      <c r="J431" s="21" t="str">
        <f aca="false">IF(B431="","",IF(H431&lt;&gt;"",H431,F431))</f>
        <v/>
      </c>
      <c r="K431" s="26" t="str">
        <f aca="false">IF(A431="","",DATE(YEAR(A431),MONTH(A431),1))</f>
        <v/>
      </c>
      <c r="L431" s="21" t="str">
        <f aca="false">IF(J431="",IF(B431="","",IF(N(C431)&gt;=0,"Income","Expense")),IFERROR(INDEX(Lists!$B$2:$B$30,MATCH(J431,Lists!$A$2:$A$30,0)),""))</f>
        <v/>
      </c>
      <c r="M431" s="24"/>
      <c r="N431" s="27" t="str">
        <f aca="false">IF(B431="","",IFERROR(1000-SUMPRODUCT(MAX(ISNUMBER(SEARCH(Rules!$A$5:$A$204,B431))*(Rules!$A$5:$A$204&lt;&gt;"")*(1000-ROW(Rules!$A$5:$A$204)))),""))</f>
        <v/>
      </c>
    </row>
    <row r="432" customFormat="false" ht="15" hidden="false" customHeight="false" outlineLevel="0" collapsed="false">
      <c r="A432" s="23"/>
      <c r="B432" s="24"/>
      <c r="C432" s="25"/>
      <c r="D432" s="24"/>
      <c r="E432" s="21" t="str">
        <f aca="false">IF(OR(B432="",N(N432)=0,N432=1000),IF(B432="","","Check"),INDEX(Rules!$B:$B,N432))</f>
        <v/>
      </c>
      <c r="F432" s="21" t="str">
        <f aca="false">IF(OR(B432="",N(N432)=0,N432=1000),"",INDEX(Rules!$C:$C,N432))</f>
        <v/>
      </c>
      <c r="G432" s="24"/>
      <c r="H432" s="24"/>
      <c r="I432" s="20" t="str">
        <f aca="false">IF(B432="","",IF(G432&lt;&gt;"",G432,E432))</f>
        <v/>
      </c>
      <c r="J432" s="21" t="str">
        <f aca="false">IF(B432="","",IF(H432&lt;&gt;"",H432,F432))</f>
        <v/>
      </c>
      <c r="K432" s="26" t="str">
        <f aca="false">IF(A432="","",DATE(YEAR(A432),MONTH(A432),1))</f>
        <v/>
      </c>
      <c r="L432" s="21" t="str">
        <f aca="false">IF(J432="",IF(B432="","",IF(N(C432)&gt;=0,"Income","Expense")),IFERROR(INDEX(Lists!$B$2:$B$30,MATCH(J432,Lists!$A$2:$A$30,0)),""))</f>
        <v/>
      </c>
      <c r="M432" s="24"/>
      <c r="N432" s="27" t="str">
        <f aca="false">IF(B432="","",IFERROR(1000-SUMPRODUCT(MAX(ISNUMBER(SEARCH(Rules!$A$5:$A$204,B432))*(Rules!$A$5:$A$204&lt;&gt;"")*(1000-ROW(Rules!$A$5:$A$204)))),""))</f>
        <v/>
      </c>
    </row>
    <row r="433" customFormat="false" ht="15" hidden="false" customHeight="false" outlineLevel="0" collapsed="false">
      <c r="A433" s="23"/>
      <c r="B433" s="24"/>
      <c r="C433" s="25"/>
      <c r="D433" s="24"/>
      <c r="E433" s="21" t="str">
        <f aca="false">IF(OR(B433="",N(N433)=0,N433=1000),IF(B433="","","Check"),INDEX(Rules!$B:$B,N433))</f>
        <v/>
      </c>
      <c r="F433" s="21" t="str">
        <f aca="false">IF(OR(B433="",N(N433)=0,N433=1000),"",INDEX(Rules!$C:$C,N433))</f>
        <v/>
      </c>
      <c r="G433" s="24"/>
      <c r="H433" s="24"/>
      <c r="I433" s="20" t="str">
        <f aca="false">IF(B433="","",IF(G433&lt;&gt;"",G433,E433))</f>
        <v/>
      </c>
      <c r="J433" s="21" t="str">
        <f aca="false">IF(B433="","",IF(H433&lt;&gt;"",H433,F433))</f>
        <v/>
      </c>
      <c r="K433" s="26" t="str">
        <f aca="false">IF(A433="","",DATE(YEAR(A433),MONTH(A433),1))</f>
        <v/>
      </c>
      <c r="L433" s="21" t="str">
        <f aca="false">IF(J433="",IF(B433="","",IF(N(C433)&gt;=0,"Income","Expense")),IFERROR(INDEX(Lists!$B$2:$B$30,MATCH(J433,Lists!$A$2:$A$30,0)),""))</f>
        <v/>
      </c>
      <c r="M433" s="24"/>
      <c r="N433" s="27" t="str">
        <f aca="false">IF(B433="","",IFERROR(1000-SUMPRODUCT(MAX(ISNUMBER(SEARCH(Rules!$A$5:$A$204,B433))*(Rules!$A$5:$A$204&lt;&gt;"")*(1000-ROW(Rules!$A$5:$A$204)))),""))</f>
        <v/>
      </c>
    </row>
    <row r="434" customFormat="false" ht="15" hidden="false" customHeight="false" outlineLevel="0" collapsed="false">
      <c r="A434" s="23"/>
      <c r="B434" s="24"/>
      <c r="C434" s="25"/>
      <c r="D434" s="24"/>
      <c r="E434" s="21" t="str">
        <f aca="false">IF(OR(B434="",N(N434)=0,N434=1000),IF(B434="","","Check"),INDEX(Rules!$B:$B,N434))</f>
        <v/>
      </c>
      <c r="F434" s="21" t="str">
        <f aca="false">IF(OR(B434="",N(N434)=0,N434=1000),"",INDEX(Rules!$C:$C,N434))</f>
        <v/>
      </c>
      <c r="G434" s="24"/>
      <c r="H434" s="24"/>
      <c r="I434" s="20" t="str">
        <f aca="false">IF(B434="","",IF(G434&lt;&gt;"",G434,E434))</f>
        <v/>
      </c>
      <c r="J434" s="21" t="str">
        <f aca="false">IF(B434="","",IF(H434&lt;&gt;"",H434,F434))</f>
        <v/>
      </c>
      <c r="K434" s="26" t="str">
        <f aca="false">IF(A434="","",DATE(YEAR(A434),MONTH(A434),1))</f>
        <v/>
      </c>
      <c r="L434" s="21" t="str">
        <f aca="false">IF(J434="",IF(B434="","",IF(N(C434)&gt;=0,"Income","Expense")),IFERROR(INDEX(Lists!$B$2:$B$30,MATCH(J434,Lists!$A$2:$A$30,0)),""))</f>
        <v/>
      </c>
      <c r="M434" s="24"/>
      <c r="N434" s="27" t="str">
        <f aca="false">IF(B434="","",IFERROR(1000-SUMPRODUCT(MAX(ISNUMBER(SEARCH(Rules!$A$5:$A$204,B434))*(Rules!$A$5:$A$204&lt;&gt;"")*(1000-ROW(Rules!$A$5:$A$204)))),""))</f>
        <v/>
      </c>
    </row>
    <row r="435" customFormat="false" ht="15" hidden="false" customHeight="false" outlineLevel="0" collapsed="false">
      <c r="A435" s="23"/>
      <c r="B435" s="24"/>
      <c r="C435" s="25"/>
      <c r="D435" s="24"/>
      <c r="E435" s="21" t="str">
        <f aca="false">IF(OR(B435="",N(N435)=0,N435=1000),IF(B435="","","Check"),INDEX(Rules!$B:$B,N435))</f>
        <v/>
      </c>
      <c r="F435" s="21" t="str">
        <f aca="false">IF(OR(B435="",N(N435)=0,N435=1000),"",INDEX(Rules!$C:$C,N435))</f>
        <v/>
      </c>
      <c r="G435" s="24"/>
      <c r="H435" s="24"/>
      <c r="I435" s="20" t="str">
        <f aca="false">IF(B435="","",IF(G435&lt;&gt;"",G435,E435))</f>
        <v/>
      </c>
      <c r="J435" s="21" t="str">
        <f aca="false">IF(B435="","",IF(H435&lt;&gt;"",H435,F435))</f>
        <v/>
      </c>
      <c r="K435" s="26" t="str">
        <f aca="false">IF(A435="","",DATE(YEAR(A435),MONTH(A435),1))</f>
        <v/>
      </c>
      <c r="L435" s="21" t="str">
        <f aca="false">IF(J435="",IF(B435="","",IF(N(C435)&gt;=0,"Income","Expense")),IFERROR(INDEX(Lists!$B$2:$B$30,MATCH(J435,Lists!$A$2:$A$30,0)),""))</f>
        <v/>
      </c>
      <c r="M435" s="24"/>
      <c r="N435" s="27" t="str">
        <f aca="false">IF(B435="","",IFERROR(1000-SUMPRODUCT(MAX(ISNUMBER(SEARCH(Rules!$A$5:$A$204,B435))*(Rules!$A$5:$A$204&lt;&gt;"")*(1000-ROW(Rules!$A$5:$A$204)))),""))</f>
        <v/>
      </c>
    </row>
    <row r="436" customFormat="false" ht="15" hidden="false" customHeight="false" outlineLevel="0" collapsed="false">
      <c r="A436" s="23"/>
      <c r="B436" s="24"/>
      <c r="C436" s="25"/>
      <c r="D436" s="24"/>
      <c r="E436" s="21" t="str">
        <f aca="false">IF(OR(B436="",N(N436)=0,N436=1000),IF(B436="","","Check"),INDEX(Rules!$B:$B,N436))</f>
        <v/>
      </c>
      <c r="F436" s="21" t="str">
        <f aca="false">IF(OR(B436="",N(N436)=0,N436=1000),"",INDEX(Rules!$C:$C,N436))</f>
        <v/>
      </c>
      <c r="G436" s="24"/>
      <c r="H436" s="24"/>
      <c r="I436" s="20" t="str">
        <f aca="false">IF(B436="","",IF(G436&lt;&gt;"",G436,E436))</f>
        <v/>
      </c>
      <c r="J436" s="21" t="str">
        <f aca="false">IF(B436="","",IF(H436&lt;&gt;"",H436,F436))</f>
        <v/>
      </c>
      <c r="K436" s="26" t="str">
        <f aca="false">IF(A436="","",DATE(YEAR(A436),MONTH(A436),1))</f>
        <v/>
      </c>
      <c r="L436" s="21" t="str">
        <f aca="false">IF(J436="",IF(B436="","",IF(N(C436)&gt;=0,"Income","Expense")),IFERROR(INDEX(Lists!$B$2:$B$30,MATCH(J436,Lists!$A$2:$A$30,0)),""))</f>
        <v/>
      </c>
      <c r="M436" s="24"/>
      <c r="N436" s="27" t="str">
        <f aca="false">IF(B436="","",IFERROR(1000-SUMPRODUCT(MAX(ISNUMBER(SEARCH(Rules!$A$5:$A$204,B436))*(Rules!$A$5:$A$204&lt;&gt;"")*(1000-ROW(Rules!$A$5:$A$204)))),""))</f>
        <v/>
      </c>
    </row>
    <row r="437" customFormat="false" ht="15" hidden="false" customHeight="false" outlineLevel="0" collapsed="false">
      <c r="A437" s="23"/>
      <c r="B437" s="24"/>
      <c r="C437" s="25"/>
      <c r="D437" s="24"/>
      <c r="E437" s="21" t="str">
        <f aca="false">IF(OR(B437="",N(N437)=0,N437=1000),IF(B437="","","Check"),INDEX(Rules!$B:$B,N437))</f>
        <v/>
      </c>
      <c r="F437" s="21" t="str">
        <f aca="false">IF(OR(B437="",N(N437)=0,N437=1000),"",INDEX(Rules!$C:$C,N437))</f>
        <v/>
      </c>
      <c r="G437" s="24"/>
      <c r="H437" s="24"/>
      <c r="I437" s="20" t="str">
        <f aca="false">IF(B437="","",IF(G437&lt;&gt;"",G437,E437))</f>
        <v/>
      </c>
      <c r="J437" s="21" t="str">
        <f aca="false">IF(B437="","",IF(H437&lt;&gt;"",H437,F437))</f>
        <v/>
      </c>
      <c r="K437" s="26" t="str">
        <f aca="false">IF(A437="","",DATE(YEAR(A437),MONTH(A437),1))</f>
        <v/>
      </c>
      <c r="L437" s="21" t="str">
        <f aca="false">IF(J437="",IF(B437="","",IF(N(C437)&gt;=0,"Income","Expense")),IFERROR(INDEX(Lists!$B$2:$B$30,MATCH(J437,Lists!$A$2:$A$30,0)),""))</f>
        <v/>
      </c>
      <c r="M437" s="24"/>
      <c r="N437" s="27" t="str">
        <f aca="false">IF(B437="","",IFERROR(1000-SUMPRODUCT(MAX(ISNUMBER(SEARCH(Rules!$A$5:$A$204,B437))*(Rules!$A$5:$A$204&lt;&gt;"")*(1000-ROW(Rules!$A$5:$A$204)))),""))</f>
        <v/>
      </c>
    </row>
    <row r="438" customFormat="false" ht="15" hidden="false" customHeight="false" outlineLevel="0" collapsed="false">
      <c r="A438" s="23"/>
      <c r="B438" s="24"/>
      <c r="C438" s="25"/>
      <c r="D438" s="24"/>
      <c r="E438" s="21" t="str">
        <f aca="false">IF(OR(B438="",N(N438)=0,N438=1000),IF(B438="","","Check"),INDEX(Rules!$B:$B,N438))</f>
        <v/>
      </c>
      <c r="F438" s="21" t="str">
        <f aca="false">IF(OR(B438="",N(N438)=0,N438=1000),"",INDEX(Rules!$C:$C,N438))</f>
        <v/>
      </c>
      <c r="G438" s="24"/>
      <c r="H438" s="24"/>
      <c r="I438" s="20" t="str">
        <f aca="false">IF(B438="","",IF(G438&lt;&gt;"",G438,E438))</f>
        <v/>
      </c>
      <c r="J438" s="21" t="str">
        <f aca="false">IF(B438="","",IF(H438&lt;&gt;"",H438,F438))</f>
        <v/>
      </c>
      <c r="K438" s="26" t="str">
        <f aca="false">IF(A438="","",DATE(YEAR(A438),MONTH(A438),1))</f>
        <v/>
      </c>
      <c r="L438" s="21" t="str">
        <f aca="false">IF(J438="",IF(B438="","",IF(N(C438)&gt;=0,"Income","Expense")),IFERROR(INDEX(Lists!$B$2:$B$30,MATCH(J438,Lists!$A$2:$A$30,0)),""))</f>
        <v/>
      </c>
      <c r="M438" s="24"/>
      <c r="N438" s="27" t="str">
        <f aca="false">IF(B438="","",IFERROR(1000-SUMPRODUCT(MAX(ISNUMBER(SEARCH(Rules!$A$5:$A$204,B438))*(Rules!$A$5:$A$204&lt;&gt;"")*(1000-ROW(Rules!$A$5:$A$204)))),""))</f>
        <v/>
      </c>
    </row>
    <row r="439" customFormat="false" ht="15" hidden="false" customHeight="false" outlineLevel="0" collapsed="false">
      <c r="A439" s="23"/>
      <c r="B439" s="24"/>
      <c r="C439" s="25"/>
      <c r="D439" s="24"/>
      <c r="E439" s="21" t="str">
        <f aca="false">IF(OR(B439="",N(N439)=0,N439=1000),IF(B439="","","Check"),INDEX(Rules!$B:$B,N439))</f>
        <v/>
      </c>
      <c r="F439" s="21" t="str">
        <f aca="false">IF(OR(B439="",N(N439)=0,N439=1000),"",INDEX(Rules!$C:$C,N439))</f>
        <v/>
      </c>
      <c r="G439" s="24"/>
      <c r="H439" s="24"/>
      <c r="I439" s="20" t="str">
        <f aca="false">IF(B439="","",IF(G439&lt;&gt;"",G439,E439))</f>
        <v/>
      </c>
      <c r="J439" s="21" t="str">
        <f aca="false">IF(B439="","",IF(H439&lt;&gt;"",H439,F439))</f>
        <v/>
      </c>
      <c r="K439" s="26" t="str">
        <f aca="false">IF(A439="","",DATE(YEAR(A439),MONTH(A439),1))</f>
        <v/>
      </c>
      <c r="L439" s="21" t="str">
        <f aca="false">IF(J439="",IF(B439="","",IF(N(C439)&gt;=0,"Income","Expense")),IFERROR(INDEX(Lists!$B$2:$B$30,MATCH(J439,Lists!$A$2:$A$30,0)),""))</f>
        <v/>
      </c>
      <c r="M439" s="24"/>
      <c r="N439" s="27" t="str">
        <f aca="false">IF(B439="","",IFERROR(1000-SUMPRODUCT(MAX(ISNUMBER(SEARCH(Rules!$A$5:$A$204,B439))*(Rules!$A$5:$A$204&lt;&gt;"")*(1000-ROW(Rules!$A$5:$A$204)))),""))</f>
        <v/>
      </c>
    </row>
    <row r="440" customFormat="false" ht="15" hidden="false" customHeight="false" outlineLevel="0" collapsed="false">
      <c r="A440" s="23"/>
      <c r="B440" s="24"/>
      <c r="C440" s="25"/>
      <c r="D440" s="24"/>
      <c r="E440" s="21" t="str">
        <f aca="false">IF(OR(B440="",N(N440)=0,N440=1000),IF(B440="","","Check"),INDEX(Rules!$B:$B,N440))</f>
        <v/>
      </c>
      <c r="F440" s="21" t="str">
        <f aca="false">IF(OR(B440="",N(N440)=0,N440=1000),"",INDEX(Rules!$C:$C,N440))</f>
        <v/>
      </c>
      <c r="G440" s="24"/>
      <c r="H440" s="24"/>
      <c r="I440" s="20" t="str">
        <f aca="false">IF(B440="","",IF(G440&lt;&gt;"",G440,E440))</f>
        <v/>
      </c>
      <c r="J440" s="21" t="str">
        <f aca="false">IF(B440="","",IF(H440&lt;&gt;"",H440,F440))</f>
        <v/>
      </c>
      <c r="K440" s="26" t="str">
        <f aca="false">IF(A440="","",DATE(YEAR(A440),MONTH(A440),1))</f>
        <v/>
      </c>
      <c r="L440" s="21" t="str">
        <f aca="false">IF(J440="",IF(B440="","",IF(N(C440)&gt;=0,"Income","Expense")),IFERROR(INDEX(Lists!$B$2:$B$30,MATCH(J440,Lists!$A$2:$A$30,0)),""))</f>
        <v/>
      </c>
      <c r="M440" s="24"/>
      <c r="N440" s="27" t="str">
        <f aca="false">IF(B440="","",IFERROR(1000-SUMPRODUCT(MAX(ISNUMBER(SEARCH(Rules!$A$5:$A$204,B440))*(Rules!$A$5:$A$204&lt;&gt;"")*(1000-ROW(Rules!$A$5:$A$204)))),""))</f>
        <v/>
      </c>
    </row>
    <row r="441" customFormat="false" ht="15" hidden="false" customHeight="false" outlineLevel="0" collapsed="false">
      <c r="A441" s="23"/>
      <c r="B441" s="24"/>
      <c r="C441" s="25"/>
      <c r="D441" s="24"/>
      <c r="E441" s="21" t="str">
        <f aca="false">IF(OR(B441="",N(N441)=0,N441=1000),IF(B441="","","Check"),INDEX(Rules!$B:$B,N441))</f>
        <v/>
      </c>
      <c r="F441" s="21" t="str">
        <f aca="false">IF(OR(B441="",N(N441)=0,N441=1000),"",INDEX(Rules!$C:$C,N441))</f>
        <v/>
      </c>
      <c r="G441" s="24"/>
      <c r="H441" s="24"/>
      <c r="I441" s="20" t="str">
        <f aca="false">IF(B441="","",IF(G441&lt;&gt;"",G441,E441))</f>
        <v/>
      </c>
      <c r="J441" s="21" t="str">
        <f aca="false">IF(B441="","",IF(H441&lt;&gt;"",H441,F441))</f>
        <v/>
      </c>
      <c r="K441" s="26" t="str">
        <f aca="false">IF(A441="","",DATE(YEAR(A441),MONTH(A441),1))</f>
        <v/>
      </c>
      <c r="L441" s="21" t="str">
        <f aca="false">IF(J441="",IF(B441="","",IF(N(C441)&gt;=0,"Income","Expense")),IFERROR(INDEX(Lists!$B$2:$B$30,MATCH(J441,Lists!$A$2:$A$30,0)),""))</f>
        <v/>
      </c>
      <c r="M441" s="24"/>
      <c r="N441" s="27" t="str">
        <f aca="false">IF(B441="","",IFERROR(1000-SUMPRODUCT(MAX(ISNUMBER(SEARCH(Rules!$A$5:$A$204,B441))*(Rules!$A$5:$A$204&lt;&gt;"")*(1000-ROW(Rules!$A$5:$A$204)))),""))</f>
        <v/>
      </c>
    </row>
    <row r="442" customFormat="false" ht="15" hidden="false" customHeight="false" outlineLevel="0" collapsed="false">
      <c r="A442" s="23"/>
      <c r="B442" s="24"/>
      <c r="C442" s="25"/>
      <c r="D442" s="24"/>
      <c r="E442" s="21" t="str">
        <f aca="false">IF(OR(B442="",N(N442)=0,N442=1000),IF(B442="","","Check"),INDEX(Rules!$B:$B,N442))</f>
        <v/>
      </c>
      <c r="F442" s="21" t="str">
        <f aca="false">IF(OR(B442="",N(N442)=0,N442=1000),"",INDEX(Rules!$C:$C,N442))</f>
        <v/>
      </c>
      <c r="G442" s="24"/>
      <c r="H442" s="24"/>
      <c r="I442" s="20" t="str">
        <f aca="false">IF(B442="","",IF(G442&lt;&gt;"",G442,E442))</f>
        <v/>
      </c>
      <c r="J442" s="21" t="str">
        <f aca="false">IF(B442="","",IF(H442&lt;&gt;"",H442,F442))</f>
        <v/>
      </c>
      <c r="K442" s="26" t="str">
        <f aca="false">IF(A442="","",DATE(YEAR(A442),MONTH(A442),1))</f>
        <v/>
      </c>
      <c r="L442" s="21" t="str">
        <f aca="false">IF(J442="",IF(B442="","",IF(N(C442)&gt;=0,"Income","Expense")),IFERROR(INDEX(Lists!$B$2:$B$30,MATCH(J442,Lists!$A$2:$A$30,0)),""))</f>
        <v/>
      </c>
      <c r="M442" s="24"/>
      <c r="N442" s="27" t="str">
        <f aca="false">IF(B442="","",IFERROR(1000-SUMPRODUCT(MAX(ISNUMBER(SEARCH(Rules!$A$5:$A$204,B442))*(Rules!$A$5:$A$204&lt;&gt;"")*(1000-ROW(Rules!$A$5:$A$204)))),""))</f>
        <v/>
      </c>
    </row>
    <row r="443" customFormat="false" ht="15" hidden="false" customHeight="false" outlineLevel="0" collapsed="false">
      <c r="A443" s="23"/>
      <c r="B443" s="24"/>
      <c r="C443" s="25"/>
      <c r="D443" s="24"/>
      <c r="E443" s="21" t="str">
        <f aca="false">IF(OR(B443="",N(N443)=0,N443=1000),IF(B443="","","Check"),INDEX(Rules!$B:$B,N443))</f>
        <v/>
      </c>
      <c r="F443" s="21" t="str">
        <f aca="false">IF(OR(B443="",N(N443)=0,N443=1000),"",INDEX(Rules!$C:$C,N443))</f>
        <v/>
      </c>
      <c r="G443" s="24"/>
      <c r="H443" s="24"/>
      <c r="I443" s="20" t="str">
        <f aca="false">IF(B443="","",IF(G443&lt;&gt;"",G443,E443))</f>
        <v/>
      </c>
      <c r="J443" s="21" t="str">
        <f aca="false">IF(B443="","",IF(H443&lt;&gt;"",H443,F443))</f>
        <v/>
      </c>
      <c r="K443" s="26" t="str">
        <f aca="false">IF(A443="","",DATE(YEAR(A443),MONTH(A443),1))</f>
        <v/>
      </c>
      <c r="L443" s="21" t="str">
        <f aca="false">IF(J443="",IF(B443="","",IF(N(C443)&gt;=0,"Income","Expense")),IFERROR(INDEX(Lists!$B$2:$B$30,MATCH(J443,Lists!$A$2:$A$30,0)),""))</f>
        <v/>
      </c>
      <c r="M443" s="24"/>
      <c r="N443" s="27" t="str">
        <f aca="false">IF(B443="","",IFERROR(1000-SUMPRODUCT(MAX(ISNUMBER(SEARCH(Rules!$A$5:$A$204,B443))*(Rules!$A$5:$A$204&lt;&gt;"")*(1000-ROW(Rules!$A$5:$A$204)))),""))</f>
        <v/>
      </c>
    </row>
    <row r="444" customFormat="false" ht="15" hidden="false" customHeight="false" outlineLevel="0" collapsed="false">
      <c r="A444" s="23"/>
      <c r="B444" s="24"/>
      <c r="C444" s="25"/>
      <c r="D444" s="24"/>
      <c r="E444" s="21" t="str">
        <f aca="false">IF(OR(B444="",N(N444)=0,N444=1000),IF(B444="","","Check"),INDEX(Rules!$B:$B,N444))</f>
        <v/>
      </c>
      <c r="F444" s="21" t="str">
        <f aca="false">IF(OR(B444="",N(N444)=0,N444=1000),"",INDEX(Rules!$C:$C,N444))</f>
        <v/>
      </c>
      <c r="G444" s="24"/>
      <c r="H444" s="24"/>
      <c r="I444" s="20" t="str">
        <f aca="false">IF(B444="","",IF(G444&lt;&gt;"",G444,E444))</f>
        <v/>
      </c>
      <c r="J444" s="21" t="str">
        <f aca="false">IF(B444="","",IF(H444&lt;&gt;"",H444,F444))</f>
        <v/>
      </c>
      <c r="K444" s="26" t="str">
        <f aca="false">IF(A444="","",DATE(YEAR(A444),MONTH(A444),1))</f>
        <v/>
      </c>
      <c r="L444" s="21" t="str">
        <f aca="false">IF(J444="",IF(B444="","",IF(N(C444)&gt;=0,"Income","Expense")),IFERROR(INDEX(Lists!$B$2:$B$30,MATCH(J444,Lists!$A$2:$A$30,0)),""))</f>
        <v/>
      </c>
      <c r="M444" s="24"/>
      <c r="N444" s="27" t="str">
        <f aca="false">IF(B444="","",IFERROR(1000-SUMPRODUCT(MAX(ISNUMBER(SEARCH(Rules!$A$5:$A$204,B444))*(Rules!$A$5:$A$204&lt;&gt;"")*(1000-ROW(Rules!$A$5:$A$204)))),""))</f>
        <v/>
      </c>
    </row>
    <row r="445" customFormat="false" ht="15" hidden="false" customHeight="false" outlineLevel="0" collapsed="false">
      <c r="A445" s="23"/>
      <c r="B445" s="24"/>
      <c r="C445" s="25"/>
      <c r="D445" s="24"/>
      <c r="E445" s="21" t="str">
        <f aca="false">IF(OR(B445="",N(N445)=0,N445=1000),IF(B445="","","Check"),INDEX(Rules!$B:$B,N445))</f>
        <v/>
      </c>
      <c r="F445" s="21" t="str">
        <f aca="false">IF(OR(B445="",N(N445)=0,N445=1000),"",INDEX(Rules!$C:$C,N445))</f>
        <v/>
      </c>
      <c r="G445" s="24"/>
      <c r="H445" s="24"/>
      <c r="I445" s="20" t="str">
        <f aca="false">IF(B445="","",IF(G445&lt;&gt;"",G445,E445))</f>
        <v/>
      </c>
      <c r="J445" s="21" t="str">
        <f aca="false">IF(B445="","",IF(H445&lt;&gt;"",H445,F445))</f>
        <v/>
      </c>
      <c r="K445" s="26" t="str">
        <f aca="false">IF(A445="","",DATE(YEAR(A445),MONTH(A445),1))</f>
        <v/>
      </c>
      <c r="L445" s="21" t="str">
        <f aca="false">IF(J445="",IF(B445="","",IF(N(C445)&gt;=0,"Income","Expense")),IFERROR(INDEX(Lists!$B$2:$B$30,MATCH(J445,Lists!$A$2:$A$30,0)),""))</f>
        <v/>
      </c>
      <c r="M445" s="24"/>
      <c r="N445" s="27" t="str">
        <f aca="false">IF(B445="","",IFERROR(1000-SUMPRODUCT(MAX(ISNUMBER(SEARCH(Rules!$A$5:$A$204,B445))*(Rules!$A$5:$A$204&lt;&gt;"")*(1000-ROW(Rules!$A$5:$A$204)))),""))</f>
        <v/>
      </c>
    </row>
    <row r="446" customFormat="false" ht="15" hidden="false" customHeight="false" outlineLevel="0" collapsed="false">
      <c r="A446" s="23"/>
      <c r="B446" s="24"/>
      <c r="C446" s="25"/>
      <c r="D446" s="24"/>
      <c r="E446" s="21" t="str">
        <f aca="false">IF(OR(B446="",N(N446)=0,N446=1000),IF(B446="","","Check"),INDEX(Rules!$B:$B,N446))</f>
        <v/>
      </c>
      <c r="F446" s="21" t="str">
        <f aca="false">IF(OR(B446="",N(N446)=0,N446=1000),"",INDEX(Rules!$C:$C,N446))</f>
        <v/>
      </c>
      <c r="G446" s="24"/>
      <c r="H446" s="24"/>
      <c r="I446" s="20" t="str">
        <f aca="false">IF(B446="","",IF(G446&lt;&gt;"",G446,E446))</f>
        <v/>
      </c>
      <c r="J446" s="21" t="str">
        <f aca="false">IF(B446="","",IF(H446&lt;&gt;"",H446,F446))</f>
        <v/>
      </c>
      <c r="K446" s="26" t="str">
        <f aca="false">IF(A446="","",DATE(YEAR(A446),MONTH(A446),1))</f>
        <v/>
      </c>
      <c r="L446" s="21" t="str">
        <f aca="false">IF(J446="",IF(B446="","",IF(N(C446)&gt;=0,"Income","Expense")),IFERROR(INDEX(Lists!$B$2:$B$30,MATCH(J446,Lists!$A$2:$A$30,0)),""))</f>
        <v/>
      </c>
      <c r="M446" s="24"/>
      <c r="N446" s="27" t="str">
        <f aca="false">IF(B446="","",IFERROR(1000-SUMPRODUCT(MAX(ISNUMBER(SEARCH(Rules!$A$5:$A$204,B446))*(Rules!$A$5:$A$204&lt;&gt;"")*(1000-ROW(Rules!$A$5:$A$204)))),""))</f>
        <v/>
      </c>
    </row>
    <row r="447" customFormat="false" ht="15" hidden="false" customHeight="false" outlineLevel="0" collapsed="false">
      <c r="A447" s="23"/>
      <c r="B447" s="24"/>
      <c r="C447" s="25"/>
      <c r="D447" s="24"/>
      <c r="E447" s="21" t="str">
        <f aca="false">IF(OR(B447="",N(N447)=0,N447=1000),IF(B447="","","Check"),INDEX(Rules!$B:$B,N447))</f>
        <v/>
      </c>
      <c r="F447" s="21" t="str">
        <f aca="false">IF(OR(B447="",N(N447)=0,N447=1000),"",INDEX(Rules!$C:$C,N447))</f>
        <v/>
      </c>
      <c r="G447" s="24"/>
      <c r="H447" s="24"/>
      <c r="I447" s="20" t="str">
        <f aca="false">IF(B447="","",IF(G447&lt;&gt;"",G447,E447))</f>
        <v/>
      </c>
      <c r="J447" s="21" t="str">
        <f aca="false">IF(B447="","",IF(H447&lt;&gt;"",H447,F447))</f>
        <v/>
      </c>
      <c r="K447" s="26" t="str">
        <f aca="false">IF(A447="","",DATE(YEAR(A447),MONTH(A447),1))</f>
        <v/>
      </c>
      <c r="L447" s="21" t="str">
        <f aca="false">IF(J447="",IF(B447="","",IF(N(C447)&gt;=0,"Income","Expense")),IFERROR(INDEX(Lists!$B$2:$B$30,MATCH(J447,Lists!$A$2:$A$30,0)),""))</f>
        <v/>
      </c>
      <c r="M447" s="24"/>
      <c r="N447" s="27" t="str">
        <f aca="false">IF(B447="","",IFERROR(1000-SUMPRODUCT(MAX(ISNUMBER(SEARCH(Rules!$A$5:$A$204,B447))*(Rules!$A$5:$A$204&lt;&gt;"")*(1000-ROW(Rules!$A$5:$A$204)))),""))</f>
        <v/>
      </c>
    </row>
    <row r="448" customFormat="false" ht="15" hidden="false" customHeight="false" outlineLevel="0" collapsed="false">
      <c r="A448" s="23"/>
      <c r="B448" s="24"/>
      <c r="C448" s="25"/>
      <c r="D448" s="24"/>
      <c r="E448" s="21" t="str">
        <f aca="false">IF(OR(B448="",N(N448)=0,N448=1000),IF(B448="","","Check"),INDEX(Rules!$B:$B,N448))</f>
        <v/>
      </c>
      <c r="F448" s="21" t="str">
        <f aca="false">IF(OR(B448="",N(N448)=0,N448=1000),"",INDEX(Rules!$C:$C,N448))</f>
        <v/>
      </c>
      <c r="G448" s="24"/>
      <c r="H448" s="24"/>
      <c r="I448" s="20" t="str">
        <f aca="false">IF(B448="","",IF(G448&lt;&gt;"",G448,E448))</f>
        <v/>
      </c>
      <c r="J448" s="21" t="str">
        <f aca="false">IF(B448="","",IF(H448&lt;&gt;"",H448,F448))</f>
        <v/>
      </c>
      <c r="K448" s="26" t="str">
        <f aca="false">IF(A448="","",DATE(YEAR(A448),MONTH(A448),1))</f>
        <v/>
      </c>
      <c r="L448" s="21" t="str">
        <f aca="false">IF(J448="",IF(B448="","",IF(N(C448)&gt;=0,"Income","Expense")),IFERROR(INDEX(Lists!$B$2:$B$30,MATCH(J448,Lists!$A$2:$A$30,0)),""))</f>
        <v/>
      </c>
      <c r="M448" s="24"/>
      <c r="N448" s="27" t="str">
        <f aca="false">IF(B448="","",IFERROR(1000-SUMPRODUCT(MAX(ISNUMBER(SEARCH(Rules!$A$5:$A$204,B448))*(Rules!$A$5:$A$204&lt;&gt;"")*(1000-ROW(Rules!$A$5:$A$204)))),""))</f>
        <v/>
      </c>
    </row>
    <row r="449" customFormat="false" ht="15" hidden="false" customHeight="false" outlineLevel="0" collapsed="false">
      <c r="A449" s="23"/>
      <c r="B449" s="24"/>
      <c r="C449" s="25"/>
      <c r="D449" s="24"/>
      <c r="E449" s="21" t="str">
        <f aca="false">IF(OR(B449="",N(N449)=0,N449=1000),IF(B449="","","Check"),INDEX(Rules!$B:$B,N449))</f>
        <v/>
      </c>
      <c r="F449" s="21" t="str">
        <f aca="false">IF(OR(B449="",N(N449)=0,N449=1000),"",INDEX(Rules!$C:$C,N449))</f>
        <v/>
      </c>
      <c r="G449" s="24"/>
      <c r="H449" s="24"/>
      <c r="I449" s="20" t="str">
        <f aca="false">IF(B449="","",IF(G449&lt;&gt;"",G449,E449))</f>
        <v/>
      </c>
      <c r="J449" s="21" t="str">
        <f aca="false">IF(B449="","",IF(H449&lt;&gt;"",H449,F449))</f>
        <v/>
      </c>
      <c r="K449" s="26" t="str">
        <f aca="false">IF(A449="","",DATE(YEAR(A449),MONTH(A449),1))</f>
        <v/>
      </c>
      <c r="L449" s="21" t="str">
        <f aca="false">IF(J449="",IF(B449="","",IF(N(C449)&gt;=0,"Income","Expense")),IFERROR(INDEX(Lists!$B$2:$B$30,MATCH(J449,Lists!$A$2:$A$30,0)),""))</f>
        <v/>
      </c>
      <c r="M449" s="24"/>
      <c r="N449" s="27" t="str">
        <f aca="false">IF(B449="","",IFERROR(1000-SUMPRODUCT(MAX(ISNUMBER(SEARCH(Rules!$A$5:$A$204,B449))*(Rules!$A$5:$A$204&lt;&gt;"")*(1000-ROW(Rules!$A$5:$A$204)))),""))</f>
        <v/>
      </c>
    </row>
    <row r="450" customFormat="false" ht="15" hidden="false" customHeight="false" outlineLevel="0" collapsed="false">
      <c r="A450" s="23"/>
      <c r="B450" s="24"/>
      <c r="C450" s="25"/>
      <c r="D450" s="24"/>
      <c r="E450" s="21" t="str">
        <f aca="false">IF(OR(B450="",N(N450)=0,N450=1000),IF(B450="","","Check"),INDEX(Rules!$B:$B,N450))</f>
        <v/>
      </c>
      <c r="F450" s="21" t="str">
        <f aca="false">IF(OR(B450="",N(N450)=0,N450=1000),"",INDEX(Rules!$C:$C,N450))</f>
        <v/>
      </c>
      <c r="G450" s="24"/>
      <c r="H450" s="24"/>
      <c r="I450" s="20" t="str">
        <f aca="false">IF(B450="","",IF(G450&lt;&gt;"",G450,E450))</f>
        <v/>
      </c>
      <c r="J450" s="21" t="str">
        <f aca="false">IF(B450="","",IF(H450&lt;&gt;"",H450,F450))</f>
        <v/>
      </c>
      <c r="K450" s="26" t="str">
        <f aca="false">IF(A450="","",DATE(YEAR(A450),MONTH(A450),1))</f>
        <v/>
      </c>
      <c r="L450" s="21" t="str">
        <f aca="false">IF(J450="",IF(B450="","",IF(N(C450)&gt;=0,"Income","Expense")),IFERROR(INDEX(Lists!$B$2:$B$30,MATCH(J450,Lists!$A$2:$A$30,0)),""))</f>
        <v/>
      </c>
      <c r="M450" s="24"/>
      <c r="N450" s="27" t="str">
        <f aca="false">IF(B450="","",IFERROR(1000-SUMPRODUCT(MAX(ISNUMBER(SEARCH(Rules!$A$5:$A$204,B450))*(Rules!$A$5:$A$204&lt;&gt;"")*(1000-ROW(Rules!$A$5:$A$204)))),""))</f>
        <v/>
      </c>
    </row>
    <row r="451" customFormat="false" ht="15" hidden="false" customHeight="false" outlineLevel="0" collapsed="false">
      <c r="A451" s="23"/>
      <c r="B451" s="24"/>
      <c r="C451" s="25"/>
      <c r="D451" s="24"/>
      <c r="E451" s="21" t="str">
        <f aca="false">IF(OR(B451="",N(N451)=0,N451=1000),IF(B451="","","Check"),INDEX(Rules!$B:$B,N451))</f>
        <v/>
      </c>
      <c r="F451" s="21" t="str">
        <f aca="false">IF(OR(B451="",N(N451)=0,N451=1000),"",INDEX(Rules!$C:$C,N451))</f>
        <v/>
      </c>
      <c r="G451" s="24"/>
      <c r="H451" s="24"/>
      <c r="I451" s="20" t="str">
        <f aca="false">IF(B451="","",IF(G451&lt;&gt;"",G451,E451))</f>
        <v/>
      </c>
      <c r="J451" s="21" t="str">
        <f aca="false">IF(B451="","",IF(H451&lt;&gt;"",H451,F451))</f>
        <v/>
      </c>
      <c r="K451" s="26" t="str">
        <f aca="false">IF(A451="","",DATE(YEAR(A451),MONTH(A451),1))</f>
        <v/>
      </c>
      <c r="L451" s="21" t="str">
        <f aca="false">IF(J451="",IF(B451="","",IF(N(C451)&gt;=0,"Income","Expense")),IFERROR(INDEX(Lists!$B$2:$B$30,MATCH(J451,Lists!$A$2:$A$30,0)),""))</f>
        <v/>
      </c>
      <c r="M451" s="24"/>
      <c r="N451" s="27" t="str">
        <f aca="false">IF(B451="","",IFERROR(1000-SUMPRODUCT(MAX(ISNUMBER(SEARCH(Rules!$A$5:$A$204,B451))*(Rules!$A$5:$A$204&lt;&gt;"")*(1000-ROW(Rules!$A$5:$A$204)))),""))</f>
        <v/>
      </c>
    </row>
    <row r="452" customFormat="false" ht="15" hidden="false" customHeight="false" outlineLevel="0" collapsed="false">
      <c r="A452" s="23"/>
      <c r="B452" s="24"/>
      <c r="C452" s="25"/>
      <c r="D452" s="24"/>
      <c r="E452" s="21" t="str">
        <f aca="false">IF(OR(B452="",N(N452)=0,N452=1000),IF(B452="","","Check"),INDEX(Rules!$B:$B,N452))</f>
        <v/>
      </c>
      <c r="F452" s="21" t="str">
        <f aca="false">IF(OR(B452="",N(N452)=0,N452=1000),"",INDEX(Rules!$C:$C,N452))</f>
        <v/>
      </c>
      <c r="G452" s="24"/>
      <c r="H452" s="24"/>
      <c r="I452" s="20" t="str">
        <f aca="false">IF(B452="","",IF(G452&lt;&gt;"",G452,E452))</f>
        <v/>
      </c>
      <c r="J452" s="21" t="str">
        <f aca="false">IF(B452="","",IF(H452&lt;&gt;"",H452,F452))</f>
        <v/>
      </c>
      <c r="K452" s="26" t="str">
        <f aca="false">IF(A452="","",DATE(YEAR(A452),MONTH(A452),1))</f>
        <v/>
      </c>
      <c r="L452" s="21" t="str">
        <f aca="false">IF(J452="",IF(B452="","",IF(N(C452)&gt;=0,"Income","Expense")),IFERROR(INDEX(Lists!$B$2:$B$30,MATCH(J452,Lists!$A$2:$A$30,0)),""))</f>
        <v/>
      </c>
      <c r="M452" s="24"/>
      <c r="N452" s="27" t="str">
        <f aca="false">IF(B452="","",IFERROR(1000-SUMPRODUCT(MAX(ISNUMBER(SEARCH(Rules!$A$5:$A$204,B452))*(Rules!$A$5:$A$204&lt;&gt;"")*(1000-ROW(Rules!$A$5:$A$204)))),""))</f>
        <v/>
      </c>
    </row>
    <row r="453" customFormat="false" ht="15" hidden="false" customHeight="false" outlineLevel="0" collapsed="false">
      <c r="A453" s="23"/>
      <c r="B453" s="24"/>
      <c r="C453" s="25"/>
      <c r="D453" s="24"/>
      <c r="E453" s="21" t="str">
        <f aca="false">IF(OR(B453="",N(N453)=0,N453=1000),IF(B453="","","Check"),INDEX(Rules!$B:$B,N453))</f>
        <v/>
      </c>
      <c r="F453" s="21" t="str">
        <f aca="false">IF(OR(B453="",N(N453)=0,N453=1000),"",INDEX(Rules!$C:$C,N453))</f>
        <v/>
      </c>
      <c r="G453" s="24"/>
      <c r="H453" s="24"/>
      <c r="I453" s="20" t="str">
        <f aca="false">IF(B453="","",IF(G453&lt;&gt;"",G453,E453))</f>
        <v/>
      </c>
      <c r="J453" s="21" t="str">
        <f aca="false">IF(B453="","",IF(H453&lt;&gt;"",H453,F453))</f>
        <v/>
      </c>
      <c r="K453" s="26" t="str">
        <f aca="false">IF(A453="","",DATE(YEAR(A453),MONTH(A453),1))</f>
        <v/>
      </c>
      <c r="L453" s="21" t="str">
        <f aca="false">IF(J453="",IF(B453="","",IF(N(C453)&gt;=0,"Income","Expense")),IFERROR(INDEX(Lists!$B$2:$B$30,MATCH(J453,Lists!$A$2:$A$30,0)),""))</f>
        <v/>
      </c>
      <c r="M453" s="24"/>
      <c r="N453" s="27" t="str">
        <f aca="false">IF(B453="","",IFERROR(1000-SUMPRODUCT(MAX(ISNUMBER(SEARCH(Rules!$A$5:$A$204,B453))*(Rules!$A$5:$A$204&lt;&gt;"")*(1000-ROW(Rules!$A$5:$A$204)))),""))</f>
        <v/>
      </c>
    </row>
    <row r="454" customFormat="false" ht="15" hidden="false" customHeight="false" outlineLevel="0" collapsed="false">
      <c r="A454" s="23"/>
      <c r="B454" s="24"/>
      <c r="C454" s="25"/>
      <c r="D454" s="24"/>
      <c r="E454" s="21" t="str">
        <f aca="false">IF(OR(B454="",N(N454)=0,N454=1000),IF(B454="","","Check"),INDEX(Rules!$B:$B,N454))</f>
        <v/>
      </c>
      <c r="F454" s="21" t="str">
        <f aca="false">IF(OR(B454="",N(N454)=0,N454=1000),"",INDEX(Rules!$C:$C,N454))</f>
        <v/>
      </c>
      <c r="G454" s="24"/>
      <c r="H454" s="24"/>
      <c r="I454" s="20" t="str">
        <f aca="false">IF(B454="","",IF(G454&lt;&gt;"",G454,E454))</f>
        <v/>
      </c>
      <c r="J454" s="21" t="str">
        <f aca="false">IF(B454="","",IF(H454&lt;&gt;"",H454,F454))</f>
        <v/>
      </c>
      <c r="K454" s="26" t="str">
        <f aca="false">IF(A454="","",DATE(YEAR(A454),MONTH(A454),1))</f>
        <v/>
      </c>
      <c r="L454" s="21" t="str">
        <f aca="false">IF(J454="",IF(B454="","",IF(N(C454)&gt;=0,"Income","Expense")),IFERROR(INDEX(Lists!$B$2:$B$30,MATCH(J454,Lists!$A$2:$A$30,0)),""))</f>
        <v/>
      </c>
      <c r="M454" s="24"/>
      <c r="N454" s="27" t="str">
        <f aca="false">IF(B454="","",IFERROR(1000-SUMPRODUCT(MAX(ISNUMBER(SEARCH(Rules!$A$5:$A$204,B454))*(Rules!$A$5:$A$204&lt;&gt;"")*(1000-ROW(Rules!$A$5:$A$204)))),""))</f>
        <v/>
      </c>
    </row>
    <row r="455" customFormat="false" ht="15" hidden="false" customHeight="false" outlineLevel="0" collapsed="false">
      <c r="A455" s="23"/>
      <c r="B455" s="24"/>
      <c r="C455" s="25"/>
      <c r="D455" s="24"/>
      <c r="E455" s="21" t="str">
        <f aca="false">IF(OR(B455="",N(N455)=0,N455=1000),IF(B455="","","Check"),INDEX(Rules!$B:$B,N455))</f>
        <v/>
      </c>
      <c r="F455" s="21" t="str">
        <f aca="false">IF(OR(B455="",N(N455)=0,N455=1000),"",INDEX(Rules!$C:$C,N455))</f>
        <v/>
      </c>
      <c r="G455" s="24"/>
      <c r="H455" s="24"/>
      <c r="I455" s="20" t="str">
        <f aca="false">IF(B455="","",IF(G455&lt;&gt;"",G455,E455))</f>
        <v/>
      </c>
      <c r="J455" s="21" t="str">
        <f aca="false">IF(B455="","",IF(H455&lt;&gt;"",H455,F455))</f>
        <v/>
      </c>
      <c r="K455" s="26" t="str">
        <f aca="false">IF(A455="","",DATE(YEAR(A455),MONTH(A455),1))</f>
        <v/>
      </c>
      <c r="L455" s="21" t="str">
        <f aca="false">IF(J455="",IF(B455="","",IF(N(C455)&gt;=0,"Income","Expense")),IFERROR(INDEX(Lists!$B$2:$B$30,MATCH(J455,Lists!$A$2:$A$30,0)),""))</f>
        <v/>
      </c>
      <c r="M455" s="24"/>
      <c r="N455" s="27" t="str">
        <f aca="false">IF(B455="","",IFERROR(1000-SUMPRODUCT(MAX(ISNUMBER(SEARCH(Rules!$A$5:$A$204,B455))*(Rules!$A$5:$A$204&lt;&gt;"")*(1000-ROW(Rules!$A$5:$A$204)))),""))</f>
        <v/>
      </c>
    </row>
    <row r="456" customFormat="false" ht="15" hidden="false" customHeight="false" outlineLevel="0" collapsed="false">
      <c r="A456" s="23"/>
      <c r="B456" s="24"/>
      <c r="C456" s="25"/>
      <c r="D456" s="24"/>
      <c r="E456" s="21" t="str">
        <f aca="false">IF(OR(B456="",N(N456)=0,N456=1000),IF(B456="","","Check"),INDEX(Rules!$B:$B,N456))</f>
        <v/>
      </c>
      <c r="F456" s="21" t="str">
        <f aca="false">IF(OR(B456="",N(N456)=0,N456=1000),"",INDEX(Rules!$C:$C,N456))</f>
        <v/>
      </c>
      <c r="G456" s="24"/>
      <c r="H456" s="24"/>
      <c r="I456" s="20" t="str">
        <f aca="false">IF(B456="","",IF(G456&lt;&gt;"",G456,E456))</f>
        <v/>
      </c>
      <c r="J456" s="21" t="str">
        <f aca="false">IF(B456="","",IF(H456&lt;&gt;"",H456,F456))</f>
        <v/>
      </c>
      <c r="K456" s="26" t="str">
        <f aca="false">IF(A456="","",DATE(YEAR(A456),MONTH(A456),1))</f>
        <v/>
      </c>
      <c r="L456" s="21" t="str">
        <f aca="false">IF(J456="",IF(B456="","",IF(N(C456)&gt;=0,"Income","Expense")),IFERROR(INDEX(Lists!$B$2:$B$30,MATCH(J456,Lists!$A$2:$A$30,0)),""))</f>
        <v/>
      </c>
      <c r="M456" s="24"/>
      <c r="N456" s="27" t="str">
        <f aca="false">IF(B456="","",IFERROR(1000-SUMPRODUCT(MAX(ISNUMBER(SEARCH(Rules!$A$5:$A$204,B456))*(Rules!$A$5:$A$204&lt;&gt;"")*(1000-ROW(Rules!$A$5:$A$204)))),""))</f>
        <v/>
      </c>
    </row>
    <row r="457" customFormat="false" ht="15" hidden="false" customHeight="false" outlineLevel="0" collapsed="false">
      <c r="A457" s="23"/>
      <c r="B457" s="24"/>
      <c r="C457" s="25"/>
      <c r="D457" s="24"/>
      <c r="E457" s="21" t="str">
        <f aca="false">IF(OR(B457="",N(N457)=0,N457=1000),IF(B457="","","Check"),INDEX(Rules!$B:$B,N457))</f>
        <v/>
      </c>
      <c r="F457" s="21" t="str">
        <f aca="false">IF(OR(B457="",N(N457)=0,N457=1000),"",INDEX(Rules!$C:$C,N457))</f>
        <v/>
      </c>
      <c r="G457" s="24"/>
      <c r="H457" s="24"/>
      <c r="I457" s="20" t="str">
        <f aca="false">IF(B457="","",IF(G457&lt;&gt;"",G457,E457))</f>
        <v/>
      </c>
      <c r="J457" s="21" t="str">
        <f aca="false">IF(B457="","",IF(H457&lt;&gt;"",H457,F457))</f>
        <v/>
      </c>
      <c r="K457" s="26" t="str">
        <f aca="false">IF(A457="","",DATE(YEAR(A457),MONTH(A457),1))</f>
        <v/>
      </c>
      <c r="L457" s="21" t="str">
        <f aca="false">IF(J457="",IF(B457="","",IF(N(C457)&gt;=0,"Income","Expense")),IFERROR(INDEX(Lists!$B$2:$B$30,MATCH(J457,Lists!$A$2:$A$30,0)),""))</f>
        <v/>
      </c>
      <c r="M457" s="24"/>
      <c r="N457" s="27" t="str">
        <f aca="false">IF(B457="","",IFERROR(1000-SUMPRODUCT(MAX(ISNUMBER(SEARCH(Rules!$A$5:$A$204,B457))*(Rules!$A$5:$A$204&lt;&gt;"")*(1000-ROW(Rules!$A$5:$A$204)))),""))</f>
        <v/>
      </c>
    </row>
    <row r="458" customFormat="false" ht="15" hidden="false" customHeight="false" outlineLevel="0" collapsed="false">
      <c r="A458" s="23"/>
      <c r="B458" s="24"/>
      <c r="C458" s="25"/>
      <c r="D458" s="24"/>
      <c r="E458" s="21" t="str">
        <f aca="false">IF(OR(B458="",N(N458)=0,N458=1000),IF(B458="","","Check"),INDEX(Rules!$B:$B,N458))</f>
        <v/>
      </c>
      <c r="F458" s="21" t="str">
        <f aca="false">IF(OR(B458="",N(N458)=0,N458=1000),"",INDEX(Rules!$C:$C,N458))</f>
        <v/>
      </c>
      <c r="G458" s="24"/>
      <c r="H458" s="24"/>
      <c r="I458" s="20" t="str">
        <f aca="false">IF(B458="","",IF(G458&lt;&gt;"",G458,E458))</f>
        <v/>
      </c>
      <c r="J458" s="21" t="str">
        <f aca="false">IF(B458="","",IF(H458&lt;&gt;"",H458,F458))</f>
        <v/>
      </c>
      <c r="K458" s="26" t="str">
        <f aca="false">IF(A458="","",DATE(YEAR(A458),MONTH(A458),1))</f>
        <v/>
      </c>
      <c r="L458" s="21" t="str">
        <f aca="false">IF(J458="",IF(B458="","",IF(N(C458)&gt;=0,"Income","Expense")),IFERROR(INDEX(Lists!$B$2:$B$30,MATCH(J458,Lists!$A$2:$A$30,0)),""))</f>
        <v/>
      </c>
      <c r="M458" s="24"/>
      <c r="N458" s="27" t="str">
        <f aca="false">IF(B458="","",IFERROR(1000-SUMPRODUCT(MAX(ISNUMBER(SEARCH(Rules!$A$5:$A$204,B458))*(Rules!$A$5:$A$204&lt;&gt;"")*(1000-ROW(Rules!$A$5:$A$204)))),""))</f>
        <v/>
      </c>
    </row>
    <row r="459" customFormat="false" ht="15" hidden="false" customHeight="false" outlineLevel="0" collapsed="false">
      <c r="A459" s="23"/>
      <c r="B459" s="24"/>
      <c r="C459" s="25"/>
      <c r="D459" s="24"/>
      <c r="E459" s="21" t="str">
        <f aca="false">IF(OR(B459="",N(N459)=0,N459=1000),IF(B459="","","Check"),INDEX(Rules!$B:$B,N459))</f>
        <v/>
      </c>
      <c r="F459" s="21" t="str">
        <f aca="false">IF(OR(B459="",N(N459)=0,N459=1000),"",INDEX(Rules!$C:$C,N459))</f>
        <v/>
      </c>
      <c r="G459" s="24"/>
      <c r="H459" s="24"/>
      <c r="I459" s="20" t="str">
        <f aca="false">IF(B459="","",IF(G459&lt;&gt;"",G459,E459))</f>
        <v/>
      </c>
      <c r="J459" s="21" t="str">
        <f aca="false">IF(B459="","",IF(H459&lt;&gt;"",H459,F459))</f>
        <v/>
      </c>
      <c r="K459" s="26" t="str">
        <f aca="false">IF(A459="","",DATE(YEAR(A459),MONTH(A459),1))</f>
        <v/>
      </c>
      <c r="L459" s="21" t="str">
        <f aca="false">IF(J459="",IF(B459="","",IF(N(C459)&gt;=0,"Income","Expense")),IFERROR(INDEX(Lists!$B$2:$B$30,MATCH(J459,Lists!$A$2:$A$30,0)),""))</f>
        <v/>
      </c>
      <c r="M459" s="24"/>
      <c r="N459" s="27" t="str">
        <f aca="false">IF(B459="","",IFERROR(1000-SUMPRODUCT(MAX(ISNUMBER(SEARCH(Rules!$A$5:$A$204,B459))*(Rules!$A$5:$A$204&lt;&gt;"")*(1000-ROW(Rules!$A$5:$A$204)))),""))</f>
        <v/>
      </c>
    </row>
    <row r="460" customFormat="false" ht="15" hidden="false" customHeight="false" outlineLevel="0" collapsed="false">
      <c r="A460" s="23"/>
      <c r="B460" s="24"/>
      <c r="C460" s="25"/>
      <c r="D460" s="24"/>
      <c r="E460" s="21" t="str">
        <f aca="false">IF(OR(B460="",N(N460)=0,N460=1000),IF(B460="","","Check"),INDEX(Rules!$B:$B,N460))</f>
        <v/>
      </c>
      <c r="F460" s="21" t="str">
        <f aca="false">IF(OR(B460="",N(N460)=0,N460=1000),"",INDEX(Rules!$C:$C,N460))</f>
        <v/>
      </c>
      <c r="G460" s="24"/>
      <c r="H460" s="24"/>
      <c r="I460" s="20" t="str">
        <f aca="false">IF(B460="","",IF(G460&lt;&gt;"",G460,E460))</f>
        <v/>
      </c>
      <c r="J460" s="21" t="str">
        <f aca="false">IF(B460="","",IF(H460&lt;&gt;"",H460,F460))</f>
        <v/>
      </c>
      <c r="K460" s="26" t="str">
        <f aca="false">IF(A460="","",DATE(YEAR(A460),MONTH(A460),1))</f>
        <v/>
      </c>
      <c r="L460" s="21" t="str">
        <f aca="false">IF(J460="",IF(B460="","",IF(N(C460)&gt;=0,"Income","Expense")),IFERROR(INDEX(Lists!$B$2:$B$30,MATCH(J460,Lists!$A$2:$A$30,0)),""))</f>
        <v/>
      </c>
      <c r="M460" s="24"/>
      <c r="N460" s="27" t="str">
        <f aca="false">IF(B460="","",IFERROR(1000-SUMPRODUCT(MAX(ISNUMBER(SEARCH(Rules!$A$5:$A$204,B460))*(Rules!$A$5:$A$204&lt;&gt;"")*(1000-ROW(Rules!$A$5:$A$204)))),""))</f>
        <v/>
      </c>
    </row>
    <row r="461" customFormat="false" ht="15" hidden="false" customHeight="false" outlineLevel="0" collapsed="false">
      <c r="A461" s="23"/>
      <c r="B461" s="24"/>
      <c r="C461" s="25"/>
      <c r="D461" s="24"/>
      <c r="E461" s="21" t="str">
        <f aca="false">IF(OR(B461="",N(N461)=0,N461=1000),IF(B461="","","Check"),INDEX(Rules!$B:$B,N461))</f>
        <v/>
      </c>
      <c r="F461" s="21" t="str">
        <f aca="false">IF(OR(B461="",N(N461)=0,N461=1000),"",INDEX(Rules!$C:$C,N461))</f>
        <v/>
      </c>
      <c r="G461" s="24"/>
      <c r="H461" s="24"/>
      <c r="I461" s="20" t="str">
        <f aca="false">IF(B461="","",IF(G461&lt;&gt;"",G461,E461))</f>
        <v/>
      </c>
      <c r="J461" s="21" t="str">
        <f aca="false">IF(B461="","",IF(H461&lt;&gt;"",H461,F461))</f>
        <v/>
      </c>
      <c r="K461" s="26" t="str">
        <f aca="false">IF(A461="","",DATE(YEAR(A461),MONTH(A461),1))</f>
        <v/>
      </c>
      <c r="L461" s="21" t="str">
        <f aca="false">IF(J461="",IF(B461="","",IF(N(C461)&gt;=0,"Income","Expense")),IFERROR(INDEX(Lists!$B$2:$B$30,MATCH(J461,Lists!$A$2:$A$30,0)),""))</f>
        <v/>
      </c>
      <c r="M461" s="24"/>
      <c r="N461" s="27" t="str">
        <f aca="false">IF(B461="","",IFERROR(1000-SUMPRODUCT(MAX(ISNUMBER(SEARCH(Rules!$A$5:$A$204,B461))*(Rules!$A$5:$A$204&lt;&gt;"")*(1000-ROW(Rules!$A$5:$A$204)))),""))</f>
        <v/>
      </c>
    </row>
    <row r="462" customFormat="false" ht="15" hidden="false" customHeight="false" outlineLevel="0" collapsed="false">
      <c r="A462" s="23"/>
      <c r="B462" s="24"/>
      <c r="C462" s="25"/>
      <c r="D462" s="24"/>
      <c r="E462" s="21" t="str">
        <f aca="false">IF(OR(B462="",N(N462)=0,N462=1000),IF(B462="","","Check"),INDEX(Rules!$B:$B,N462))</f>
        <v/>
      </c>
      <c r="F462" s="21" t="str">
        <f aca="false">IF(OR(B462="",N(N462)=0,N462=1000),"",INDEX(Rules!$C:$C,N462))</f>
        <v/>
      </c>
      <c r="G462" s="24"/>
      <c r="H462" s="24"/>
      <c r="I462" s="20" t="str">
        <f aca="false">IF(B462="","",IF(G462&lt;&gt;"",G462,E462))</f>
        <v/>
      </c>
      <c r="J462" s="21" t="str">
        <f aca="false">IF(B462="","",IF(H462&lt;&gt;"",H462,F462))</f>
        <v/>
      </c>
      <c r="K462" s="26" t="str">
        <f aca="false">IF(A462="","",DATE(YEAR(A462),MONTH(A462),1))</f>
        <v/>
      </c>
      <c r="L462" s="21" t="str">
        <f aca="false">IF(J462="",IF(B462="","",IF(N(C462)&gt;=0,"Income","Expense")),IFERROR(INDEX(Lists!$B$2:$B$30,MATCH(J462,Lists!$A$2:$A$30,0)),""))</f>
        <v/>
      </c>
      <c r="M462" s="24"/>
      <c r="N462" s="27" t="str">
        <f aca="false">IF(B462="","",IFERROR(1000-SUMPRODUCT(MAX(ISNUMBER(SEARCH(Rules!$A$5:$A$204,B462))*(Rules!$A$5:$A$204&lt;&gt;"")*(1000-ROW(Rules!$A$5:$A$204)))),""))</f>
        <v/>
      </c>
    </row>
    <row r="463" customFormat="false" ht="15" hidden="false" customHeight="false" outlineLevel="0" collapsed="false">
      <c r="A463" s="23"/>
      <c r="B463" s="24"/>
      <c r="C463" s="25"/>
      <c r="D463" s="24"/>
      <c r="E463" s="21" t="str">
        <f aca="false">IF(OR(B463="",N(N463)=0,N463=1000),IF(B463="","","Check"),INDEX(Rules!$B:$B,N463))</f>
        <v/>
      </c>
      <c r="F463" s="21" t="str">
        <f aca="false">IF(OR(B463="",N(N463)=0,N463=1000),"",INDEX(Rules!$C:$C,N463))</f>
        <v/>
      </c>
      <c r="G463" s="24"/>
      <c r="H463" s="24"/>
      <c r="I463" s="20" t="str">
        <f aca="false">IF(B463="","",IF(G463&lt;&gt;"",G463,E463))</f>
        <v/>
      </c>
      <c r="J463" s="21" t="str">
        <f aca="false">IF(B463="","",IF(H463&lt;&gt;"",H463,F463))</f>
        <v/>
      </c>
      <c r="K463" s="26" t="str">
        <f aca="false">IF(A463="","",DATE(YEAR(A463),MONTH(A463),1))</f>
        <v/>
      </c>
      <c r="L463" s="21" t="str">
        <f aca="false">IF(J463="",IF(B463="","",IF(N(C463)&gt;=0,"Income","Expense")),IFERROR(INDEX(Lists!$B$2:$B$30,MATCH(J463,Lists!$A$2:$A$30,0)),""))</f>
        <v/>
      </c>
      <c r="M463" s="24"/>
      <c r="N463" s="27" t="str">
        <f aca="false">IF(B463="","",IFERROR(1000-SUMPRODUCT(MAX(ISNUMBER(SEARCH(Rules!$A$5:$A$204,B463))*(Rules!$A$5:$A$204&lt;&gt;"")*(1000-ROW(Rules!$A$5:$A$204)))),""))</f>
        <v/>
      </c>
    </row>
    <row r="464" customFormat="false" ht="15" hidden="false" customHeight="false" outlineLevel="0" collapsed="false">
      <c r="A464" s="23"/>
      <c r="B464" s="24"/>
      <c r="C464" s="25"/>
      <c r="D464" s="24"/>
      <c r="E464" s="21" t="str">
        <f aca="false">IF(OR(B464="",N(N464)=0,N464=1000),IF(B464="","","Check"),INDEX(Rules!$B:$B,N464))</f>
        <v/>
      </c>
      <c r="F464" s="21" t="str">
        <f aca="false">IF(OR(B464="",N(N464)=0,N464=1000),"",INDEX(Rules!$C:$C,N464))</f>
        <v/>
      </c>
      <c r="G464" s="24"/>
      <c r="H464" s="24"/>
      <c r="I464" s="20" t="str">
        <f aca="false">IF(B464="","",IF(G464&lt;&gt;"",G464,E464))</f>
        <v/>
      </c>
      <c r="J464" s="21" t="str">
        <f aca="false">IF(B464="","",IF(H464&lt;&gt;"",H464,F464))</f>
        <v/>
      </c>
      <c r="K464" s="26" t="str">
        <f aca="false">IF(A464="","",DATE(YEAR(A464),MONTH(A464),1))</f>
        <v/>
      </c>
      <c r="L464" s="21" t="str">
        <f aca="false">IF(J464="",IF(B464="","",IF(N(C464)&gt;=0,"Income","Expense")),IFERROR(INDEX(Lists!$B$2:$B$30,MATCH(J464,Lists!$A$2:$A$30,0)),""))</f>
        <v/>
      </c>
      <c r="M464" s="24"/>
      <c r="N464" s="27" t="str">
        <f aca="false">IF(B464="","",IFERROR(1000-SUMPRODUCT(MAX(ISNUMBER(SEARCH(Rules!$A$5:$A$204,B464))*(Rules!$A$5:$A$204&lt;&gt;"")*(1000-ROW(Rules!$A$5:$A$204)))),""))</f>
        <v/>
      </c>
    </row>
    <row r="465" customFormat="false" ht="15" hidden="false" customHeight="false" outlineLevel="0" collapsed="false">
      <c r="A465" s="23"/>
      <c r="B465" s="24"/>
      <c r="C465" s="25"/>
      <c r="D465" s="24"/>
      <c r="E465" s="21" t="str">
        <f aca="false">IF(OR(B465="",N(N465)=0,N465=1000),IF(B465="","","Check"),INDEX(Rules!$B:$B,N465))</f>
        <v/>
      </c>
      <c r="F465" s="21" t="str">
        <f aca="false">IF(OR(B465="",N(N465)=0,N465=1000),"",INDEX(Rules!$C:$C,N465))</f>
        <v/>
      </c>
      <c r="G465" s="24"/>
      <c r="H465" s="24"/>
      <c r="I465" s="20" t="str">
        <f aca="false">IF(B465="","",IF(G465&lt;&gt;"",G465,E465))</f>
        <v/>
      </c>
      <c r="J465" s="21" t="str">
        <f aca="false">IF(B465="","",IF(H465&lt;&gt;"",H465,F465))</f>
        <v/>
      </c>
      <c r="K465" s="26" t="str">
        <f aca="false">IF(A465="","",DATE(YEAR(A465),MONTH(A465),1))</f>
        <v/>
      </c>
      <c r="L465" s="21" t="str">
        <f aca="false">IF(J465="",IF(B465="","",IF(N(C465)&gt;=0,"Income","Expense")),IFERROR(INDEX(Lists!$B$2:$B$30,MATCH(J465,Lists!$A$2:$A$30,0)),""))</f>
        <v/>
      </c>
      <c r="M465" s="24"/>
      <c r="N465" s="27" t="str">
        <f aca="false">IF(B465="","",IFERROR(1000-SUMPRODUCT(MAX(ISNUMBER(SEARCH(Rules!$A$5:$A$204,B465))*(Rules!$A$5:$A$204&lt;&gt;"")*(1000-ROW(Rules!$A$5:$A$204)))),""))</f>
        <v/>
      </c>
    </row>
    <row r="466" customFormat="false" ht="15" hidden="false" customHeight="false" outlineLevel="0" collapsed="false">
      <c r="A466" s="23"/>
      <c r="B466" s="24"/>
      <c r="C466" s="25"/>
      <c r="D466" s="24"/>
      <c r="E466" s="21" t="str">
        <f aca="false">IF(OR(B466="",N(N466)=0,N466=1000),IF(B466="","","Check"),INDEX(Rules!$B:$B,N466))</f>
        <v/>
      </c>
      <c r="F466" s="21" t="str">
        <f aca="false">IF(OR(B466="",N(N466)=0,N466=1000),"",INDEX(Rules!$C:$C,N466))</f>
        <v/>
      </c>
      <c r="G466" s="24"/>
      <c r="H466" s="24"/>
      <c r="I466" s="20" t="str">
        <f aca="false">IF(B466="","",IF(G466&lt;&gt;"",G466,E466))</f>
        <v/>
      </c>
      <c r="J466" s="21" t="str">
        <f aca="false">IF(B466="","",IF(H466&lt;&gt;"",H466,F466))</f>
        <v/>
      </c>
      <c r="K466" s="26" t="str">
        <f aca="false">IF(A466="","",DATE(YEAR(A466),MONTH(A466),1))</f>
        <v/>
      </c>
      <c r="L466" s="21" t="str">
        <f aca="false">IF(J466="",IF(B466="","",IF(N(C466)&gt;=0,"Income","Expense")),IFERROR(INDEX(Lists!$B$2:$B$30,MATCH(J466,Lists!$A$2:$A$30,0)),""))</f>
        <v/>
      </c>
      <c r="M466" s="24"/>
      <c r="N466" s="27" t="str">
        <f aca="false">IF(B466="","",IFERROR(1000-SUMPRODUCT(MAX(ISNUMBER(SEARCH(Rules!$A$5:$A$204,B466))*(Rules!$A$5:$A$204&lt;&gt;"")*(1000-ROW(Rules!$A$5:$A$204)))),""))</f>
        <v/>
      </c>
    </row>
    <row r="467" customFormat="false" ht="15" hidden="false" customHeight="false" outlineLevel="0" collapsed="false">
      <c r="A467" s="23"/>
      <c r="B467" s="24"/>
      <c r="C467" s="25"/>
      <c r="D467" s="24"/>
      <c r="E467" s="21" t="str">
        <f aca="false">IF(OR(B467="",N(N467)=0,N467=1000),IF(B467="","","Check"),INDEX(Rules!$B:$B,N467))</f>
        <v/>
      </c>
      <c r="F467" s="21" t="str">
        <f aca="false">IF(OR(B467="",N(N467)=0,N467=1000),"",INDEX(Rules!$C:$C,N467))</f>
        <v/>
      </c>
      <c r="G467" s="24"/>
      <c r="H467" s="24"/>
      <c r="I467" s="20" t="str">
        <f aca="false">IF(B467="","",IF(G467&lt;&gt;"",G467,E467))</f>
        <v/>
      </c>
      <c r="J467" s="21" t="str">
        <f aca="false">IF(B467="","",IF(H467&lt;&gt;"",H467,F467))</f>
        <v/>
      </c>
      <c r="K467" s="26" t="str">
        <f aca="false">IF(A467="","",DATE(YEAR(A467),MONTH(A467),1))</f>
        <v/>
      </c>
      <c r="L467" s="21" t="str">
        <f aca="false">IF(J467="",IF(B467="","",IF(N(C467)&gt;=0,"Income","Expense")),IFERROR(INDEX(Lists!$B$2:$B$30,MATCH(J467,Lists!$A$2:$A$30,0)),""))</f>
        <v/>
      </c>
      <c r="M467" s="24"/>
      <c r="N467" s="27" t="str">
        <f aca="false">IF(B467="","",IFERROR(1000-SUMPRODUCT(MAX(ISNUMBER(SEARCH(Rules!$A$5:$A$204,B467))*(Rules!$A$5:$A$204&lt;&gt;"")*(1000-ROW(Rules!$A$5:$A$204)))),""))</f>
        <v/>
      </c>
    </row>
    <row r="468" customFormat="false" ht="15" hidden="false" customHeight="false" outlineLevel="0" collapsed="false">
      <c r="A468" s="23"/>
      <c r="B468" s="24"/>
      <c r="C468" s="25"/>
      <c r="D468" s="24"/>
      <c r="E468" s="21" t="str">
        <f aca="false">IF(OR(B468="",N(N468)=0,N468=1000),IF(B468="","","Check"),INDEX(Rules!$B:$B,N468))</f>
        <v/>
      </c>
      <c r="F468" s="21" t="str">
        <f aca="false">IF(OR(B468="",N(N468)=0,N468=1000),"",INDEX(Rules!$C:$C,N468))</f>
        <v/>
      </c>
      <c r="G468" s="24"/>
      <c r="H468" s="24"/>
      <c r="I468" s="20" t="str">
        <f aca="false">IF(B468="","",IF(G468&lt;&gt;"",G468,E468))</f>
        <v/>
      </c>
      <c r="J468" s="21" t="str">
        <f aca="false">IF(B468="","",IF(H468&lt;&gt;"",H468,F468))</f>
        <v/>
      </c>
      <c r="K468" s="26" t="str">
        <f aca="false">IF(A468="","",DATE(YEAR(A468),MONTH(A468),1))</f>
        <v/>
      </c>
      <c r="L468" s="21" t="str">
        <f aca="false">IF(J468="",IF(B468="","",IF(N(C468)&gt;=0,"Income","Expense")),IFERROR(INDEX(Lists!$B$2:$B$30,MATCH(J468,Lists!$A$2:$A$30,0)),""))</f>
        <v/>
      </c>
      <c r="M468" s="24"/>
      <c r="N468" s="27" t="str">
        <f aca="false">IF(B468="","",IFERROR(1000-SUMPRODUCT(MAX(ISNUMBER(SEARCH(Rules!$A$5:$A$204,B468))*(Rules!$A$5:$A$204&lt;&gt;"")*(1000-ROW(Rules!$A$5:$A$204)))),""))</f>
        <v/>
      </c>
    </row>
    <row r="469" customFormat="false" ht="15" hidden="false" customHeight="false" outlineLevel="0" collapsed="false">
      <c r="A469" s="23"/>
      <c r="B469" s="24"/>
      <c r="C469" s="25"/>
      <c r="D469" s="24"/>
      <c r="E469" s="21" t="str">
        <f aca="false">IF(OR(B469="",N(N469)=0,N469=1000),IF(B469="","","Check"),INDEX(Rules!$B:$B,N469))</f>
        <v/>
      </c>
      <c r="F469" s="21" t="str">
        <f aca="false">IF(OR(B469="",N(N469)=0,N469=1000),"",INDEX(Rules!$C:$C,N469))</f>
        <v/>
      </c>
      <c r="G469" s="24"/>
      <c r="H469" s="24"/>
      <c r="I469" s="20" t="str">
        <f aca="false">IF(B469="","",IF(G469&lt;&gt;"",G469,E469))</f>
        <v/>
      </c>
      <c r="J469" s="21" t="str">
        <f aca="false">IF(B469="","",IF(H469&lt;&gt;"",H469,F469))</f>
        <v/>
      </c>
      <c r="K469" s="26" t="str">
        <f aca="false">IF(A469="","",DATE(YEAR(A469),MONTH(A469),1))</f>
        <v/>
      </c>
      <c r="L469" s="21" t="str">
        <f aca="false">IF(J469="",IF(B469="","",IF(N(C469)&gt;=0,"Income","Expense")),IFERROR(INDEX(Lists!$B$2:$B$30,MATCH(J469,Lists!$A$2:$A$30,0)),""))</f>
        <v/>
      </c>
      <c r="M469" s="24"/>
      <c r="N469" s="27" t="str">
        <f aca="false">IF(B469="","",IFERROR(1000-SUMPRODUCT(MAX(ISNUMBER(SEARCH(Rules!$A$5:$A$204,B469))*(Rules!$A$5:$A$204&lt;&gt;"")*(1000-ROW(Rules!$A$5:$A$204)))),""))</f>
        <v/>
      </c>
    </row>
    <row r="470" customFormat="false" ht="15" hidden="false" customHeight="false" outlineLevel="0" collapsed="false">
      <c r="A470" s="23"/>
      <c r="B470" s="24"/>
      <c r="C470" s="25"/>
      <c r="D470" s="24"/>
      <c r="E470" s="21" t="str">
        <f aca="false">IF(OR(B470="",N(N470)=0,N470=1000),IF(B470="","","Check"),INDEX(Rules!$B:$B,N470))</f>
        <v/>
      </c>
      <c r="F470" s="21" t="str">
        <f aca="false">IF(OR(B470="",N(N470)=0,N470=1000),"",INDEX(Rules!$C:$C,N470))</f>
        <v/>
      </c>
      <c r="G470" s="24"/>
      <c r="H470" s="24"/>
      <c r="I470" s="20" t="str">
        <f aca="false">IF(B470="","",IF(G470&lt;&gt;"",G470,E470))</f>
        <v/>
      </c>
      <c r="J470" s="21" t="str">
        <f aca="false">IF(B470="","",IF(H470&lt;&gt;"",H470,F470))</f>
        <v/>
      </c>
      <c r="K470" s="26" t="str">
        <f aca="false">IF(A470="","",DATE(YEAR(A470),MONTH(A470),1))</f>
        <v/>
      </c>
      <c r="L470" s="21" t="str">
        <f aca="false">IF(J470="",IF(B470="","",IF(N(C470)&gt;=0,"Income","Expense")),IFERROR(INDEX(Lists!$B$2:$B$30,MATCH(J470,Lists!$A$2:$A$30,0)),""))</f>
        <v/>
      </c>
      <c r="M470" s="24"/>
      <c r="N470" s="27" t="str">
        <f aca="false">IF(B470="","",IFERROR(1000-SUMPRODUCT(MAX(ISNUMBER(SEARCH(Rules!$A$5:$A$204,B470))*(Rules!$A$5:$A$204&lt;&gt;"")*(1000-ROW(Rules!$A$5:$A$204)))),""))</f>
        <v/>
      </c>
    </row>
    <row r="471" customFormat="false" ht="15" hidden="false" customHeight="false" outlineLevel="0" collapsed="false">
      <c r="A471" s="23"/>
      <c r="B471" s="24"/>
      <c r="C471" s="25"/>
      <c r="D471" s="24"/>
      <c r="E471" s="21" t="str">
        <f aca="false">IF(OR(B471="",N(N471)=0,N471=1000),IF(B471="","","Check"),INDEX(Rules!$B:$B,N471))</f>
        <v/>
      </c>
      <c r="F471" s="21" t="str">
        <f aca="false">IF(OR(B471="",N(N471)=0,N471=1000),"",INDEX(Rules!$C:$C,N471))</f>
        <v/>
      </c>
      <c r="G471" s="24"/>
      <c r="H471" s="24"/>
      <c r="I471" s="20" t="str">
        <f aca="false">IF(B471="","",IF(G471&lt;&gt;"",G471,E471))</f>
        <v/>
      </c>
      <c r="J471" s="21" t="str">
        <f aca="false">IF(B471="","",IF(H471&lt;&gt;"",H471,F471))</f>
        <v/>
      </c>
      <c r="K471" s="26" t="str">
        <f aca="false">IF(A471="","",DATE(YEAR(A471),MONTH(A471),1))</f>
        <v/>
      </c>
      <c r="L471" s="21" t="str">
        <f aca="false">IF(J471="",IF(B471="","",IF(N(C471)&gt;=0,"Income","Expense")),IFERROR(INDEX(Lists!$B$2:$B$30,MATCH(J471,Lists!$A$2:$A$30,0)),""))</f>
        <v/>
      </c>
      <c r="M471" s="24"/>
      <c r="N471" s="27" t="str">
        <f aca="false">IF(B471="","",IFERROR(1000-SUMPRODUCT(MAX(ISNUMBER(SEARCH(Rules!$A$5:$A$204,B471))*(Rules!$A$5:$A$204&lt;&gt;"")*(1000-ROW(Rules!$A$5:$A$204)))),""))</f>
        <v/>
      </c>
    </row>
    <row r="472" customFormat="false" ht="15" hidden="false" customHeight="false" outlineLevel="0" collapsed="false">
      <c r="A472" s="23"/>
      <c r="B472" s="24"/>
      <c r="C472" s="25"/>
      <c r="D472" s="24"/>
      <c r="E472" s="21" t="str">
        <f aca="false">IF(OR(B472="",N(N472)=0,N472=1000),IF(B472="","","Check"),INDEX(Rules!$B:$B,N472))</f>
        <v/>
      </c>
      <c r="F472" s="21" t="str">
        <f aca="false">IF(OR(B472="",N(N472)=0,N472=1000),"",INDEX(Rules!$C:$C,N472))</f>
        <v/>
      </c>
      <c r="G472" s="24"/>
      <c r="H472" s="24"/>
      <c r="I472" s="20" t="str">
        <f aca="false">IF(B472="","",IF(G472&lt;&gt;"",G472,E472))</f>
        <v/>
      </c>
      <c r="J472" s="21" t="str">
        <f aca="false">IF(B472="","",IF(H472&lt;&gt;"",H472,F472))</f>
        <v/>
      </c>
      <c r="K472" s="26" t="str">
        <f aca="false">IF(A472="","",DATE(YEAR(A472),MONTH(A472),1))</f>
        <v/>
      </c>
      <c r="L472" s="21" t="str">
        <f aca="false">IF(J472="",IF(B472="","",IF(N(C472)&gt;=0,"Income","Expense")),IFERROR(INDEX(Lists!$B$2:$B$30,MATCH(J472,Lists!$A$2:$A$30,0)),""))</f>
        <v/>
      </c>
      <c r="M472" s="24"/>
      <c r="N472" s="27" t="str">
        <f aca="false">IF(B472="","",IFERROR(1000-SUMPRODUCT(MAX(ISNUMBER(SEARCH(Rules!$A$5:$A$204,B472))*(Rules!$A$5:$A$204&lt;&gt;"")*(1000-ROW(Rules!$A$5:$A$204)))),""))</f>
        <v/>
      </c>
    </row>
    <row r="473" customFormat="false" ht="15" hidden="false" customHeight="false" outlineLevel="0" collapsed="false">
      <c r="A473" s="23"/>
      <c r="B473" s="24"/>
      <c r="C473" s="25"/>
      <c r="D473" s="24"/>
      <c r="E473" s="21" t="str">
        <f aca="false">IF(OR(B473="",N(N473)=0,N473=1000),IF(B473="","","Check"),INDEX(Rules!$B:$B,N473))</f>
        <v/>
      </c>
      <c r="F473" s="21" t="str">
        <f aca="false">IF(OR(B473="",N(N473)=0,N473=1000),"",INDEX(Rules!$C:$C,N473))</f>
        <v/>
      </c>
      <c r="G473" s="24"/>
      <c r="H473" s="24"/>
      <c r="I473" s="20" t="str">
        <f aca="false">IF(B473="","",IF(G473&lt;&gt;"",G473,E473))</f>
        <v/>
      </c>
      <c r="J473" s="21" t="str">
        <f aca="false">IF(B473="","",IF(H473&lt;&gt;"",H473,F473))</f>
        <v/>
      </c>
      <c r="K473" s="26" t="str">
        <f aca="false">IF(A473="","",DATE(YEAR(A473),MONTH(A473),1))</f>
        <v/>
      </c>
      <c r="L473" s="21" t="str">
        <f aca="false">IF(J473="",IF(B473="","",IF(N(C473)&gt;=0,"Income","Expense")),IFERROR(INDEX(Lists!$B$2:$B$30,MATCH(J473,Lists!$A$2:$A$30,0)),""))</f>
        <v/>
      </c>
      <c r="M473" s="24"/>
      <c r="N473" s="27" t="str">
        <f aca="false">IF(B473="","",IFERROR(1000-SUMPRODUCT(MAX(ISNUMBER(SEARCH(Rules!$A$5:$A$204,B473))*(Rules!$A$5:$A$204&lt;&gt;"")*(1000-ROW(Rules!$A$5:$A$204)))),""))</f>
        <v/>
      </c>
    </row>
    <row r="474" customFormat="false" ht="15" hidden="false" customHeight="false" outlineLevel="0" collapsed="false">
      <c r="A474" s="23"/>
      <c r="B474" s="24"/>
      <c r="C474" s="25"/>
      <c r="D474" s="24"/>
      <c r="E474" s="21" t="str">
        <f aca="false">IF(OR(B474="",N(N474)=0,N474=1000),IF(B474="","","Check"),INDEX(Rules!$B:$B,N474))</f>
        <v/>
      </c>
      <c r="F474" s="21" t="str">
        <f aca="false">IF(OR(B474="",N(N474)=0,N474=1000),"",INDEX(Rules!$C:$C,N474))</f>
        <v/>
      </c>
      <c r="G474" s="24"/>
      <c r="H474" s="24"/>
      <c r="I474" s="20" t="str">
        <f aca="false">IF(B474="","",IF(G474&lt;&gt;"",G474,E474))</f>
        <v/>
      </c>
      <c r="J474" s="21" t="str">
        <f aca="false">IF(B474="","",IF(H474&lt;&gt;"",H474,F474))</f>
        <v/>
      </c>
      <c r="K474" s="26" t="str">
        <f aca="false">IF(A474="","",DATE(YEAR(A474),MONTH(A474),1))</f>
        <v/>
      </c>
      <c r="L474" s="21" t="str">
        <f aca="false">IF(J474="",IF(B474="","",IF(N(C474)&gt;=0,"Income","Expense")),IFERROR(INDEX(Lists!$B$2:$B$30,MATCH(J474,Lists!$A$2:$A$30,0)),""))</f>
        <v/>
      </c>
      <c r="M474" s="24"/>
      <c r="N474" s="27" t="str">
        <f aca="false">IF(B474="","",IFERROR(1000-SUMPRODUCT(MAX(ISNUMBER(SEARCH(Rules!$A$5:$A$204,B474))*(Rules!$A$5:$A$204&lt;&gt;"")*(1000-ROW(Rules!$A$5:$A$204)))),""))</f>
        <v/>
      </c>
    </row>
    <row r="475" customFormat="false" ht="15" hidden="false" customHeight="false" outlineLevel="0" collapsed="false">
      <c r="A475" s="23"/>
      <c r="B475" s="24"/>
      <c r="C475" s="25"/>
      <c r="D475" s="24"/>
      <c r="E475" s="21" t="str">
        <f aca="false">IF(OR(B475="",N(N475)=0,N475=1000),IF(B475="","","Check"),INDEX(Rules!$B:$B,N475))</f>
        <v/>
      </c>
      <c r="F475" s="21" t="str">
        <f aca="false">IF(OR(B475="",N(N475)=0,N475=1000),"",INDEX(Rules!$C:$C,N475))</f>
        <v/>
      </c>
      <c r="G475" s="24"/>
      <c r="H475" s="24"/>
      <c r="I475" s="20" t="str">
        <f aca="false">IF(B475="","",IF(G475&lt;&gt;"",G475,E475))</f>
        <v/>
      </c>
      <c r="J475" s="21" t="str">
        <f aca="false">IF(B475="","",IF(H475&lt;&gt;"",H475,F475))</f>
        <v/>
      </c>
      <c r="K475" s="26" t="str">
        <f aca="false">IF(A475="","",DATE(YEAR(A475),MONTH(A475),1))</f>
        <v/>
      </c>
      <c r="L475" s="21" t="str">
        <f aca="false">IF(J475="",IF(B475="","",IF(N(C475)&gt;=0,"Income","Expense")),IFERROR(INDEX(Lists!$B$2:$B$30,MATCH(J475,Lists!$A$2:$A$30,0)),""))</f>
        <v/>
      </c>
      <c r="M475" s="24"/>
      <c r="N475" s="27" t="str">
        <f aca="false">IF(B475="","",IFERROR(1000-SUMPRODUCT(MAX(ISNUMBER(SEARCH(Rules!$A$5:$A$204,B475))*(Rules!$A$5:$A$204&lt;&gt;"")*(1000-ROW(Rules!$A$5:$A$204)))),""))</f>
        <v/>
      </c>
    </row>
    <row r="476" customFormat="false" ht="15" hidden="false" customHeight="false" outlineLevel="0" collapsed="false">
      <c r="A476" s="23"/>
      <c r="B476" s="24"/>
      <c r="C476" s="25"/>
      <c r="D476" s="24"/>
      <c r="E476" s="21" t="str">
        <f aca="false">IF(OR(B476="",N(N476)=0,N476=1000),IF(B476="","","Check"),INDEX(Rules!$B:$B,N476))</f>
        <v/>
      </c>
      <c r="F476" s="21" t="str">
        <f aca="false">IF(OR(B476="",N(N476)=0,N476=1000),"",INDEX(Rules!$C:$C,N476))</f>
        <v/>
      </c>
      <c r="G476" s="24"/>
      <c r="H476" s="24"/>
      <c r="I476" s="20" t="str">
        <f aca="false">IF(B476="","",IF(G476&lt;&gt;"",G476,E476))</f>
        <v/>
      </c>
      <c r="J476" s="21" t="str">
        <f aca="false">IF(B476="","",IF(H476&lt;&gt;"",H476,F476))</f>
        <v/>
      </c>
      <c r="K476" s="26" t="str">
        <f aca="false">IF(A476="","",DATE(YEAR(A476),MONTH(A476),1))</f>
        <v/>
      </c>
      <c r="L476" s="21" t="str">
        <f aca="false">IF(J476="",IF(B476="","",IF(N(C476)&gt;=0,"Income","Expense")),IFERROR(INDEX(Lists!$B$2:$B$30,MATCH(J476,Lists!$A$2:$A$30,0)),""))</f>
        <v/>
      </c>
      <c r="M476" s="24"/>
      <c r="N476" s="27" t="str">
        <f aca="false">IF(B476="","",IFERROR(1000-SUMPRODUCT(MAX(ISNUMBER(SEARCH(Rules!$A$5:$A$204,B476))*(Rules!$A$5:$A$204&lt;&gt;"")*(1000-ROW(Rules!$A$5:$A$204)))),""))</f>
        <v/>
      </c>
    </row>
    <row r="477" customFormat="false" ht="15" hidden="false" customHeight="false" outlineLevel="0" collapsed="false">
      <c r="A477" s="23"/>
      <c r="B477" s="24"/>
      <c r="C477" s="25"/>
      <c r="D477" s="24"/>
      <c r="E477" s="21" t="str">
        <f aca="false">IF(OR(B477="",N(N477)=0,N477=1000),IF(B477="","","Check"),INDEX(Rules!$B:$B,N477))</f>
        <v/>
      </c>
      <c r="F477" s="21" t="str">
        <f aca="false">IF(OR(B477="",N(N477)=0,N477=1000),"",INDEX(Rules!$C:$C,N477))</f>
        <v/>
      </c>
      <c r="G477" s="24"/>
      <c r="H477" s="24"/>
      <c r="I477" s="20" t="str">
        <f aca="false">IF(B477="","",IF(G477&lt;&gt;"",G477,E477))</f>
        <v/>
      </c>
      <c r="J477" s="21" t="str">
        <f aca="false">IF(B477="","",IF(H477&lt;&gt;"",H477,F477))</f>
        <v/>
      </c>
      <c r="K477" s="26" t="str">
        <f aca="false">IF(A477="","",DATE(YEAR(A477),MONTH(A477),1))</f>
        <v/>
      </c>
      <c r="L477" s="21" t="str">
        <f aca="false">IF(J477="",IF(B477="","",IF(N(C477)&gt;=0,"Income","Expense")),IFERROR(INDEX(Lists!$B$2:$B$30,MATCH(J477,Lists!$A$2:$A$30,0)),""))</f>
        <v/>
      </c>
      <c r="M477" s="24"/>
      <c r="N477" s="27" t="str">
        <f aca="false">IF(B477="","",IFERROR(1000-SUMPRODUCT(MAX(ISNUMBER(SEARCH(Rules!$A$5:$A$204,B477))*(Rules!$A$5:$A$204&lt;&gt;"")*(1000-ROW(Rules!$A$5:$A$204)))),""))</f>
        <v/>
      </c>
    </row>
    <row r="478" customFormat="false" ht="15" hidden="false" customHeight="false" outlineLevel="0" collapsed="false">
      <c r="A478" s="23"/>
      <c r="B478" s="24"/>
      <c r="C478" s="25"/>
      <c r="D478" s="24"/>
      <c r="E478" s="21" t="str">
        <f aca="false">IF(OR(B478="",N(N478)=0,N478=1000),IF(B478="","","Check"),INDEX(Rules!$B:$B,N478))</f>
        <v/>
      </c>
      <c r="F478" s="21" t="str">
        <f aca="false">IF(OR(B478="",N(N478)=0,N478=1000),"",INDEX(Rules!$C:$C,N478))</f>
        <v/>
      </c>
      <c r="G478" s="24"/>
      <c r="H478" s="24"/>
      <c r="I478" s="20" t="str">
        <f aca="false">IF(B478="","",IF(G478&lt;&gt;"",G478,E478))</f>
        <v/>
      </c>
      <c r="J478" s="21" t="str">
        <f aca="false">IF(B478="","",IF(H478&lt;&gt;"",H478,F478))</f>
        <v/>
      </c>
      <c r="K478" s="26" t="str">
        <f aca="false">IF(A478="","",DATE(YEAR(A478),MONTH(A478),1))</f>
        <v/>
      </c>
      <c r="L478" s="21" t="str">
        <f aca="false">IF(J478="",IF(B478="","",IF(N(C478)&gt;=0,"Income","Expense")),IFERROR(INDEX(Lists!$B$2:$B$30,MATCH(J478,Lists!$A$2:$A$30,0)),""))</f>
        <v/>
      </c>
      <c r="M478" s="24"/>
      <c r="N478" s="27" t="str">
        <f aca="false">IF(B478="","",IFERROR(1000-SUMPRODUCT(MAX(ISNUMBER(SEARCH(Rules!$A$5:$A$204,B478))*(Rules!$A$5:$A$204&lt;&gt;"")*(1000-ROW(Rules!$A$5:$A$204)))),""))</f>
        <v/>
      </c>
    </row>
    <row r="479" customFormat="false" ht="15" hidden="false" customHeight="false" outlineLevel="0" collapsed="false">
      <c r="A479" s="23"/>
      <c r="B479" s="24"/>
      <c r="C479" s="25"/>
      <c r="D479" s="24"/>
      <c r="E479" s="21" t="str">
        <f aca="false">IF(OR(B479="",N(N479)=0,N479=1000),IF(B479="","","Check"),INDEX(Rules!$B:$B,N479))</f>
        <v/>
      </c>
      <c r="F479" s="21" t="str">
        <f aca="false">IF(OR(B479="",N(N479)=0,N479=1000),"",INDEX(Rules!$C:$C,N479))</f>
        <v/>
      </c>
      <c r="G479" s="24"/>
      <c r="H479" s="24"/>
      <c r="I479" s="20" t="str">
        <f aca="false">IF(B479="","",IF(G479&lt;&gt;"",G479,E479))</f>
        <v/>
      </c>
      <c r="J479" s="21" t="str">
        <f aca="false">IF(B479="","",IF(H479&lt;&gt;"",H479,F479))</f>
        <v/>
      </c>
      <c r="K479" s="26" t="str">
        <f aca="false">IF(A479="","",DATE(YEAR(A479),MONTH(A479),1))</f>
        <v/>
      </c>
      <c r="L479" s="21" t="str">
        <f aca="false">IF(J479="",IF(B479="","",IF(N(C479)&gt;=0,"Income","Expense")),IFERROR(INDEX(Lists!$B$2:$B$30,MATCH(J479,Lists!$A$2:$A$30,0)),""))</f>
        <v/>
      </c>
      <c r="M479" s="24"/>
      <c r="N479" s="27" t="str">
        <f aca="false">IF(B479="","",IFERROR(1000-SUMPRODUCT(MAX(ISNUMBER(SEARCH(Rules!$A$5:$A$204,B479))*(Rules!$A$5:$A$204&lt;&gt;"")*(1000-ROW(Rules!$A$5:$A$204)))),""))</f>
        <v/>
      </c>
    </row>
    <row r="480" customFormat="false" ht="15" hidden="false" customHeight="false" outlineLevel="0" collapsed="false">
      <c r="A480" s="23"/>
      <c r="B480" s="24"/>
      <c r="C480" s="25"/>
      <c r="D480" s="24"/>
      <c r="E480" s="21" t="str">
        <f aca="false">IF(OR(B480="",N(N480)=0,N480=1000),IF(B480="","","Check"),INDEX(Rules!$B:$B,N480))</f>
        <v/>
      </c>
      <c r="F480" s="21" t="str">
        <f aca="false">IF(OR(B480="",N(N480)=0,N480=1000),"",INDEX(Rules!$C:$C,N480))</f>
        <v/>
      </c>
      <c r="G480" s="24"/>
      <c r="H480" s="24"/>
      <c r="I480" s="20" t="str">
        <f aca="false">IF(B480="","",IF(G480&lt;&gt;"",G480,E480))</f>
        <v/>
      </c>
      <c r="J480" s="21" t="str">
        <f aca="false">IF(B480="","",IF(H480&lt;&gt;"",H480,F480))</f>
        <v/>
      </c>
      <c r="K480" s="26" t="str">
        <f aca="false">IF(A480="","",DATE(YEAR(A480),MONTH(A480),1))</f>
        <v/>
      </c>
      <c r="L480" s="21" t="str">
        <f aca="false">IF(J480="",IF(B480="","",IF(N(C480)&gt;=0,"Income","Expense")),IFERROR(INDEX(Lists!$B$2:$B$30,MATCH(J480,Lists!$A$2:$A$30,0)),""))</f>
        <v/>
      </c>
      <c r="M480" s="24"/>
      <c r="N480" s="27" t="str">
        <f aca="false">IF(B480="","",IFERROR(1000-SUMPRODUCT(MAX(ISNUMBER(SEARCH(Rules!$A$5:$A$204,B480))*(Rules!$A$5:$A$204&lt;&gt;"")*(1000-ROW(Rules!$A$5:$A$204)))),""))</f>
        <v/>
      </c>
    </row>
    <row r="481" customFormat="false" ht="15" hidden="false" customHeight="false" outlineLevel="0" collapsed="false">
      <c r="A481" s="23"/>
      <c r="B481" s="24"/>
      <c r="C481" s="25"/>
      <c r="D481" s="24"/>
      <c r="E481" s="21" t="str">
        <f aca="false">IF(OR(B481="",N(N481)=0,N481=1000),IF(B481="","","Check"),INDEX(Rules!$B:$B,N481))</f>
        <v/>
      </c>
      <c r="F481" s="21" t="str">
        <f aca="false">IF(OR(B481="",N(N481)=0,N481=1000),"",INDEX(Rules!$C:$C,N481))</f>
        <v/>
      </c>
      <c r="G481" s="24"/>
      <c r="H481" s="24"/>
      <c r="I481" s="20" t="str">
        <f aca="false">IF(B481="","",IF(G481&lt;&gt;"",G481,E481))</f>
        <v/>
      </c>
      <c r="J481" s="21" t="str">
        <f aca="false">IF(B481="","",IF(H481&lt;&gt;"",H481,F481))</f>
        <v/>
      </c>
      <c r="K481" s="26" t="str">
        <f aca="false">IF(A481="","",DATE(YEAR(A481),MONTH(A481),1))</f>
        <v/>
      </c>
      <c r="L481" s="21" t="str">
        <f aca="false">IF(J481="",IF(B481="","",IF(N(C481)&gt;=0,"Income","Expense")),IFERROR(INDEX(Lists!$B$2:$B$30,MATCH(J481,Lists!$A$2:$A$30,0)),""))</f>
        <v/>
      </c>
      <c r="M481" s="24"/>
      <c r="N481" s="27" t="str">
        <f aca="false">IF(B481="","",IFERROR(1000-SUMPRODUCT(MAX(ISNUMBER(SEARCH(Rules!$A$5:$A$204,B481))*(Rules!$A$5:$A$204&lt;&gt;"")*(1000-ROW(Rules!$A$5:$A$204)))),""))</f>
        <v/>
      </c>
    </row>
    <row r="482" customFormat="false" ht="15" hidden="false" customHeight="false" outlineLevel="0" collapsed="false">
      <c r="A482" s="23"/>
      <c r="B482" s="24"/>
      <c r="C482" s="25"/>
      <c r="D482" s="24"/>
      <c r="E482" s="21" t="str">
        <f aca="false">IF(OR(B482="",N(N482)=0,N482=1000),IF(B482="","","Check"),INDEX(Rules!$B:$B,N482))</f>
        <v/>
      </c>
      <c r="F482" s="21" t="str">
        <f aca="false">IF(OR(B482="",N(N482)=0,N482=1000),"",INDEX(Rules!$C:$C,N482))</f>
        <v/>
      </c>
      <c r="G482" s="24"/>
      <c r="H482" s="24"/>
      <c r="I482" s="20" t="str">
        <f aca="false">IF(B482="","",IF(G482&lt;&gt;"",G482,E482))</f>
        <v/>
      </c>
      <c r="J482" s="21" t="str">
        <f aca="false">IF(B482="","",IF(H482&lt;&gt;"",H482,F482))</f>
        <v/>
      </c>
      <c r="K482" s="26" t="str">
        <f aca="false">IF(A482="","",DATE(YEAR(A482),MONTH(A482),1))</f>
        <v/>
      </c>
      <c r="L482" s="21" t="str">
        <f aca="false">IF(J482="",IF(B482="","",IF(N(C482)&gt;=0,"Income","Expense")),IFERROR(INDEX(Lists!$B$2:$B$30,MATCH(J482,Lists!$A$2:$A$30,0)),""))</f>
        <v/>
      </c>
      <c r="M482" s="24"/>
      <c r="N482" s="27" t="str">
        <f aca="false">IF(B482="","",IFERROR(1000-SUMPRODUCT(MAX(ISNUMBER(SEARCH(Rules!$A$5:$A$204,B482))*(Rules!$A$5:$A$204&lt;&gt;"")*(1000-ROW(Rules!$A$5:$A$204)))),""))</f>
        <v/>
      </c>
    </row>
    <row r="483" customFormat="false" ht="15" hidden="false" customHeight="false" outlineLevel="0" collapsed="false">
      <c r="A483" s="23"/>
      <c r="B483" s="24"/>
      <c r="C483" s="25"/>
      <c r="D483" s="24"/>
      <c r="E483" s="21" t="str">
        <f aca="false">IF(OR(B483="",N(N483)=0,N483=1000),IF(B483="","","Check"),INDEX(Rules!$B:$B,N483))</f>
        <v/>
      </c>
      <c r="F483" s="21" t="str">
        <f aca="false">IF(OR(B483="",N(N483)=0,N483=1000),"",INDEX(Rules!$C:$C,N483))</f>
        <v/>
      </c>
      <c r="G483" s="24"/>
      <c r="H483" s="24"/>
      <c r="I483" s="20" t="str">
        <f aca="false">IF(B483="","",IF(G483&lt;&gt;"",G483,E483))</f>
        <v/>
      </c>
      <c r="J483" s="21" t="str">
        <f aca="false">IF(B483="","",IF(H483&lt;&gt;"",H483,F483))</f>
        <v/>
      </c>
      <c r="K483" s="26" t="str">
        <f aca="false">IF(A483="","",DATE(YEAR(A483),MONTH(A483),1))</f>
        <v/>
      </c>
      <c r="L483" s="21" t="str">
        <f aca="false">IF(J483="",IF(B483="","",IF(N(C483)&gt;=0,"Income","Expense")),IFERROR(INDEX(Lists!$B$2:$B$30,MATCH(J483,Lists!$A$2:$A$30,0)),""))</f>
        <v/>
      </c>
      <c r="M483" s="24"/>
      <c r="N483" s="27" t="str">
        <f aca="false">IF(B483="","",IFERROR(1000-SUMPRODUCT(MAX(ISNUMBER(SEARCH(Rules!$A$5:$A$204,B483))*(Rules!$A$5:$A$204&lt;&gt;"")*(1000-ROW(Rules!$A$5:$A$204)))),""))</f>
        <v/>
      </c>
    </row>
    <row r="484" customFormat="false" ht="15" hidden="false" customHeight="false" outlineLevel="0" collapsed="false">
      <c r="A484" s="23"/>
      <c r="B484" s="24"/>
      <c r="C484" s="25"/>
      <c r="D484" s="24"/>
      <c r="E484" s="21" t="str">
        <f aca="false">IF(OR(B484="",N(N484)=0,N484=1000),IF(B484="","","Check"),INDEX(Rules!$B:$B,N484))</f>
        <v/>
      </c>
      <c r="F484" s="21" t="str">
        <f aca="false">IF(OR(B484="",N(N484)=0,N484=1000),"",INDEX(Rules!$C:$C,N484))</f>
        <v/>
      </c>
      <c r="G484" s="24"/>
      <c r="H484" s="24"/>
      <c r="I484" s="20" t="str">
        <f aca="false">IF(B484="","",IF(G484&lt;&gt;"",G484,E484))</f>
        <v/>
      </c>
      <c r="J484" s="21" t="str">
        <f aca="false">IF(B484="","",IF(H484&lt;&gt;"",H484,F484))</f>
        <v/>
      </c>
      <c r="K484" s="26" t="str">
        <f aca="false">IF(A484="","",DATE(YEAR(A484),MONTH(A484),1))</f>
        <v/>
      </c>
      <c r="L484" s="21" t="str">
        <f aca="false">IF(J484="",IF(B484="","",IF(N(C484)&gt;=0,"Income","Expense")),IFERROR(INDEX(Lists!$B$2:$B$30,MATCH(J484,Lists!$A$2:$A$30,0)),""))</f>
        <v/>
      </c>
      <c r="M484" s="24"/>
      <c r="N484" s="27" t="str">
        <f aca="false">IF(B484="","",IFERROR(1000-SUMPRODUCT(MAX(ISNUMBER(SEARCH(Rules!$A$5:$A$204,B484))*(Rules!$A$5:$A$204&lt;&gt;"")*(1000-ROW(Rules!$A$5:$A$204)))),""))</f>
        <v/>
      </c>
    </row>
    <row r="485" customFormat="false" ht="15" hidden="false" customHeight="false" outlineLevel="0" collapsed="false">
      <c r="A485" s="23"/>
      <c r="B485" s="24"/>
      <c r="C485" s="25"/>
      <c r="D485" s="24"/>
      <c r="E485" s="21" t="str">
        <f aca="false">IF(OR(B485="",N(N485)=0,N485=1000),IF(B485="","","Check"),INDEX(Rules!$B:$B,N485))</f>
        <v/>
      </c>
      <c r="F485" s="21" t="str">
        <f aca="false">IF(OR(B485="",N(N485)=0,N485=1000),"",INDEX(Rules!$C:$C,N485))</f>
        <v/>
      </c>
      <c r="G485" s="24"/>
      <c r="H485" s="24"/>
      <c r="I485" s="20" t="str">
        <f aca="false">IF(B485="","",IF(G485&lt;&gt;"",G485,E485))</f>
        <v/>
      </c>
      <c r="J485" s="21" t="str">
        <f aca="false">IF(B485="","",IF(H485&lt;&gt;"",H485,F485))</f>
        <v/>
      </c>
      <c r="K485" s="26" t="str">
        <f aca="false">IF(A485="","",DATE(YEAR(A485),MONTH(A485),1))</f>
        <v/>
      </c>
      <c r="L485" s="21" t="str">
        <f aca="false">IF(J485="",IF(B485="","",IF(N(C485)&gt;=0,"Income","Expense")),IFERROR(INDEX(Lists!$B$2:$B$30,MATCH(J485,Lists!$A$2:$A$30,0)),""))</f>
        <v/>
      </c>
      <c r="M485" s="24"/>
      <c r="N485" s="27" t="str">
        <f aca="false">IF(B485="","",IFERROR(1000-SUMPRODUCT(MAX(ISNUMBER(SEARCH(Rules!$A$5:$A$204,B485))*(Rules!$A$5:$A$204&lt;&gt;"")*(1000-ROW(Rules!$A$5:$A$204)))),""))</f>
        <v/>
      </c>
    </row>
    <row r="486" customFormat="false" ht="15" hidden="false" customHeight="false" outlineLevel="0" collapsed="false">
      <c r="A486" s="23"/>
      <c r="B486" s="24"/>
      <c r="C486" s="25"/>
      <c r="D486" s="24"/>
      <c r="E486" s="21" t="str">
        <f aca="false">IF(OR(B486="",N(N486)=0,N486=1000),IF(B486="","","Check"),INDEX(Rules!$B:$B,N486))</f>
        <v/>
      </c>
      <c r="F486" s="21" t="str">
        <f aca="false">IF(OR(B486="",N(N486)=0,N486=1000),"",INDEX(Rules!$C:$C,N486))</f>
        <v/>
      </c>
      <c r="G486" s="24"/>
      <c r="H486" s="24"/>
      <c r="I486" s="20" t="str">
        <f aca="false">IF(B486="","",IF(G486&lt;&gt;"",G486,E486))</f>
        <v/>
      </c>
      <c r="J486" s="21" t="str">
        <f aca="false">IF(B486="","",IF(H486&lt;&gt;"",H486,F486))</f>
        <v/>
      </c>
      <c r="K486" s="26" t="str">
        <f aca="false">IF(A486="","",DATE(YEAR(A486),MONTH(A486),1))</f>
        <v/>
      </c>
      <c r="L486" s="21" t="str">
        <f aca="false">IF(J486="",IF(B486="","",IF(N(C486)&gt;=0,"Income","Expense")),IFERROR(INDEX(Lists!$B$2:$B$30,MATCH(J486,Lists!$A$2:$A$30,0)),""))</f>
        <v/>
      </c>
      <c r="M486" s="24"/>
      <c r="N486" s="27" t="str">
        <f aca="false">IF(B486="","",IFERROR(1000-SUMPRODUCT(MAX(ISNUMBER(SEARCH(Rules!$A$5:$A$204,B486))*(Rules!$A$5:$A$204&lt;&gt;"")*(1000-ROW(Rules!$A$5:$A$204)))),""))</f>
        <v/>
      </c>
    </row>
    <row r="487" customFormat="false" ht="15" hidden="false" customHeight="false" outlineLevel="0" collapsed="false">
      <c r="A487" s="23"/>
      <c r="B487" s="24"/>
      <c r="C487" s="25"/>
      <c r="D487" s="24"/>
      <c r="E487" s="21" t="str">
        <f aca="false">IF(OR(B487="",N(N487)=0,N487=1000),IF(B487="","","Check"),INDEX(Rules!$B:$B,N487))</f>
        <v/>
      </c>
      <c r="F487" s="21" t="str">
        <f aca="false">IF(OR(B487="",N(N487)=0,N487=1000),"",INDEX(Rules!$C:$C,N487))</f>
        <v/>
      </c>
      <c r="G487" s="24"/>
      <c r="H487" s="24"/>
      <c r="I487" s="20" t="str">
        <f aca="false">IF(B487="","",IF(G487&lt;&gt;"",G487,E487))</f>
        <v/>
      </c>
      <c r="J487" s="21" t="str">
        <f aca="false">IF(B487="","",IF(H487&lt;&gt;"",H487,F487))</f>
        <v/>
      </c>
      <c r="K487" s="26" t="str">
        <f aca="false">IF(A487="","",DATE(YEAR(A487),MONTH(A487),1))</f>
        <v/>
      </c>
      <c r="L487" s="21" t="str">
        <f aca="false">IF(J487="",IF(B487="","",IF(N(C487)&gt;=0,"Income","Expense")),IFERROR(INDEX(Lists!$B$2:$B$30,MATCH(J487,Lists!$A$2:$A$30,0)),""))</f>
        <v/>
      </c>
      <c r="M487" s="24"/>
      <c r="N487" s="27" t="str">
        <f aca="false">IF(B487="","",IFERROR(1000-SUMPRODUCT(MAX(ISNUMBER(SEARCH(Rules!$A$5:$A$204,B487))*(Rules!$A$5:$A$204&lt;&gt;"")*(1000-ROW(Rules!$A$5:$A$204)))),""))</f>
        <v/>
      </c>
    </row>
    <row r="488" customFormat="false" ht="15" hidden="false" customHeight="false" outlineLevel="0" collapsed="false">
      <c r="A488" s="23"/>
      <c r="B488" s="24"/>
      <c r="C488" s="25"/>
      <c r="D488" s="24"/>
      <c r="E488" s="21" t="str">
        <f aca="false">IF(OR(B488="",N(N488)=0,N488=1000),IF(B488="","","Check"),INDEX(Rules!$B:$B,N488))</f>
        <v/>
      </c>
      <c r="F488" s="21" t="str">
        <f aca="false">IF(OR(B488="",N(N488)=0,N488=1000),"",INDEX(Rules!$C:$C,N488))</f>
        <v/>
      </c>
      <c r="G488" s="24"/>
      <c r="H488" s="24"/>
      <c r="I488" s="20" t="str">
        <f aca="false">IF(B488="","",IF(G488&lt;&gt;"",G488,E488))</f>
        <v/>
      </c>
      <c r="J488" s="21" t="str">
        <f aca="false">IF(B488="","",IF(H488&lt;&gt;"",H488,F488))</f>
        <v/>
      </c>
      <c r="K488" s="26" t="str">
        <f aca="false">IF(A488="","",DATE(YEAR(A488),MONTH(A488),1))</f>
        <v/>
      </c>
      <c r="L488" s="21" t="str">
        <f aca="false">IF(J488="",IF(B488="","",IF(N(C488)&gt;=0,"Income","Expense")),IFERROR(INDEX(Lists!$B$2:$B$30,MATCH(J488,Lists!$A$2:$A$30,0)),""))</f>
        <v/>
      </c>
      <c r="M488" s="24"/>
      <c r="N488" s="27" t="str">
        <f aca="false">IF(B488="","",IFERROR(1000-SUMPRODUCT(MAX(ISNUMBER(SEARCH(Rules!$A$5:$A$204,B488))*(Rules!$A$5:$A$204&lt;&gt;"")*(1000-ROW(Rules!$A$5:$A$204)))),""))</f>
        <v/>
      </c>
    </row>
    <row r="489" customFormat="false" ht="15" hidden="false" customHeight="false" outlineLevel="0" collapsed="false">
      <c r="A489" s="23"/>
      <c r="B489" s="24"/>
      <c r="C489" s="25"/>
      <c r="D489" s="24"/>
      <c r="E489" s="21" t="str">
        <f aca="false">IF(OR(B489="",N(N489)=0,N489=1000),IF(B489="","","Check"),INDEX(Rules!$B:$B,N489))</f>
        <v/>
      </c>
      <c r="F489" s="21" t="str">
        <f aca="false">IF(OR(B489="",N(N489)=0,N489=1000),"",INDEX(Rules!$C:$C,N489))</f>
        <v/>
      </c>
      <c r="G489" s="24"/>
      <c r="H489" s="24"/>
      <c r="I489" s="20" t="str">
        <f aca="false">IF(B489="","",IF(G489&lt;&gt;"",G489,E489))</f>
        <v/>
      </c>
      <c r="J489" s="21" t="str">
        <f aca="false">IF(B489="","",IF(H489&lt;&gt;"",H489,F489))</f>
        <v/>
      </c>
      <c r="K489" s="26" t="str">
        <f aca="false">IF(A489="","",DATE(YEAR(A489),MONTH(A489),1))</f>
        <v/>
      </c>
      <c r="L489" s="21" t="str">
        <f aca="false">IF(J489="",IF(B489="","",IF(N(C489)&gt;=0,"Income","Expense")),IFERROR(INDEX(Lists!$B$2:$B$30,MATCH(J489,Lists!$A$2:$A$30,0)),""))</f>
        <v/>
      </c>
      <c r="M489" s="24"/>
      <c r="N489" s="27" t="str">
        <f aca="false">IF(B489="","",IFERROR(1000-SUMPRODUCT(MAX(ISNUMBER(SEARCH(Rules!$A$5:$A$204,B489))*(Rules!$A$5:$A$204&lt;&gt;"")*(1000-ROW(Rules!$A$5:$A$204)))),""))</f>
        <v/>
      </c>
    </row>
    <row r="490" customFormat="false" ht="15" hidden="false" customHeight="false" outlineLevel="0" collapsed="false">
      <c r="A490" s="23"/>
      <c r="B490" s="24"/>
      <c r="C490" s="25"/>
      <c r="D490" s="24"/>
      <c r="E490" s="21" t="str">
        <f aca="false">IF(OR(B490="",N(N490)=0,N490=1000),IF(B490="","","Check"),INDEX(Rules!$B:$B,N490))</f>
        <v/>
      </c>
      <c r="F490" s="21" t="str">
        <f aca="false">IF(OR(B490="",N(N490)=0,N490=1000),"",INDEX(Rules!$C:$C,N490))</f>
        <v/>
      </c>
      <c r="G490" s="24"/>
      <c r="H490" s="24"/>
      <c r="I490" s="20" t="str">
        <f aca="false">IF(B490="","",IF(G490&lt;&gt;"",G490,E490))</f>
        <v/>
      </c>
      <c r="J490" s="21" t="str">
        <f aca="false">IF(B490="","",IF(H490&lt;&gt;"",H490,F490))</f>
        <v/>
      </c>
      <c r="K490" s="26" t="str">
        <f aca="false">IF(A490="","",DATE(YEAR(A490),MONTH(A490),1))</f>
        <v/>
      </c>
      <c r="L490" s="21" t="str">
        <f aca="false">IF(J490="",IF(B490="","",IF(N(C490)&gt;=0,"Income","Expense")),IFERROR(INDEX(Lists!$B$2:$B$30,MATCH(J490,Lists!$A$2:$A$30,0)),""))</f>
        <v/>
      </c>
      <c r="M490" s="24"/>
      <c r="N490" s="27" t="str">
        <f aca="false">IF(B490="","",IFERROR(1000-SUMPRODUCT(MAX(ISNUMBER(SEARCH(Rules!$A$5:$A$204,B490))*(Rules!$A$5:$A$204&lt;&gt;"")*(1000-ROW(Rules!$A$5:$A$204)))),""))</f>
        <v/>
      </c>
    </row>
    <row r="491" customFormat="false" ht="15" hidden="false" customHeight="false" outlineLevel="0" collapsed="false">
      <c r="A491" s="23"/>
      <c r="B491" s="24"/>
      <c r="C491" s="25"/>
      <c r="D491" s="24"/>
      <c r="E491" s="21" t="str">
        <f aca="false">IF(OR(B491="",N(N491)=0,N491=1000),IF(B491="","","Check"),INDEX(Rules!$B:$B,N491))</f>
        <v/>
      </c>
      <c r="F491" s="21" t="str">
        <f aca="false">IF(OR(B491="",N(N491)=0,N491=1000),"",INDEX(Rules!$C:$C,N491))</f>
        <v/>
      </c>
      <c r="G491" s="24"/>
      <c r="H491" s="24"/>
      <c r="I491" s="20" t="str">
        <f aca="false">IF(B491="","",IF(G491&lt;&gt;"",G491,E491))</f>
        <v/>
      </c>
      <c r="J491" s="21" t="str">
        <f aca="false">IF(B491="","",IF(H491&lt;&gt;"",H491,F491))</f>
        <v/>
      </c>
      <c r="K491" s="26" t="str">
        <f aca="false">IF(A491="","",DATE(YEAR(A491),MONTH(A491),1))</f>
        <v/>
      </c>
      <c r="L491" s="21" t="str">
        <f aca="false">IF(J491="",IF(B491="","",IF(N(C491)&gt;=0,"Income","Expense")),IFERROR(INDEX(Lists!$B$2:$B$30,MATCH(J491,Lists!$A$2:$A$30,0)),""))</f>
        <v/>
      </c>
      <c r="M491" s="24"/>
      <c r="N491" s="27" t="str">
        <f aca="false">IF(B491="","",IFERROR(1000-SUMPRODUCT(MAX(ISNUMBER(SEARCH(Rules!$A$5:$A$204,B491))*(Rules!$A$5:$A$204&lt;&gt;"")*(1000-ROW(Rules!$A$5:$A$204)))),""))</f>
        <v/>
      </c>
    </row>
    <row r="492" customFormat="false" ht="15" hidden="false" customHeight="false" outlineLevel="0" collapsed="false">
      <c r="A492" s="23"/>
      <c r="B492" s="24"/>
      <c r="C492" s="25"/>
      <c r="D492" s="24"/>
      <c r="E492" s="21" t="str">
        <f aca="false">IF(OR(B492="",N(N492)=0,N492=1000),IF(B492="","","Check"),INDEX(Rules!$B:$B,N492))</f>
        <v/>
      </c>
      <c r="F492" s="21" t="str">
        <f aca="false">IF(OR(B492="",N(N492)=0,N492=1000),"",INDEX(Rules!$C:$C,N492))</f>
        <v/>
      </c>
      <c r="G492" s="24"/>
      <c r="H492" s="24"/>
      <c r="I492" s="20" t="str">
        <f aca="false">IF(B492="","",IF(G492&lt;&gt;"",G492,E492))</f>
        <v/>
      </c>
      <c r="J492" s="21" t="str">
        <f aca="false">IF(B492="","",IF(H492&lt;&gt;"",H492,F492))</f>
        <v/>
      </c>
      <c r="K492" s="26" t="str">
        <f aca="false">IF(A492="","",DATE(YEAR(A492),MONTH(A492),1))</f>
        <v/>
      </c>
      <c r="L492" s="21" t="str">
        <f aca="false">IF(J492="",IF(B492="","",IF(N(C492)&gt;=0,"Income","Expense")),IFERROR(INDEX(Lists!$B$2:$B$30,MATCH(J492,Lists!$A$2:$A$30,0)),""))</f>
        <v/>
      </c>
      <c r="M492" s="24"/>
      <c r="N492" s="27" t="str">
        <f aca="false">IF(B492="","",IFERROR(1000-SUMPRODUCT(MAX(ISNUMBER(SEARCH(Rules!$A$5:$A$204,B492))*(Rules!$A$5:$A$204&lt;&gt;"")*(1000-ROW(Rules!$A$5:$A$204)))),""))</f>
        <v/>
      </c>
    </row>
    <row r="493" customFormat="false" ht="15" hidden="false" customHeight="false" outlineLevel="0" collapsed="false">
      <c r="A493" s="23"/>
      <c r="B493" s="24"/>
      <c r="C493" s="25"/>
      <c r="D493" s="24"/>
      <c r="E493" s="21" t="str">
        <f aca="false">IF(OR(B493="",N(N493)=0,N493=1000),IF(B493="","","Check"),INDEX(Rules!$B:$B,N493))</f>
        <v/>
      </c>
      <c r="F493" s="21" t="str">
        <f aca="false">IF(OR(B493="",N(N493)=0,N493=1000),"",INDEX(Rules!$C:$C,N493))</f>
        <v/>
      </c>
      <c r="G493" s="24"/>
      <c r="H493" s="24"/>
      <c r="I493" s="20" t="str">
        <f aca="false">IF(B493="","",IF(G493&lt;&gt;"",G493,E493))</f>
        <v/>
      </c>
      <c r="J493" s="21" t="str">
        <f aca="false">IF(B493="","",IF(H493&lt;&gt;"",H493,F493))</f>
        <v/>
      </c>
      <c r="K493" s="26" t="str">
        <f aca="false">IF(A493="","",DATE(YEAR(A493),MONTH(A493),1))</f>
        <v/>
      </c>
      <c r="L493" s="21" t="str">
        <f aca="false">IF(J493="",IF(B493="","",IF(N(C493)&gt;=0,"Income","Expense")),IFERROR(INDEX(Lists!$B$2:$B$30,MATCH(J493,Lists!$A$2:$A$30,0)),""))</f>
        <v/>
      </c>
      <c r="M493" s="24"/>
      <c r="N493" s="27" t="str">
        <f aca="false">IF(B493="","",IFERROR(1000-SUMPRODUCT(MAX(ISNUMBER(SEARCH(Rules!$A$5:$A$204,B493))*(Rules!$A$5:$A$204&lt;&gt;"")*(1000-ROW(Rules!$A$5:$A$204)))),""))</f>
        <v/>
      </c>
    </row>
    <row r="494" customFormat="false" ht="15" hidden="false" customHeight="false" outlineLevel="0" collapsed="false">
      <c r="A494" s="23"/>
      <c r="B494" s="24"/>
      <c r="C494" s="25"/>
      <c r="D494" s="24"/>
      <c r="E494" s="21" t="str">
        <f aca="false">IF(OR(B494="",N(N494)=0,N494=1000),IF(B494="","","Check"),INDEX(Rules!$B:$B,N494))</f>
        <v/>
      </c>
      <c r="F494" s="21" t="str">
        <f aca="false">IF(OR(B494="",N(N494)=0,N494=1000),"",INDEX(Rules!$C:$C,N494))</f>
        <v/>
      </c>
      <c r="G494" s="24"/>
      <c r="H494" s="24"/>
      <c r="I494" s="20" t="str">
        <f aca="false">IF(B494="","",IF(G494&lt;&gt;"",G494,E494))</f>
        <v/>
      </c>
      <c r="J494" s="21" t="str">
        <f aca="false">IF(B494="","",IF(H494&lt;&gt;"",H494,F494))</f>
        <v/>
      </c>
      <c r="K494" s="26" t="str">
        <f aca="false">IF(A494="","",DATE(YEAR(A494),MONTH(A494),1))</f>
        <v/>
      </c>
      <c r="L494" s="21" t="str">
        <f aca="false">IF(J494="",IF(B494="","",IF(N(C494)&gt;=0,"Income","Expense")),IFERROR(INDEX(Lists!$B$2:$B$30,MATCH(J494,Lists!$A$2:$A$30,0)),""))</f>
        <v/>
      </c>
      <c r="M494" s="24"/>
      <c r="N494" s="27" t="str">
        <f aca="false">IF(B494="","",IFERROR(1000-SUMPRODUCT(MAX(ISNUMBER(SEARCH(Rules!$A$5:$A$204,B494))*(Rules!$A$5:$A$204&lt;&gt;"")*(1000-ROW(Rules!$A$5:$A$204)))),""))</f>
        <v/>
      </c>
    </row>
    <row r="495" customFormat="false" ht="15" hidden="false" customHeight="false" outlineLevel="0" collapsed="false">
      <c r="A495" s="23"/>
      <c r="B495" s="24"/>
      <c r="C495" s="25"/>
      <c r="D495" s="24"/>
      <c r="E495" s="21" t="str">
        <f aca="false">IF(OR(B495="",N(N495)=0,N495=1000),IF(B495="","","Check"),INDEX(Rules!$B:$B,N495))</f>
        <v/>
      </c>
      <c r="F495" s="21" t="str">
        <f aca="false">IF(OR(B495="",N(N495)=0,N495=1000),"",INDEX(Rules!$C:$C,N495))</f>
        <v/>
      </c>
      <c r="G495" s="24"/>
      <c r="H495" s="24"/>
      <c r="I495" s="20" t="str">
        <f aca="false">IF(B495="","",IF(G495&lt;&gt;"",G495,E495))</f>
        <v/>
      </c>
      <c r="J495" s="21" t="str">
        <f aca="false">IF(B495="","",IF(H495&lt;&gt;"",H495,F495))</f>
        <v/>
      </c>
      <c r="K495" s="26" t="str">
        <f aca="false">IF(A495="","",DATE(YEAR(A495),MONTH(A495),1))</f>
        <v/>
      </c>
      <c r="L495" s="21" t="str">
        <f aca="false">IF(J495="",IF(B495="","",IF(N(C495)&gt;=0,"Income","Expense")),IFERROR(INDEX(Lists!$B$2:$B$30,MATCH(J495,Lists!$A$2:$A$30,0)),""))</f>
        <v/>
      </c>
      <c r="M495" s="24"/>
      <c r="N495" s="27" t="str">
        <f aca="false">IF(B495="","",IFERROR(1000-SUMPRODUCT(MAX(ISNUMBER(SEARCH(Rules!$A$5:$A$204,B495))*(Rules!$A$5:$A$204&lt;&gt;"")*(1000-ROW(Rules!$A$5:$A$204)))),""))</f>
        <v/>
      </c>
    </row>
    <row r="496" customFormat="false" ht="15" hidden="false" customHeight="false" outlineLevel="0" collapsed="false">
      <c r="A496" s="23"/>
      <c r="B496" s="24"/>
      <c r="C496" s="25"/>
      <c r="D496" s="24"/>
      <c r="E496" s="21" t="str">
        <f aca="false">IF(OR(B496="",N(N496)=0,N496=1000),IF(B496="","","Check"),INDEX(Rules!$B:$B,N496))</f>
        <v/>
      </c>
      <c r="F496" s="21" t="str">
        <f aca="false">IF(OR(B496="",N(N496)=0,N496=1000),"",INDEX(Rules!$C:$C,N496))</f>
        <v/>
      </c>
      <c r="G496" s="24"/>
      <c r="H496" s="24"/>
      <c r="I496" s="20" t="str">
        <f aca="false">IF(B496="","",IF(G496&lt;&gt;"",G496,E496))</f>
        <v/>
      </c>
      <c r="J496" s="21" t="str">
        <f aca="false">IF(B496="","",IF(H496&lt;&gt;"",H496,F496))</f>
        <v/>
      </c>
      <c r="K496" s="26" t="str">
        <f aca="false">IF(A496="","",DATE(YEAR(A496),MONTH(A496),1))</f>
        <v/>
      </c>
      <c r="L496" s="21" t="str">
        <f aca="false">IF(J496="",IF(B496="","",IF(N(C496)&gt;=0,"Income","Expense")),IFERROR(INDEX(Lists!$B$2:$B$30,MATCH(J496,Lists!$A$2:$A$30,0)),""))</f>
        <v/>
      </c>
      <c r="M496" s="24"/>
      <c r="N496" s="27" t="str">
        <f aca="false">IF(B496="","",IFERROR(1000-SUMPRODUCT(MAX(ISNUMBER(SEARCH(Rules!$A$5:$A$204,B496))*(Rules!$A$5:$A$204&lt;&gt;"")*(1000-ROW(Rules!$A$5:$A$204)))),""))</f>
        <v/>
      </c>
    </row>
    <row r="497" customFormat="false" ht="15" hidden="false" customHeight="false" outlineLevel="0" collapsed="false">
      <c r="A497" s="23"/>
      <c r="B497" s="24"/>
      <c r="C497" s="25"/>
      <c r="D497" s="24"/>
      <c r="E497" s="21" t="str">
        <f aca="false">IF(OR(B497="",N(N497)=0,N497=1000),IF(B497="","","Check"),INDEX(Rules!$B:$B,N497))</f>
        <v/>
      </c>
      <c r="F497" s="21" t="str">
        <f aca="false">IF(OR(B497="",N(N497)=0,N497=1000),"",INDEX(Rules!$C:$C,N497))</f>
        <v/>
      </c>
      <c r="G497" s="24"/>
      <c r="H497" s="24"/>
      <c r="I497" s="20" t="str">
        <f aca="false">IF(B497="","",IF(G497&lt;&gt;"",G497,E497))</f>
        <v/>
      </c>
      <c r="J497" s="21" t="str">
        <f aca="false">IF(B497="","",IF(H497&lt;&gt;"",H497,F497))</f>
        <v/>
      </c>
      <c r="K497" s="26" t="str">
        <f aca="false">IF(A497="","",DATE(YEAR(A497),MONTH(A497),1))</f>
        <v/>
      </c>
      <c r="L497" s="21" t="str">
        <f aca="false">IF(J497="",IF(B497="","",IF(N(C497)&gt;=0,"Income","Expense")),IFERROR(INDEX(Lists!$B$2:$B$30,MATCH(J497,Lists!$A$2:$A$30,0)),""))</f>
        <v/>
      </c>
      <c r="M497" s="24"/>
      <c r="N497" s="27" t="str">
        <f aca="false">IF(B497="","",IFERROR(1000-SUMPRODUCT(MAX(ISNUMBER(SEARCH(Rules!$A$5:$A$204,B497))*(Rules!$A$5:$A$204&lt;&gt;"")*(1000-ROW(Rules!$A$5:$A$204)))),""))</f>
        <v/>
      </c>
    </row>
    <row r="498" customFormat="false" ht="15" hidden="false" customHeight="false" outlineLevel="0" collapsed="false">
      <c r="A498" s="23"/>
      <c r="B498" s="24"/>
      <c r="C498" s="25"/>
      <c r="D498" s="24"/>
      <c r="E498" s="21" t="str">
        <f aca="false">IF(OR(B498="",N(N498)=0,N498=1000),IF(B498="","","Check"),INDEX(Rules!$B:$B,N498))</f>
        <v/>
      </c>
      <c r="F498" s="21" t="str">
        <f aca="false">IF(OR(B498="",N(N498)=0,N498=1000),"",INDEX(Rules!$C:$C,N498))</f>
        <v/>
      </c>
      <c r="G498" s="24"/>
      <c r="H498" s="24"/>
      <c r="I498" s="20" t="str">
        <f aca="false">IF(B498="","",IF(G498&lt;&gt;"",G498,E498))</f>
        <v/>
      </c>
      <c r="J498" s="21" t="str">
        <f aca="false">IF(B498="","",IF(H498&lt;&gt;"",H498,F498))</f>
        <v/>
      </c>
      <c r="K498" s="26" t="str">
        <f aca="false">IF(A498="","",DATE(YEAR(A498),MONTH(A498),1))</f>
        <v/>
      </c>
      <c r="L498" s="21" t="str">
        <f aca="false">IF(J498="",IF(B498="","",IF(N(C498)&gt;=0,"Income","Expense")),IFERROR(INDEX(Lists!$B$2:$B$30,MATCH(J498,Lists!$A$2:$A$30,0)),""))</f>
        <v/>
      </c>
      <c r="M498" s="24"/>
      <c r="N498" s="27" t="str">
        <f aca="false">IF(B498="","",IFERROR(1000-SUMPRODUCT(MAX(ISNUMBER(SEARCH(Rules!$A$5:$A$204,B498))*(Rules!$A$5:$A$204&lt;&gt;"")*(1000-ROW(Rules!$A$5:$A$204)))),""))</f>
        <v/>
      </c>
    </row>
    <row r="499" customFormat="false" ht="15" hidden="false" customHeight="false" outlineLevel="0" collapsed="false">
      <c r="A499" s="23"/>
      <c r="B499" s="24"/>
      <c r="C499" s="25"/>
      <c r="D499" s="24"/>
      <c r="E499" s="21" t="str">
        <f aca="false">IF(OR(B499="",N(N499)=0,N499=1000),IF(B499="","","Check"),INDEX(Rules!$B:$B,N499))</f>
        <v/>
      </c>
      <c r="F499" s="21" t="str">
        <f aca="false">IF(OR(B499="",N(N499)=0,N499=1000),"",INDEX(Rules!$C:$C,N499))</f>
        <v/>
      </c>
      <c r="G499" s="24"/>
      <c r="H499" s="24"/>
      <c r="I499" s="20" t="str">
        <f aca="false">IF(B499="","",IF(G499&lt;&gt;"",G499,E499))</f>
        <v/>
      </c>
      <c r="J499" s="21" t="str">
        <f aca="false">IF(B499="","",IF(H499&lt;&gt;"",H499,F499))</f>
        <v/>
      </c>
      <c r="K499" s="26" t="str">
        <f aca="false">IF(A499="","",DATE(YEAR(A499),MONTH(A499),1))</f>
        <v/>
      </c>
      <c r="L499" s="21" t="str">
        <f aca="false">IF(J499="",IF(B499="","",IF(N(C499)&gt;=0,"Income","Expense")),IFERROR(INDEX(Lists!$B$2:$B$30,MATCH(J499,Lists!$A$2:$A$30,0)),""))</f>
        <v/>
      </c>
      <c r="M499" s="24"/>
      <c r="N499" s="27" t="str">
        <f aca="false">IF(B499="","",IFERROR(1000-SUMPRODUCT(MAX(ISNUMBER(SEARCH(Rules!$A$5:$A$204,B499))*(Rules!$A$5:$A$204&lt;&gt;"")*(1000-ROW(Rules!$A$5:$A$204)))),""))</f>
        <v/>
      </c>
    </row>
    <row r="500" customFormat="false" ht="15" hidden="false" customHeight="false" outlineLevel="0" collapsed="false">
      <c r="A500" s="23"/>
      <c r="B500" s="24"/>
      <c r="C500" s="25"/>
      <c r="D500" s="24"/>
      <c r="E500" s="21" t="str">
        <f aca="false">IF(OR(B500="",N(N500)=0,N500=1000),IF(B500="","","Check"),INDEX(Rules!$B:$B,N500))</f>
        <v/>
      </c>
      <c r="F500" s="21" t="str">
        <f aca="false">IF(OR(B500="",N(N500)=0,N500=1000),"",INDEX(Rules!$C:$C,N500))</f>
        <v/>
      </c>
      <c r="G500" s="24"/>
      <c r="H500" s="24"/>
      <c r="I500" s="20" t="str">
        <f aca="false">IF(B500="","",IF(G500&lt;&gt;"",G500,E500))</f>
        <v/>
      </c>
      <c r="J500" s="21" t="str">
        <f aca="false">IF(B500="","",IF(H500&lt;&gt;"",H500,F500))</f>
        <v/>
      </c>
      <c r="K500" s="26" t="str">
        <f aca="false">IF(A500="","",DATE(YEAR(A500),MONTH(A500),1))</f>
        <v/>
      </c>
      <c r="L500" s="21" t="str">
        <f aca="false">IF(J500="",IF(B500="","",IF(N(C500)&gt;=0,"Income","Expense")),IFERROR(INDEX(Lists!$B$2:$B$30,MATCH(J500,Lists!$A$2:$A$30,0)),""))</f>
        <v/>
      </c>
      <c r="M500" s="24"/>
      <c r="N500" s="27" t="str">
        <f aca="false">IF(B500="","",IFERROR(1000-SUMPRODUCT(MAX(ISNUMBER(SEARCH(Rules!$A$5:$A$204,B500))*(Rules!$A$5:$A$204&lt;&gt;"")*(1000-ROW(Rules!$A$5:$A$204)))),""))</f>
        <v/>
      </c>
    </row>
    <row r="501" customFormat="false" ht="15" hidden="false" customHeight="false" outlineLevel="0" collapsed="false">
      <c r="A501" s="23"/>
      <c r="B501" s="24"/>
      <c r="C501" s="25"/>
      <c r="D501" s="24"/>
      <c r="E501" s="21" t="str">
        <f aca="false">IF(OR(B501="",N(N501)=0,N501=1000),IF(B501="","","Check"),INDEX(Rules!$B:$B,N501))</f>
        <v/>
      </c>
      <c r="F501" s="21" t="str">
        <f aca="false">IF(OR(B501="",N(N501)=0,N501=1000),"",INDEX(Rules!$C:$C,N501))</f>
        <v/>
      </c>
      <c r="G501" s="24"/>
      <c r="H501" s="24"/>
      <c r="I501" s="20" t="str">
        <f aca="false">IF(B501="","",IF(G501&lt;&gt;"",G501,E501))</f>
        <v/>
      </c>
      <c r="J501" s="21" t="str">
        <f aca="false">IF(B501="","",IF(H501&lt;&gt;"",H501,F501))</f>
        <v/>
      </c>
      <c r="K501" s="26" t="str">
        <f aca="false">IF(A501="","",DATE(YEAR(A501),MONTH(A501),1))</f>
        <v/>
      </c>
      <c r="L501" s="21" t="str">
        <f aca="false">IF(J501="",IF(B501="","",IF(N(C501)&gt;=0,"Income","Expense")),IFERROR(INDEX(Lists!$B$2:$B$30,MATCH(J501,Lists!$A$2:$A$30,0)),""))</f>
        <v/>
      </c>
      <c r="M501" s="24"/>
      <c r="N501" s="27" t="str">
        <f aca="false">IF(B501="","",IFERROR(1000-SUMPRODUCT(MAX(ISNUMBER(SEARCH(Rules!$A$5:$A$204,B501))*(Rules!$A$5:$A$204&lt;&gt;"")*(1000-ROW(Rules!$A$5:$A$204)))),""))</f>
        <v/>
      </c>
    </row>
    <row r="502" customFormat="false" ht="15" hidden="false" customHeight="false" outlineLevel="0" collapsed="false">
      <c r="A502" s="23"/>
      <c r="B502" s="24"/>
      <c r="C502" s="25"/>
      <c r="D502" s="24"/>
      <c r="E502" s="21" t="str">
        <f aca="false">IF(OR(B502="",N(N502)=0,N502=1000),IF(B502="","","Check"),INDEX(Rules!$B:$B,N502))</f>
        <v/>
      </c>
      <c r="F502" s="21" t="str">
        <f aca="false">IF(OR(B502="",N(N502)=0,N502=1000),"",INDEX(Rules!$C:$C,N502))</f>
        <v/>
      </c>
      <c r="G502" s="24"/>
      <c r="H502" s="24"/>
      <c r="I502" s="20" t="str">
        <f aca="false">IF(B502="","",IF(G502&lt;&gt;"",G502,E502))</f>
        <v/>
      </c>
      <c r="J502" s="21" t="str">
        <f aca="false">IF(B502="","",IF(H502&lt;&gt;"",H502,F502))</f>
        <v/>
      </c>
      <c r="K502" s="26" t="str">
        <f aca="false">IF(A502="","",DATE(YEAR(A502),MONTH(A502),1))</f>
        <v/>
      </c>
      <c r="L502" s="21" t="str">
        <f aca="false">IF(J502="",IF(B502="","",IF(N(C502)&gt;=0,"Income","Expense")),IFERROR(INDEX(Lists!$B$2:$B$30,MATCH(J502,Lists!$A$2:$A$30,0)),""))</f>
        <v/>
      </c>
      <c r="M502" s="24"/>
      <c r="N502" s="27" t="str">
        <f aca="false">IF(B502="","",IFERROR(1000-SUMPRODUCT(MAX(ISNUMBER(SEARCH(Rules!$A$5:$A$204,B502))*(Rules!$A$5:$A$204&lt;&gt;"")*(1000-ROW(Rules!$A$5:$A$204)))),""))</f>
        <v/>
      </c>
    </row>
    <row r="503" customFormat="false" ht="15" hidden="false" customHeight="false" outlineLevel="0" collapsed="false">
      <c r="A503" s="23"/>
      <c r="B503" s="24"/>
      <c r="C503" s="25"/>
      <c r="D503" s="24"/>
      <c r="E503" s="21" t="str">
        <f aca="false">IF(OR(B503="",N(N503)=0,N503=1000),IF(B503="","","Check"),INDEX(Rules!$B:$B,N503))</f>
        <v/>
      </c>
      <c r="F503" s="21" t="str">
        <f aca="false">IF(OR(B503="",N(N503)=0,N503=1000),"",INDEX(Rules!$C:$C,N503))</f>
        <v/>
      </c>
      <c r="G503" s="24"/>
      <c r="H503" s="24"/>
      <c r="I503" s="20" t="str">
        <f aca="false">IF(B503="","",IF(G503&lt;&gt;"",G503,E503))</f>
        <v/>
      </c>
      <c r="J503" s="21" t="str">
        <f aca="false">IF(B503="","",IF(H503&lt;&gt;"",H503,F503))</f>
        <v/>
      </c>
      <c r="K503" s="26" t="str">
        <f aca="false">IF(A503="","",DATE(YEAR(A503),MONTH(A503),1))</f>
        <v/>
      </c>
      <c r="L503" s="21" t="str">
        <f aca="false">IF(J503="",IF(B503="","",IF(N(C503)&gt;=0,"Income","Expense")),IFERROR(INDEX(Lists!$B$2:$B$30,MATCH(J503,Lists!$A$2:$A$30,0)),""))</f>
        <v/>
      </c>
      <c r="M503" s="24"/>
      <c r="N503" s="27" t="str">
        <f aca="false">IF(B503="","",IFERROR(1000-SUMPRODUCT(MAX(ISNUMBER(SEARCH(Rules!$A$5:$A$204,B503))*(Rules!$A$5:$A$204&lt;&gt;"")*(1000-ROW(Rules!$A$5:$A$204)))),""))</f>
        <v/>
      </c>
    </row>
    <row r="504" customFormat="false" ht="15" hidden="false" customHeight="false" outlineLevel="0" collapsed="false">
      <c r="A504" s="23"/>
      <c r="B504" s="24"/>
      <c r="C504" s="25"/>
      <c r="D504" s="24"/>
      <c r="E504" s="21" t="str">
        <f aca="false">IF(OR(B504="",N(N504)=0,N504=1000),IF(B504="","","Check"),INDEX(Rules!$B:$B,N504))</f>
        <v/>
      </c>
      <c r="F504" s="21" t="str">
        <f aca="false">IF(OR(B504="",N(N504)=0,N504=1000),"",INDEX(Rules!$C:$C,N504))</f>
        <v/>
      </c>
      <c r="G504" s="24"/>
      <c r="H504" s="24"/>
      <c r="I504" s="20" t="str">
        <f aca="false">IF(B504="","",IF(G504&lt;&gt;"",G504,E504))</f>
        <v/>
      </c>
      <c r="J504" s="21" t="str">
        <f aca="false">IF(B504="","",IF(H504&lt;&gt;"",H504,F504))</f>
        <v/>
      </c>
      <c r="K504" s="26" t="str">
        <f aca="false">IF(A504="","",DATE(YEAR(A504),MONTH(A504),1))</f>
        <v/>
      </c>
      <c r="L504" s="21" t="str">
        <f aca="false">IF(J504="",IF(B504="","",IF(N(C504)&gt;=0,"Income","Expense")),IFERROR(INDEX(Lists!$B$2:$B$30,MATCH(J504,Lists!$A$2:$A$30,0)),""))</f>
        <v/>
      </c>
      <c r="M504" s="24"/>
      <c r="N504" s="27" t="str">
        <f aca="false">IF(B504="","",IFERROR(1000-SUMPRODUCT(MAX(ISNUMBER(SEARCH(Rules!$A$5:$A$204,B504))*(Rules!$A$5:$A$204&lt;&gt;"")*(1000-ROW(Rules!$A$5:$A$204)))),""))</f>
        <v/>
      </c>
    </row>
    <row r="505" customFormat="false" ht="15" hidden="false" customHeight="false" outlineLevel="0" collapsed="false">
      <c r="A505" s="23"/>
      <c r="B505" s="24"/>
      <c r="C505" s="25"/>
      <c r="D505" s="24"/>
      <c r="E505" s="21" t="str">
        <f aca="false">IF(OR(B505="",N(N505)=0,N505=1000),IF(B505="","","Check"),INDEX(Rules!$B:$B,N505))</f>
        <v/>
      </c>
      <c r="F505" s="21" t="str">
        <f aca="false">IF(OR(B505="",N(N505)=0,N505=1000),"",INDEX(Rules!$C:$C,N505))</f>
        <v/>
      </c>
      <c r="G505" s="24"/>
      <c r="H505" s="24"/>
      <c r="I505" s="20" t="str">
        <f aca="false">IF(B505="","",IF(G505&lt;&gt;"",G505,E505))</f>
        <v/>
      </c>
      <c r="J505" s="21" t="str">
        <f aca="false">IF(B505="","",IF(H505&lt;&gt;"",H505,F505))</f>
        <v/>
      </c>
      <c r="K505" s="26" t="str">
        <f aca="false">IF(A505="","",DATE(YEAR(A505),MONTH(A505),1))</f>
        <v/>
      </c>
      <c r="L505" s="21" t="str">
        <f aca="false">IF(J505="",IF(B505="","",IF(N(C505)&gt;=0,"Income","Expense")),IFERROR(INDEX(Lists!$B$2:$B$30,MATCH(J505,Lists!$A$2:$A$30,0)),""))</f>
        <v/>
      </c>
      <c r="M505" s="24"/>
      <c r="N505" s="27" t="str">
        <f aca="false">IF(B505="","",IFERROR(1000-SUMPRODUCT(MAX(ISNUMBER(SEARCH(Rules!$A$5:$A$204,B505))*(Rules!$A$5:$A$204&lt;&gt;"")*(1000-ROW(Rules!$A$5:$A$204)))),""))</f>
        <v/>
      </c>
    </row>
    <row r="506" customFormat="false" ht="15" hidden="false" customHeight="false" outlineLevel="0" collapsed="false">
      <c r="A506" s="23"/>
      <c r="B506" s="24"/>
      <c r="C506" s="25"/>
      <c r="D506" s="24"/>
      <c r="E506" s="21" t="str">
        <f aca="false">IF(OR(B506="",N(N506)=0,N506=1000),IF(B506="","","Check"),INDEX(Rules!$B:$B,N506))</f>
        <v/>
      </c>
      <c r="F506" s="21" t="str">
        <f aca="false">IF(OR(B506="",N(N506)=0,N506=1000),"",INDEX(Rules!$C:$C,N506))</f>
        <v/>
      </c>
      <c r="G506" s="24"/>
      <c r="H506" s="24"/>
      <c r="I506" s="20" t="str">
        <f aca="false">IF(B506="","",IF(G506&lt;&gt;"",G506,E506))</f>
        <v/>
      </c>
      <c r="J506" s="21" t="str">
        <f aca="false">IF(B506="","",IF(H506&lt;&gt;"",H506,F506))</f>
        <v/>
      </c>
      <c r="K506" s="26" t="str">
        <f aca="false">IF(A506="","",DATE(YEAR(A506),MONTH(A506),1))</f>
        <v/>
      </c>
      <c r="L506" s="21" t="str">
        <f aca="false">IF(J506="",IF(B506="","",IF(N(C506)&gt;=0,"Income","Expense")),IFERROR(INDEX(Lists!$B$2:$B$30,MATCH(J506,Lists!$A$2:$A$30,0)),""))</f>
        <v/>
      </c>
      <c r="M506" s="24"/>
      <c r="N506" s="27" t="str">
        <f aca="false">IF(B506="","",IFERROR(1000-SUMPRODUCT(MAX(ISNUMBER(SEARCH(Rules!$A$5:$A$204,B506))*(Rules!$A$5:$A$204&lt;&gt;"")*(1000-ROW(Rules!$A$5:$A$204)))),""))</f>
        <v/>
      </c>
    </row>
    <row r="507" customFormat="false" ht="15" hidden="false" customHeight="false" outlineLevel="0" collapsed="false">
      <c r="A507" s="23"/>
      <c r="B507" s="24"/>
      <c r="C507" s="25"/>
      <c r="D507" s="24"/>
      <c r="E507" s="21" t="str">
        <f aca="false">IF(OR(B507="",N(N507)=0,N507=1000),IF(B507="","","Check"),INDEX(Rules!$B:$B,N507))</f>
        <v/>
      </c>
      <c r="F507" s="21" t="str">
        <f aca="false">IF(OR(B507="",N(N507)=0,N507=1000),"",INDEX(Rules!$C:$C,N507))</f>
        <v/>
      </c>
      <c r="G507" s="24"/>
      <c r="H507" s="24"/>
      <c r="I507" s="20" t="str">
        <f aca="false">IF(B507="","",IF(G507&lt;&gt;"",G507,E507))</f>
        <v/>
      </c>
      <c r="J507" s="21" t="str">
        <f aca="false">IF(B507="","",IF(H507&lt;&gt;"",H507,F507))</f>
        <v/>
      </c>
      <c r="K507" s="26" t="str">
        <f aca="false">IF(A507="","",DATE(YEAR(A507),MONTH(A507),1))</f>
        <v/>
      </c>
      <c r="L507" s="21" t="str">
        <f aca="false">IF(J507="",IF(B507="","",IF(N(C507)&gt;=0,"Income","Expense")),IFERROR(INDEX(Lists!$B$2:$B$30,MATCH(J507,Lists!$A$2:$A$30,0)),""))</f>
        <v/>
      </c>
      <c r="M507" s="24"/>
      <c r="N507" s="27" t="str">
        <f aca="false">IF(B507="","",IFERROR(1000-SUMPRODUCT(MAX(ISNUMBER(SEARCH(Rules!$A$5:$A$204,B507))*(Rules!$A$5:$A$204&lt;&gt;"")*(1000-ROW(Rules!$A$5:$A$204)))),""))</f>
        <v/>
      </c>
    </row>
    <row r="508" customFormat="false" ht="15" hidden="false" customHeight="false" outlineLevel="0" collapsed="false">
      <c r="A508" s="23"/>
      <c r="B508" s="24"/>
      <c r="C508" s="25"/>
      <c r="D508" s="24"/>
      <c r="E508" s="21" t="str">
        <f aca="false">IF(OR(B508="",N(N508)=0,N508=1000),IF(B508="","","Check"),INDEX(Rules!$B:$B,N508))</f>
        <v/>
      </c>
      <c r="F508" s="21" t="str">
        <f aca="false">IF(OR(B508="",N(N508)=0,N508=1000),"",INDEX(Rules!$C:$C,N508))</f>
        <v/>
      </c>
      <c r="G508" s="24"/>
      <c r="H508" s="24"/>
      <c r="I508" s="20" t="str">
        <f aca="false">IF(B508="","",IF(G508&lt;&gt;"",G508,E508))</f>
        <v/>
      </c>
      <c r="J508" s="21" t="str">
        <f aca="false">IF(B508="","",IF(H508&lt;&gt;"",H508,F508))</f>
        <v/>
      </c>
      <c r="K508" s="26" t="str">
        <f aca="false">IF(A508="","",DATE(YEAR(A508),MONTH(A508),1))</f>
        <v/>
      </c>
      <c r="L508" s="21" t="str">
        <f aca="false">IF(J508="",IF(B508="","",IF(N(C508)&gt;=0,"Income","Expense")),IFERROR(INDEX(Lists!$B$2:$B$30,MATCH(J508,Lists!$A$2:$A$30,0)),""))</f>
        <v/>
      </c>
      <c r="M508" s="24"/>
      <c r="N508" s="27" t="str">
        <f aca="false">IF(B508="","",IFERROR(1000-SUMPRODUCT(MAX(ISNUMBER(SEARCH(Rules!$A$5:$A$204,B508))*(Rules!$A$5:$A$204&lt;&gt;"")*(1000-ROW(Rules!$A$5:$A$204)))),""))</f>
        <v/>
      </c>
    </row>
    <row r="509" customFormat="false" ht="15" hidden="false" customHeight="false" outlineLevel="0" collapsed="false">
      <c r="A509" s="23"/>
      <c r="B509" s="24"/>
      <c r="C509" s="25"/>
      <c r="D509" s="24"/>
      <c r="E509" s="21" t="str">
        <f aca="false">IF(OR(B509="",N(N509)=0,N509=1000),IF(B509="","","Check"),INDEX(Rules!$B:$B,N509))</f>
        <v/>
      </c>
      <c r="F509" s="21" t="str">
        <f aca="false">IF(OR(B509="",N(N509)=0,N509=1000),"",INDEX(Rules!$C:$C,N509))</f>
        <v/>
      </c>
      <c r="G509" s="24"/>
      <c r="H509" s="24"/>
      <c r="I509" s="20" t="str">
        <f aca="false">IF(B509="","",IF(G509&lt;&gt;"",G509,E509))</f>
        <v/>
      </c>
      <c r="J509" s="21" t="str">
        <f aca="false">IF(B509="","",IF(H509&lt;&gt;"",H509,F509))</f>
        <v/>
      </c>
      <c r="K509" s="26" t="str">
        <f aca="false">IF(A509="","",DATE(YEAR(A509),MONTH(A509),1))</f>
        <v/>
      </c>
      <c r="L509" s="21" t="str">
        <f aca="false">IF(J509="",IF(B509="","",IF(N(C509)&gt;=0,"Income","Expense")),IFERROR(INDEX(Lists!$B$2:$B$30,MATCH(J509,Lists!$A$2:$A$30,0)),""))</f>
        <v/>
      </c>
      <c r="M509" s="24"/>
      <c r="N509" s="27" t="str">
        <f aca="false">IF(B509="","",IFERROR(1000-SUMPRODUCT(MAX(ISNUMBER(SEARCH(Rules!$A$5:$A$204,B509))*(Rules!$A$5:$A$204&lt;&gt;"")*(1000-ROW(Rules!$A$5:$A$204)))),""))</f>
        <v/>
      </c>
    </row>
    <row r="510" customFormat="false" ht="15" hidden="false" customHeight="false" outlineLevel="0" collapsed="false">
      <c r="A510" s="23"/>
      <c r="B510" s="24"/>
      <c r="C510" s="25"/>
      <c r="D510" s="24"/>
      <c r="E510" s="21" t="str">
        <f aca="false">IF(OR(B510="",N(N510)=0,N510=1000),IF(B510="","","Check"),INDEX(Rules!$B:$B,N510))</f>
        <v/>
      </c>
      <c r="F510" s="21" t="str">
        <f aca="false">IF(OR(B510="",N(N510)=0,N510=1000),"",INDEX(Rules!$C:$C,N510))</f>
        <v/>
      </c>
      <c r="G510" s="24"/>
      <c r="H510" s="24"/>
      <c r="I510" s="20" t="str">
        <f aca="false">IF(B510="","",IF(G510&lt;&gt;"",G510,E510))</f>
        <v/>
      </c>
      <c r="J510" s="21" t="str">
        <f aca="false">IF(B510="","",IF(H510&lt;&gt;"",H510,F510))</f>
        <v/>
      </c>
      <c r="K510" s="26" t="str">
        <f aca="false">IF(A510="","",DATE(YEAR(A510),MONTH(A510),1))</f>
        <v/>
      </c>
      <c r="L510" s="21" t="str">
        <f aca="false">IF(J510="",IF(B510="","",IF(N(C510)&gt;=0,"Income","Expense")),IFERROR(INDEX(Lists!$B$2:$B$30,MATCH(J510,Lists!$A$2:$A$30,0)),""))</f>
        <v/>
      </c>
      <c r="M510" s="24"/>
      <c r="N510" s="27" t="str">
        <f aca="false">IF(B510="","",IFERROR(1000-SUMPRODUCT(MAX(ISNUMBER(SEARCH(Rules!$A$5:$A$204,B510))*(Rules!$A$5:$A$204&lt;&gt;"")*(1000-ROW(Rules!$A$5:$A$204)))),""))</f>
        <v/>
      </c>
    </row>
    <row r="511" customFormat="false" ht="15" hidden="false" customHeight="false" outlineLevel="0" collapsed="false">
      <c r="A511" s="23"/>
      <c r="B511" s="24"/>
      <c r="C511" s="25"/>
      <c r="D511" s="24"/>
      <c r="E511" s="21" t="str">
        <f aca="false">IF(OR(B511="",N(N511)=0,N511=1000),IF(B511="","","Check"),INDEX(Rules!$B:$B,N511))</f>
        <v/>
      </c>
      <c r="F511" s="21" t="str">
        <f aca="false">IF(OR(B511="",N(N511)=0,N511=1000),"",INDEX(Rules!$C:$C,N511))</f>
        <v/>
      </c>
      <c r="G511" s="24"/>
      <c r="H511" s="24"/>
      <c r="I511" s="20" t="str">
        <f aca="false">IF(B511="","",IF(G511&lt;&gt;"",G511,E511))</f>
        <v/>
      </c>
      <c r="J511" s="21" t="str">
        <f aca="false">IF(B511="","",IF(H511&lt;&gt;"",H511,F511))</f>
        <v/>
      </c>
      <c r="K511" s="26" t="str">
        <f aca="false">IF(A511="","",DATE(YEAR(A511),MONTH(A511),1))</f>
        <v/>
      </c>
      <c r="L511" s="21" t="str">
        <f aca="false">IF(J511="",IF(B511="","",IF(N(C511)&gt;=0,"Income","Expense")),IFERROR(INDEX(Lists!$B$2:$B$30,MATCH(J511,Lists!$A$2:$A$30,0)),""))</f>
        <v/>
      </c>
      <c r="M511" s="24"/>
      <c r="N511" s="27" t="str">
        <f aca="false">IF(B511="","",IFERROR(1000-SUMPRODUCT(MAX(ISNUMBER(SEARCH(Rules!$A$5:$A$204,B511))*(Rules!$A$5:$A$204&lt;&gt;"")*(1000-ROW(Rules!$A$5:$A$204)))),""))</f>
        <v/>
      </c>
    </row>
    <row r="512" customFormat="false" ht="15" hidden="false" customHeight="false" outlineLevel="0" collapsed="false">
      <c r="A512" s="23"/>
      <c r="B512" s="24"/>
      <c r="C512" s="25"/>
      <c r="D512" s="24"/>
      <c r="E512" s="21" t="str">
        <f aca="false">IF(OR(B512="",N(N512)=0,N512=1000),IF(B512="","","Check"),INDEX(Rules!$B:$B,N512))</f>
        <v/>
      </c>
      <c r="F512" s="21" t="str">
        <f aca="false">IF(OR(B512="",N(N512)=0,N512=1000),"",INDEX(Rules!$C:$C,N512))</f>
        <v/>
      </c>
      <c r="G512" s="24"/>
      <c r="H512" s="24"/>
      <c r="I512" s="20" t="str">
        <f aca="false">IF(B512="","",IF(G512&lt;&gt;"",G512,E512))</f>
        <v/>
      </c>
      <c r="J512" s="21" t="str">
        <f aca="false">IF(B512="","",IF(H512&lt;&gt;"",H512,F512))</f>
        <v/>
      </c>
      <c r="K512" s="26" t="str">
        <f aca="false">IF(A512="","",DATE(YEAR(A512),MONTH(A512),1))</f>
        <v/>
      </c>
      <c r="L512" s="21" t="str">
        <f aca="false">IF(J512="",IF(B512="","",IF(N(C512)&gt;=0,"Income","Expense")),IFERROR(INDEX(Lists!$B$2:$B$30,MATCH(J512,Lists!$A$2:$A$30,0)),""))</f>
        <v/>
      </c>
      <c r="M512" s="24"/>
      <c r="N512" s="27" t="str">
        <f aca="false">IF(B512="","",IFERROR(1000-SUMPRODUCT(MAX(ISNUMBER(SEARCH(Rules!$A$5:$A$204,B512))*(Rules!$A$5:$A$204&lt;&gt;"")*(1000-ROW(Rules!$A$5:$A$204)))),""))</f>
        <v/>
      </c>
    </row>
    <row r="513" customFormat="false" ht="15" hidden="false" customHeight="false" outlineLevel="0" collapsed="false">
      <c r="A513" s="23"/>
      <c r="B513" s="24"/>
      <c r="C513" s="25"/>
      <c r="D513" s="24"/>
      <c r="E513" s="21" t="str">
        <f aca="false">IF(OR(B513="",N(N513)=0,N513=1000),IF(B513="","","Check"),INDEX(Rules!$B:$B,N513))</f>
        <v/>
      </c>
      <c r="F513" s="21" t="str">
        <f aca="false">IF(OR(B513="",N(N513)=0,N513=1000),"",INDEX(Rules!$C:$C,N513))</f>
        <v/>
      </c>
      <c r="G513" s="24"/>
      <c r="H513" s="24"/>
      <c r="I513" s="20" t="str">
        <f aca="false">IF(B513="","",IF(G513&lt;&gt;"",G513,E513))</f>
        <v/>
      </c>
      <c r="J513" s="21" t="str">
        <f aca="false">IF(B513="","",IF(H513&lt;&gt;"",H513,F513))</f>
        <v/>
      </c>
      <c r="K513" s="26" t="str">
        <f aca="false">IF(A513="","",DATE(YEAR(A513),MONTH(A513),1))</f>
        <v/>
      </c>
      <c r="L513" s="21" t="str">
        <f aca="false">IF(J513="",IF(B513="","",IF(N(C513)&gt;=0,"Income","Expense")),IFERROR(INDEX(Lists!$B$2:$B$30,MATCH(J513,Lists!$A$2:$A$30,0)),""))</f>
        <v/>
      </c>
      <c r="M513" s="24"/>
      <c r="N513" s="27" t="str">
        <f aca="false">IF(B513="","",IFERROR(1000-SUMPRODUCT(MAX(ISNUMBER(SEARCH(Rules!$A$5:$A$204,B513))*(Rules!$A$5:$A$204&lt;&gt;"")*(1000-ROW(Rules!$A$5:$A$204)))),""))</f>
        <v/>
      </c>
    </row>
    <row r="514" customFormat="false" ht="15" hidden="false" customHeight="false" outlineLevel="0" collapsed="false">
      <c r="A514" s="23"/>
      <c r="B514" s="24"/>
      <c r="C514" s="25"/>
      <c r="D514" s="24"/>
      <c r="E514" s="21" t="str">
        <f aca="false">IF(OR(B514="",N(N514)=0,N514=1000),IF(B514="","","Check"),INDEX(Rules!$B:$B,N514))</f>
        <v/>
      </c>
      <c r="F514" s="21" t="str">
        <f aca="false">IF(OR(B514="",N(N514)=0,N514=1000),"",INDEX(Rules!$C:$C,N514))</f>
        <v/>
      </c>
      <c r="G514" s="24"/>
      <c r="H514" s="24"/>
      <c r="I514" s="20" t="str">
        <f aca="false">IF(B514="","",IF(G514&lt;&gt;"",G514,E514))</f>
        <v/>
      </c>
      <c r="J514" s="21" t="str">
        <f aca="false">IF(B514="","",IF(H514&lt;&gt;"",H514,F514))</f>
        <v/>
      </c>
      <c r="K514" s="26" t="str">
        <f aca="false">IF(A514="","",DATE(YEAR(A514),MONTH(A514),1))</f>
        <v/>
      </c>
      <c r="L514" s="21" t="str">
        <f aca="false">IF(J514="",IF(B514="","",IF(N(C514)&gt;=0,"Income","Expense")),IFERROR(INDEX(Lists!$B$2:$B$30,MATCH(J514,Lists!$A$2:$A$30,0)),""))</f>
        <v/>
      </c>
      <c r="M514" s="24"/>
      <c r="N514" s="27" t="str">
        <f aca="false">IF(B514="","",IFERROR(1000-SUMPRODUCT(MAX(ISNUMBER(SEARCH(Rules!$A$5:$A$204,B514))*(Rules!$A$5:$A$204&lt;&gt;"")*(1000-ROW(Rules!$A$5:$A$204)))),""))</f>
        <v/>
      </c>
    </row>
    <row r="515" customFormat="false" ht="15" hidden="false" customHeight="false" outlineLevel="0" collapsed="false">
      <c r="A515" s="23"/>
      <c r="B515" s="24"/>
      <c r="C515" s="25"/>
      <c r="D515" s="24"/>
      <c r="E515" s="21" t="str">
        <f aca="false">IF(OR(B515="",N(N515)=0,N515=1000),IF(B515="","","Check"),INDEX(Rules!$B:$B,N515))</f>
        <v/>
      </c>
      <c r="F515" s="21" t="str">
        <f aca="false">IF(OR(B515="",N(N515)=0,N515=1000),"",INDEX(Rules!$C:$C,N515))</f>
        <v/>
      </c>
      <c r="G515" s="24"/>
      <c r="H515" s="24"/>
      <c r="I515" s="20" t="str">
        <f aca="false">IF(B515="","",IF(G515&lt;&gt;"",G515,E515))</f>
        <v/>
      </c>
      <c r="J515" s="21" t="str">
        <f aca="false">IF(B515="","",IF(H515&lt;&gt;"",H515,F515))</f>
        <v/>
      </c>
      <c r="K515" s="26" t="str">
        <f aca="false">IF(A515="","",DATE(YEAR(A515),MONTH(A515),1))</f>
        <v/>
      </c>
      <c r="L515" s="21" t="str">
        <f aca="false">IF(J515="",IF(B515="","",IF(N(C515)&gt;=0,"Income","Expense")),IFERROR(INDEX(Lists!$B$2:$B$30,MATCH(J515,Lists!$A$2:$A$30,0)),""))</f>
        <v/>
      </c>
      <c r="M515" s="24"/>
      <c r="N515" s="27" t="str">
        <f aca="false">IF(B515="","",IFERROR(1000-SUMPRODUCT(MAX(ISNUMBER(SEARCH(Rules!$A$5:$A$204,B515))*(Rules!$A$5:$A$204&lt;&gt;"")*(1000-ROW(Rules!$A$5:$A$204)))),""))</f>
        <v/>
      </c>
    </row>
    <row r="516" customFormat="false" ht="15" hidden="false" customHeight="false" outlineLevel="0" collapsed="false">
      <c r="A516" s="23"/>
      <c r="B516" s="24"/>
      <c r="C516" s="25"/>
      <c r="D516" s="24"/>
      <c r="E516" s="21" t="str">
        <f aca="false">IF(OR(B516="",N(N516)=0,N516=1000),IF(B516="","","Check"),INDEX(Rules!$B:$B,N516))</f>
        <v/>
      </c>
      <c r="F516" s="21" t="str">
        <f aca="false">IF(OR(B516="",N(N516)=0,N516=1000),"",INDEX(Rules!$C:$C,N516))</f>
        <v/>
      </c>
      <c r="G516" s="24"/>
      <c r="H516" s="24"/>
      <c r="I516" s="20" t="str">
        <f aca="false">IF(B516="","",IF(G516&lt;&gt;"",G516,E516))</f>
        <v/>
      </c>
      <c r="J516" s="21" t="str">
        <f aca="false">IF(B516="","",IF(H516&lt;&gt;"",H516,F516))</f>
        <v/>
      </c>
      <c r="K516" s="26" t="str">
        <f aca="false">IF(A516="","",DATE(YEAR(A516),MONTH(A516),1))</f>
        <v/>
      </c>
      <c r="L516" s="21" t="str">
        <f aca="false">IF(J516="",IF(B516="","",IF(N(C516)&gt;=0,"Income","Expense")),IFERROR(INDEX(Lists!$B$2:$B$30,MATCH(J516,Lists!$A$2:$A$30,0)),""))</f>
        <v/>
      </c>
      <c r="M516" s="24"/>
      <c r="N516" s="27" t="str">
        <f aca="false">IF(B516="","",IFERROR(1000-SUMPRODUCT(MAX(ISNUMBER(SEARCH(Rules!$A$5:$A$204,B516))*(Rules!$A$5:$A$204&lt;&gt;"")*(1000-ROW(Rules!$A$5:$A$204)))),""))</f>
        <v/>
      </c>
    </row>
    <row r="517" customFormat="false" ht="15" hidden="false" customHeight="false" outlineLevel="0" collapsed="false">
      <c r="A517" s="23"/>
      <c r="B517" s="24"/>
      <c r="C517" s="25"/>
      <c r="D517" s="24"/>
      <c r="E517" s="21" t="str">
        <f aca="false">IF(OR(B517="",N(N517)=0,N517=1000),IF(B517="","","Check"),INDEX(Rules!$B:$B,N517))</f>
        <v/>
      </c>
      <c r="F517" s="21" t="str">
        <f aca="false">IF(OR(B517="",N(N517)=0,N517=1000),"",INDEX(Rules!$C:$C,N517))</f>
        <v/>
      </c>
      <c r="G517" s="24"/>
      <c r="H517" s="24"/>
      <c r="I517" s="20" t="str">
        <f aca="false">IF(B517="","",IF(G517&lt;&gt;"",G517,E517))</f>
        <v/>
      </c>
      <c r="J517" s="21" t="str">
        <f aca="false">IF(B517="","",IF(H517&lt;&gt;"",H517,F517))</f>
        <v/>
      </c>
      <c r="K517" s="26" t="str">
        <f aca="false">IF(A517="","",DATE(YEAR(A517),MONTH(A517),1))</f>
        <v/>
      </c>
      <c r="L517" s="21" t="str">
        <f aca="false">IF(J517="",IF(B517="","",IF(N(C517)&gt;=0,"Income","Expense")),IFERROR(INDEX(Lists!$B$2:$B$30,MATCH(J517,Lists!$A$2:$A$30,0)),""))</f>
        <v/>
      </c>
      <c r="M517" s="24"/>
      <c r="N517" s="27" t="str">
        <f aca="false">IF(B517="","",IFERROR(1000-SUMPRODUCT(MAX(ISNUMBER(SEARCH(Rules!$A$5:$A$204,B517))*(Rules!$A$5:$A$204&lt;&gt;"")*(1000-ROW(Rules!$A$5:$A$204)))),""))</f>
        <v/>
      </c>
    </row>
    <row r="518" customFormat="false" ht="15" hidden="false" customHeight="false" outlineLevel="0" collapsed="false">
      <c r="A518" s="23"/>
      <c r="B518" s="24"/>
      <c r="C518" s="25"/>
      <c r="D518" s="24"/>
      <c r="E518" s="21" t="str">
        <f aca="false">IF(OR(B518="",N(N518)=0,N518=1000),IF(B518="","","Check"),INDEX(Rules!$B:$B,N518))</f>
        <v/>
      </c>
      <c r="F518" s="21" t="str">
        <f aca="false">IF(OR(B518="",N(N518)=0,N518=1000),"",INDEX(Rules!$C:$C,N518))</f>
        <v/>
      </c>
      <c r="G518" s="24"/>
      <c r="H518" s="24"/>
      <c r="I518" s="20" t="str">
        <f aca="false">IF(B518="","",IF(G518&lt;&gt;"",G518,E518))</f>
        <v/>
      </c>
      <c r="J518" s="21" t="str">
        <f aca="false">IF(B518="","",IF(H518&lt;&gt;"",H518,F518))</f>
        <v/>
      </c>
      <c r="K518" s="26" t="str">
        <f aca="false">IF(A518="","",DATE(YEAR(A518),MONTH(A518),1))</f>
        <v/>
      </c>
      <c r="L518" s="21" t="str">
        <f aca="false">IF(J518="",IF(B518="","",IF(N(C518)&gt;=0,"Income","Expense")),IFERROR(INDEX(Lists!$B$2:$B$30,MATCH(J518,Lists!$A$2:$A$30,0)),""))</f>
        <v/>
      </c>
      <c r="M518" s="24"/>
      <c r="N518" s="27" t="str">
        <f aca="false">IF(B518="","",IFERROR(1000-SUMPRODUCT(MAX(ISNUMBER(SEARCH(Rules!$A$5:$A$204,B518))*(Rules!$A$5:$A$204&lt;&gt;"")*(1000-ROW(Rules!$A$5:$A$204)))),""))</f>
        <v/>
      </c>
    </row>
    <row r="519" customFormat="false" ht="15" hidden="false" customHeight="false" outlineLevel="0" collapsed="false">
      <c r="A519" s="23"/>
      <c r="B519" s="24"/>
      <c r="C519" s="25"/>
      <c r="D519" s="24"/>
      <c r="E519" s="21" t="str">
        <f aca="false">IF(OR(B519="",N(N519)=0,N519=1000),IF(B519="","","Check"),INDEX(Rules!$B:$B,N519))</f>
        <v/>
      </c>
      <c r="F519" s="21" t="str">
        <f aca="false">IF(OR(B519="",N(N519)=0,N519=1000),"",INDEX(Rules!$C:$C,N519))</f>
        <v/>
      </c>
      <c r="G519" s="24"/>
      <c r="H519" s="24"/>
      <c r="I519" s="20" t="str">
        <f aca="false">IF(B519="","",IF(G519&lt;&gt;"",G519,E519))</f>
        <v/>
      </c>
      <c r="J519" s="21" t="str">
        <f aca="false">IF(B519="","",IF(H519&lt;&gt;"",H519,F519))</f>
        <v/>
      </c>
      <c r="K519" s="26" t="str">
        <f aca="false">IF(A519="","",DATE(YEAR(A519),MONTH(A519),1))</f>
        <v/>
      </c>
      <c r="L519" s="21" t="str">
        <f aca="false">IF(J519="",IF(B519="","",IF(N(C519)&gt;=0,"Income","Expense")),IFERROR(INDEX(Lists!$B$2:$B$30,MATCH(J519,Lists!$A$2:$A$30,0)),""))</f>
        <v/>
      </c>
      <c r="M519" s="24"/>
      <c r="N519" s="27" t="str">
        <f aca="false">IF(B519="","",IFERROR(1000-SUMPRODUCT(MAX(ISNUMBER(SEARCH(Rules!$A$5:$A$204,B519))*(Rules!$A$5:$A$204&lt;&gt;"")*(1000-ROW(Rules!$A$5:$A$204)))),""))</f>
        <v/>
      </c>
    </row>
    <row r="520" customFormat="false" ht="15" hidden="false" customHeight="false" outlineLevel="0" collapsed="false">
      <c r="A520" s="23"/>
      <c r="B520" s="24"/>
      <c r="C520" s="25"/>
      <c r="D520" s="24"/>
      <c r="E520" s="21" t="str">
        <f aca="false">IF(OR(B520="",N(N520)=0,N520=1000),IF(B520="","","Check"),INDEX(Rules!$B:$B,N520))</f>
        <v/>
      </c>
      <c r="F520" s="21" t="str">
        <f aca="false">IF(OR(B520="",N(N520)=0,N520=1000),"",INDEX(Rules!$C:$C,N520))</f>
        <v/>
      </c>
      <c r="G520" s="24"/>
      <c r="H520" s="24"/>
      <c r="I520" s="20" t="str">
        <f aca="false">IF(B520="","",IF(G520&lt;&gt;"",G520,E520))</f>
        <v/>
      </c>
      <c r="J520" s="21" t="str">
        <f aca="false">IF(B520="","",IF(H520&lt;&gt;"",H520,F520))</f>
        <v/>
      </c>
      <c r="K520" s="26" t="str">
        <f aca="false">IF(A520="","",DATE(YEAR(A520),MONTH(A520),1))</f>
        <v/>
      </c>
      <c r="L520" s="21" t="str">
        <f aca="false">IF(J520="",IF(B520="","",IF(N(C520)&gt;=0,"Income","Expense")),IFERROR(INDEX(Lists!$B$2:$B$30,MATCH(J520,Lists!$A$2:$A$30,0)),""))</f>
        <v/>
      </c>
      <c r="M520" s="24"/>
      <c r="N520" s="27" t="str">
        <f aca="false">IF(B520="","",IFERROR(1000-SUMPRODUCT(MAX(ISNUMBER(SEARCH(Rules!$A$5:$A$204,B520))*(Rules!$A$5:$A$204&lt;&gt;"")*(1000-ROW(Rules!$A$5:$A$204)))),""))</f>
        <v/>
      </c>
    </row>
    <row r="521" customFormat="false" ht="15" hidden="false" customHeight="false" outlineLevel="0" collapsed="false">
      <c r="A521" s="23"/>
      <c r="B521" s="24"/>
      <c r="C521" s="25"/>
      <c r="D521" s="24"/>
      <c r="E521" s="21" t="str">
        <f aca="false">IF(OR(B521="",N(N521)=0,N521=1000),IF(B521="","","Check"),INDEX(Rules!$B:$B,N521))</f>
        <v/>
      </c>
      <c r="F521" s="21" t="str">
        <f aca="false">IF(OR(B521="",N(N521)=0,N521=1000),"",INDEX(Rules!$C:$C,N521))</f>
        <v/>
      </c>
      <c r="G521" s="24"/>
      <c r="H521" s="24"/>
      <c r="I521" s="20" t="str">
        <f aca="false">IF(B521="","",IF(G521&lt;&gt;"",G521,E521))</f>
        <v/>
      </c>
      <c r="J521" s="21" t="str">
        <f aca="false">IF(B521="","",IF(H521&lt;&gt;"",H521,F521))</f>
        <v/>
      </c>
      <c r="K521" s="26" t="str">
        <f aca="false">IF(A521="","",DATE(YEAR(A521),MONTH(A521),1))</f>
        <v/>
      </c>
      <c r="L521" s="21" t="str">
        <f aca="false">IF(J521="",IF(B521="","",IF(N(C521)&gt;=0,"Income","Expense")),IFERROR(INDEX(Lists!$B$2:$B$30,MATCH(J521,Lists!$A$2:$A$30,0)),""))</f>
        <v/>
      </c>
      <c r="M521" s="24"/>
      <c r="N521" s="27" t="str">
        <f aca="false">IF(B521="","",IFERROR(1000-SUMPRODUCT(MAX(ISNUMBER(SEARCH(Rules!$A$5:$A$204,B521))*(Rules!$A$5:$A$204&lt;&gt;"")*(1000-ROW(Rules!$A$5:$A$204)))),""))</f>
        <v/>
      </c>
    </row>
    <row r="522" customFormat="false" ht="15" hidden="false" customHeight="false" outlineLevel="0" collapsed="false">
      <c r="A522" s="23"/>
      <c r="B522" s="24"/>
      <c r="C522" s="25"/>
      <c r="D522" s="24"/>
      <c r="E522" s="21" t="str">
        <f aca="false">IF(OR(B522="",N(N522)=0,N522=1000),IF(B522="","","Check"),INDEX(Rules!$B:$B,N522))</f>
        <v/>
      </c>
      <c r="F522" s="21" t="str">
        <f aca="false">IF(OR(B522="",N(N522)=0,N522=1000),"",INDEX(Rules!$C:$C,N522))</f>
        <v/>
      </c>
      <c r="G522" s="24"/>
      <c r="H522" s="24"/>
      <c r="I522" s="20" t="str">
        <f aca="false">IF(B522="","",IF(G522&lt;&gt;"",G522,E522))</f>
        <v/>
      </c>
      <c r="J522" s="21" t="str">
        <f aca="false">IF(B522="","",IF(H522&lt;&gt;"",H522,F522))</f>
        <v/>
      </c>
      <c r="K522" s="26" t="str">
        <f aca="false">IF(A522="","",DATE(YEAR(A522),MONTH(A522),1))</f>
        <v/>
      </c>
      <c r="L522" s="21" t="str">
        <f aca="false">IF(J522="",IF(B522="","",IF(N(C522)&gt;=0,"Income","Expense")),IFERROR(INDEX(Lists!$B$2:$B$30,MATCH(J522,Lists!$A$2:$A$30,0)),""))</f>
        <v/>
      </c>
      <c r="M522" s="24"/>
      <c r="N522" s="27" t="str">
        <f aca="false">IF(B522="","",IFERROR(1000-SUMPRODUCT(MAX(ISNUMBER(SEARCH(Rules!$A$5:$A$204,B522))*(Rules!$A$5:$A$204&lt;&gt;"")*(1000-ROW(Rules!$A$5:$A$204)))),""))</f>
        <v/>
      </c>
    </row>
    <row r="523" customFormat="false" ht="15" hidden="false" customHeight="false" outlineLevel="0" collapsed="false">
      <c r="A523" s="23"/>
      <c r="B523" s="24"/>
      <c r="C523" s="25"/>
      <c r="D523" s="24"/>
      <c r="E523" s="21" t="str">
        <f aca="false">IF(OR(B523="",N(N523)=0,N523=1000),IF(B523="","","Check"),INDEX(Rules!$B:$B,N523))</f>
        <v/>
      </c>
      <c r="F523" s="21" t="str">
        <f aca="false">IF(OR(B523="",N(N523)=0,N523=1000),"",INDEX(Rules!$C:$C,N523))</f>
        <v/>
      </c>
      <c r="G523" s="24"/>
      <c r="H523" s="24"/>
      <c r="I523" s="20" t="str">
        <f aca="false">IF(B523="","",IF(G523&lt;&gt;"",G523,E523))</f>
        <v/>
      </c>
      <c r="J523" s="21" t="str">
        <f aca="false">IF(B523="","",IF(H523&lt;&gt;"",H523,F523))</f>
        <v/>
      </c>
      <c r="K523" s="26" t="str">
        <f aca="false">IF(A523="","",DATE(YEAR(A523),MONTH(A523),1))</f>
        <v/>
      </c>
      <c r="L523" s="21" t="str">
        <f aca="false">IF(J523="",IF(B523="","",IF(N(C523)&gt;=0,"Income","Expense")),IFERROR(INDEX(Lists!$B$2:$B$30,MATCH(J523,Lists!$A$2:$A$30,0)),""))</f>
        <v/>
      </c>
      <c r="M523" s="24"/>
      <c r="N523" s="27" t="str">
        <f aca="false">IF(B523="","",IFERROR(1000-SUMPRODUCT(MAX(ISNUMBER(SEARCH(Rules!$A$5:$A$204,B523))*(Rules!$A$5:$A$204&lt;&gt;"")*(1000-ROW(Rules!$A$5:$A$204)))),""))</f>
        <v/>
      </c>
    </row>
    <row r="524" customFormat="false" ht="15" hidden="false" customHeight="false" outlineLevel="0" collapsed="false">
      <c r="A524" s="23"/>
      <c r="B524" s="24"/>
      <c r="C524" s="25"/>
      <c r="D524" s="24"/>
      <c r="E524" s="21" t="str">
        <f aca="false">IF(OR(B524="",N(N524)=0,N524=1000),IF(B524="","","Check"),INDEX(Rules!$B:$B,N524))</f>
        <v/>
      </c>
      <c r="F524" s="21" t="str">
        <f aca="false">IF(OR(B524="",N(N524)=0,N524=1000),"",INDEX(Rules!$C:$C,N524))</f>
        <v/>
      </c>
      <c r="G524" s="24"/>
      <c r="H524" s="24"/>
      <c r="I524" s="20" t="str">
        <f aca="false">IF(B524="","",IF(G524&lt;&gt;"",G524,E524))</f>
        <v/>
      </c>
      <c r="J524" s="21" t="str">
        <f aca="false">IF(B524="","",IF(H524&lt;&gt;"",H524,F524))</f>
        <v/>
      </c>
      <c r="K524" s="26" t="str">
        <f aca="false">IF(A524="","",DATE(YEAR(A524),MONTH(A524),1))</f>
        <v/>
      </c>
      <c r="L524" s="21" t="str">
        <f aca="false">IF(J524="",IF(B524="","",IF(N(C524)&gt;=0,"Income","Expense")),IFERROR(INDEX(Lists!$B$2:$B$30,MATCH(J524,Lists!$A$2:$A$30,0)),""))</f>
        <v/>
      </c>
      <c r="M524" s="24"/>
      <c r="N524" s="27" t="str">
        <f aca="false">IF(B524="","",IFERROR(1000-SUMPRODUCT(MAX(ISNUMBER(SEARCH(Rules!$A$5:$A$204,B524))*(Rules!$A$5:$A$204&lt;&gt;"")*(1000-ROW(Rules!$A$5:$A$204)))),""))</f>
        <v/>
      </c>
    </row>
    <row r="525" customFormat="false" ht="15" hidden="false" customHeight="false" outlineLevel="0" collapsed="false">
      <c r="A525" s="23"/>
      <c r="B525" s="24"/>
      <c r="C525" s="25"/>
      <c r="D525" s="24"/>
      <c r="E525" s="21" t="str">
        <f aca="false">IF(OR(B525="",N(N525)=0,N525=1000),IF(B525="","","Check"),INDEX(Rules!$B:$B,N525))</f>
        <v/>
      </c>
      <c r="F525" s="21" t="str">
        <f aca="false">IF(OR(B525="",N(N525)=0,N525=1000),"",INDEX(Rules!$C:$C,N525))</f>
        <v/>
      </c>
      <c r="G525" s="24"/>
      <c r="H525" s="24"/>
      <c r="I525" s="20" t="str">
        <f aca="false">IF(B525="","",IF(G525&lt;&gt;"",G525,E525))</f>
        <v/>
      </c>
      <c r="J525" s="21" t="str">
        <f aca="false">IF(B525="","",IF(H525&lt;&gt;"",H525,F525))</f>
        <v/>
      </c>
      <c r="K525" s="26" t="str">
        <f aca="false">IF(A525="","",DATE(YEAR(A525),MONTH(A525),1))</f>
        <v/>
      </c>
      <c r="L525" s="21" t="str">
        <f aca="false">IF(J525="",IF(B525="","",IF(N(C525)&gt;=0,"Income","Expense")),IFERROR(INDEX(Lists!$B$2:$B$30,MATCH(J525,Lists!$A$2:$A$30,0)),""))</f>
        <v/>
      </c>
      <c r="M525" s="24"/>
      <c r="N525" s="27" t="str">
        <f aca="false">IF(B525="","",IFERROR(1000-SUMPRODUCT(MAX(ISNUMBER(SEARCH(Rules!$A$5:$A$204,B525))*(Rules!$A$5:$A$204&lt;&gt;"")*(1000-ROW(Rules!$A$5:$A$204)))),""))</f>
        <v/>
      </c>
    </row>
    <row r="526" customFormat="false" ht="15" hidden="false" customHeight="false" outlineLevel="0" collapsed="false">
      <c r="A526" s="23"/>
      <c r="B526" s="24"/>
      <c r="C526" s="25"/>
      <c r="D526" s="24"/>
      <c r="E526" s="21" t="str">
        <f aca="false">IF(OR(B526="",N(N526)=0,N526=1000),IF(B526="","","Check"),INDEX(Rules!$B:$B,N526))</f>
        <v/>
      </c>
      <c r="F526" s="21" t="str">
        <f aca="false">IF(OR(B526="",N(N526)=0,N526=1000),"",INDEX(Rules!$C:$C,N526))</f>
        <v/>
      </c>
      <c r="G526" s="24"/>
      <c r="H526" s="24"/>
      <c r="I526" s="20" t="str">
        <f aca="false">IF(B526="","",IF(G526&lt;&gt;"",G526,E526))</f>
        <v/>
      </c>
      <c r="J526" s="21" t="str">
        <f aca="false">IF(B526="","",IF(H526&lt;&gt;"",H526,F526))</f>
        <v/>
      </c>
      <c r="K526" s="26" t="str">
        <f aca="false">IF(A526="","",DATE(YEAR(A526),MONTH(A526),1))</f>
        <v/>
      </c>
      <c r="L526" s="21" t="str">
        <f aca="false">IF(J526="",IF(B526="","",IF(N(C526)&gt;=0,"Income","Expense")),IFERROR(INDEX(Lists!$B$2:$B$30,MATCH(J526,Lists!$A$2:$A$30,0)),""))</f>
        <v/>
      </c>
      <c r="M526" s="24"/>
      <c r="N526" s="27" t="str">
        <f aca="false">IF(B526="","",IFERROR(1000-SUMPRODUCT(MAX(ISNUMBER(SEARCH(Rules!$A$5:$A$204,B526))*(Rules!$A$5:$A$204&lt;&gt;"")*(1000-ROW(Rules!$A$5:$A$204)))),""))</f>
        <v/>
      </c>
    </row>
    <row r="527" customFormat="false" ht="15" hidden="false" customHeight="false" outlineLevel="0" collapsed="false">
      <c r="A527" s="23"/>
      <c r="B527" s="24"/>
      <c r="C527" s="25"/>
      <c r="D527" s="24"/>
      <c r="E527" s="21" t="str">
        <f aca="false">IF(OR(B527="",N(N527)=0,N527=1000),IF(B527="","","Check"),INDEX(Rules!$B:$B,N527))</f>
        <v/>
      </c>
      <c r="F527" s="21" t="str">
        <f aca="false">IF(OR(B527="",N(N527)=0,N527=1000),"",INDEX(Rules!$C:$C,N527))</f>
        <v/>
      </c>
      <c r="G527" s="24"/>
      <c r="H527" s="24"/>
      <c r="I527" s="20" t="str">
        <f aca="false">IF(B527="","",IF(G527&lt;&gt;"",G527,E527))</f>
        <v/>
      </c>
      <c r="J527" s="21" t="str">
        <f aca="false">IF(B527="","",IF(H527&lt;&gt;"",H527,F527))</f>
        <v/>
      </c>
      <c r="K527" s="26" t="str">
        <f aca="false">IF(A527="","",DATE(YEAR(A527),MONTH(A527),1))</f>
        <v/>
      </c>
      <c r="L527" s="21" t="str">
        <f aca="false">IF(J527="",IF(B527="","",IF(N(C527)&gt;=0,"Income","Expense")),IFERROR(INDEX(Lists!$B$2:$B$30,MATCH(J527,Lists!$A$2:$A$30,0)),""))</f>
        <v/>
      </c>
      <c r="M527" s="24"/>
      <c r="N527" s="27" t="str">
        <f aca="false">IF(B527="","",IFERROR(1000-SUMPRODUCT(MAX(ISNUMBER(SEARCH(Rules!$A$5:$A$204,B527))*(Rules!$A$5:$A$204&lt;&gt;"")*(1000-ROW(Rules!$A$5:$A$204)))),""))</f>
        <v/>
      </c>
    </row>
    <row r="528" customFormat="false" ht="15" hidden="false" customHeight="false" outlineLevel="0" collapsed="false">
      <c r="A528" s="23"/>
      <c r="B528" s="24"/>
      <c r="C528" s="25"/>
      <c r="D528" s="24"/>
      <c r="E528" s="21" t="str">
        <f aca="false">IF(OR(B528="",N(N528)=0,N528=1000),IF(B528="","","Check"),INDEX(Rules!$B:$B,N528))</f>
        <v/>
      </c>
      <c r="F528" s="21" t="str">
        <f aca="false">IF(OR(B528="",N(N528)=0,N528=1000),"",INDEX(Rules!$C:$C,N528))</f>
        <v/>
      </c>
      <c r="G528" s="24"/>
      <c r="H528" s="24"/>
      <c r="I528" s="20" t="str">
        <f aca="false">IF(B528="","",IF(G528&lt;&gt;"",G528,E528))</f>
        <v/>
      </c>
      <c r="J528" s="21" t="str">
        <f aca="false">IF(B528="","",IF(H528&lt;&gt;"",H528,F528))</f>
        <v/>
      </c>
      <c r="K528" s="26" t="str">
        <f aca="false">IF(A528="","",DATE(YEAR(A528),MONTH(A528),1))</f>
        <v/>
      </c>
      <c r="L528" s="21" t="str">
        <f aca="false">IF(J528="",IF(B528="","",IF(N(C528)&gt;=0,"Income","Expense")),IFERROR(INDEX(Lists!$B$2:$B$30,MATCH(J528,Lists!$A$2:$A$30,0)),""))</f>
        <v/>
      </c>
      <c r="M528" s="24"/>
      <c r="N528" s="27" t="str">
        <f aca="false">IF(B528="","",IFERROR(1000-SUMPRODUCT(MAX(ISNUMBER(SEARCH(Rules!$A$5:$A$204,B528))*(Rules!$A$5:$A$204&lt;&gt;"")*(1000-ROW(Rules!$A$5:$A$204)))),""))</f>
        <v/>
      </c>
    </row>
    <row r="529" customFormat="false" ht="15" hidden="false" customHeight="false" outlineLevel="0" collapsed="false">
      <c r="A529" s="23"/>
      <c r="B529" s="24"/>
      <c r="C529" s="25"/>
      <c r="D529" s="24"/>
      <c r="E529" s="21" t="str">
        <f aca="false">IF(OR(B529="",N(N529)=0,N529=1000),IF(B529="","","Check"),INDEX(Rules!$B:$B,N529))</f>
        <v/>
      </c>
      <c r="F529" s="21" t="str">
        <f aca="false">IF(OR(B529="",N(N529)=0,N529=1000),"",INDEX(Rules!$C:$C,N529))</f>
        <v/>
      </c>
      <c r="G529" s="24"/>
      <c r="H529" s="24"/>
      <c r="I529" s="20" t="str">
        <f aca="false">IF(B529="","",IF(G529&lt;&gt;"",G529,E529))</f>
        <v/>
      </c>
      <c r="J529" s="21" t="str">
        <f aca="false">IF(B529="","",IF(H529&lt;&gt;"",H529,F529))</f>
        <v/>
      </c>
      <c r="K529" s="26" t="str">
        <f aca="false">IF(A529="","",DATE(YEAR(A529),MONTH(A529),1))</f>
        <v/>
      </c>
      <c r="L529" s="21" t="str">
        <f aca="false">IF(J529="",IF(B529="","",IF(N(C529)&gt;=0,"Income","Expense")),IFERROR(INDEX(Lists!$B$2:$B$30,MATCH(J529,Lists!$A$2:$A$30,0)),""))</f>
        <v/>
      </c>
      <c r="M529" s="24"/>
      <c r="N529" s="27" t="str">
        <f aca="false">IF(B529="","",IFERROR(1000-SUMPRODUCT(MAX(ISNUMBER(SEARCH(Rules!$A$5:$A$204,B529))*(Rules!$A$5:$A$204&lt;&gt;"")*(1000-ROW(Rules!$A$5:$A$204)))),""))</f>
        <v/>
      </c>
    </row>
    <row r="530" customFormat="false" ht="15" hidden="false" customHeight="false" outlineLevel="0" collapsed="false">
      <c r="A530" s="23"/>
      <c r="B530" s="24"/>
      <c r="C530" s="25"/>
      <c r="D530" s="24"/>
      <c r="E530" s="21" t="str">
        <f aca="false">IF(OR(B530="",N(N530)=0,N530=1000),IF(B530="","","Check"),INDEX(Rules!$B:$B,N530))</f>
        <v/>
      </c>
      <c r="F530" s="21" t="str">
        <f aca="false">IF(OR(B530="",N(N530)=0,N530=1000),"",INDEX(Rules!$C:$C,N530))</f>
        <v/>
      </c>
      <c r="G530" s="24"/>
      <c r="H530" s="24"/>
      <c r="I530" s="20" t="str">
        <f aca="false">IF(B530="","",IF(G530&lt;&gt;"",G530,E530))</f>
        <v/>
      </c>
      <c r="J530" s="21" t="str">
        <f aca="false">IF(B530="","",IF(H530&lt;&gt;"",H530,F530))</f>
        <v/>
      </c>
      <c r="K530" s="26" t="str">
        <f aca="false">IF(A530="","",DATE(YEAR(A530),MONTH(A530),1))</f>
        <v/>
      </c>
      <c r="L530" s="21" t="str">
        <f aca="false">IF(J530="",IF(B530="","",IF(N(C530)&gt;=0,"Income","Expense")),IFERROR(INDEX(Lists!$B$2:$B$30,MATCH(J530,Lists!$A$2:$A$30,0)),""))</f>
        <v/>
      </c>
      <c r="M530" s="24"/>
      <c r="N530" s="27" t="str">
        <f aca="false">IF(B530="","",IFERROR(1000-SUMPRODUCT(MAX(ISNUMBER(SEARCH(Rules!$A$5:$A$204,B530))*(Rules!$A$5:$A$204&lt;&gt;"")*(1000-ROW(Rules!$A$5:$A$204)))),""))</f>
        <v/>
      </c>
    </row>
    <row r="531" customFormat="false" ht="15" hidden="false" customHeight="false" outlineLevel="0" collapsed="false">
      <c r="A531" s="23"/>
      <c r="B531" s="24"/>
      <c r="C531" s="25"/>
      <c r="D531" s="24"/>
      <c r="E531" s="21" t="str">
        <f aca="false">IF(OR(B531="",N(N531)=0,N531=1000),IF(B531="","","Check"),INDEX(Rules!$B:$B,N531))</f>
        <v/>
      </c>
      <c r="F531" s="21" t="str">
        <f aca="false">IF(OR(B531="",N(N531)=0,N531=1000),"",INDEX(Rules!$C:$C,N531))</f>
        <v/>
      </c>
      <c r="G531" s="24"/>
      <c r="H531" s="24"/>
      <c r="I531" s="20" t="str">
        <f aca="false">IF(B531="","",IF(G531&lt;&gt;"",G531,E531))</f>
        <v/>
      </c>
      <c r="J531" s="21" t="str">
        <f aca="false">IF(B531="","",IF(H531&lt;&gt;"",H531,F531))</f>
        <v/>
      </c>
      <c r="K531" s="26" t="str">
        <f aca="false">IF(A531="","",DATE(YEAR(A531),MONTH(A531),1))</f>
        <v/>
      </c>
      <c r="L531" s="21" t="str">
        <f aca="false">IF(J531="",IF(B531="","",IF(N(C531)&gt;=0,"Income","Expense")),IFERROR(INDEX(Lists!$B$2:$B$30,MATCH(J531,Lists!$A$2:$A$30,0)),""))</f>
        <v/>
      </c>
      <c r="M531" s="24"/>
      <c r="N531" s="27" t="str">
        <f aca="false">IF(B531="","",IFERROR(1000-SUMPRODUCT(MAX(ISNUMBER(SEARCH(Rules!$A$5:$A$204,B531))*(Rules!$A$5:$A$204&lt;&gt;"")*(1000-ROW(Rules!$A$5:$A$204)))),""))</f>
        <v/>
      </c>
    </row>
    <row r="532" customFormat="false" ht="15" hidden="false" customHeight="false" outlineLevel="0" collapsed="false">
      <c r="A532" s="23"/>
      <c r="B532" s="24"/>
      <c r="C532" s="25"/>
      <c r="D532" s="24"/>
      <c r="E532" s="21" t="str">
        <f aca="false">IF(OR(B532="",N(N532)=0,N532=1000),IF(B532="","","Check"),INDEX(Rules!$B:$B,N532))</f>
        <v/>
      </c>
      <c r="F532" s="21" t="str">
        <f aca="false">IF(OR(B532="",N(N532)=0,N532=1000),"",INDEX(Rules!$C:$C,N532))</f>
        <v/>
      </c>
      <c r="G532" s="24"/>
      <c r="H532" s="24"/>
      <c r="I532" s="20" t="str">
        <f aca="false">IF(B532="","",IF(G532&lt;&gt;"",G532,E532))</f>
        <v/>
      </c>
      <c r="J532" s="21" t="str">
        <f aca="false">IF(B532="","",IF(H532&lt;&gt;"",H532,F532))</f>
        <v/>
      </c>
      <c r="K532" s="26" t="str">
        <f aca="false">IF(A532="","",DATE(YEAR(A532),MONTH(A532),1))</f>
        <v/>
      </c>
      <c r="L532" s="21" t="str">
        <f aca="false">IF(J532="",IF(B532="","",IF(N(C532)&gt;=0,"Income","Expense")),IFERROR(INDEX(Lists!$B$2:$B$30,MATCH(J532,Lists!$A$2:$A$30,0)),""))</f>
        <v/>
      </c>
      <c r="M532" s="24"/>
      <c r="N532" s="27" t="str">
        <f aca="false">IF(B532="","",IFERROR(1000-SUMPRODUCT(MAX(ISNUMBER(SEARCH(Rules!$A$5:$A$204,B532))*(Rules!$A$5:$A$204&lt;&gt;"")*(1000-ROW(Rules!$A$5:$A$204)))),""))</f>
        <v/>
      </c>
    </row>
    <row r="533" customFormat="false" ht="15" hidden="false" customHeight="false" outlineLevel="0" collapsed="false">
      <c r="A533" s="23"/>
      <c r="B533" s="24"/>
      <c r="C533" s="25"/>
      <c r="D533" s="24"/>
      <c r="E533" s="21" t="str">
        <f aca="false">IF(OR(B533="",N(N533)=0,N533=1000),IF(B533="","","Check"),INDEX(Rules!$B:$B,N533))</f>
        <v/>
      </c>
      <c r="F533" s="21" t="str">
        <f aca="false">IF(OR(B533="",N(N533)=0,N533=1000),"",INDEX(Rules!$C:$C,N533))</f>
        <v/>
      </c>
      <c r="G533" s="24"/>
      <c r="H533" s="24"/>
      <c r="I533" s="20" t="str">
        <f aca="false">IF(B533="","",IF(G533&lt;&gt;"",G533,E533))</f>
        <v/>
      </c>
      <c r="J533" s="21" t="str">
        <f aca="false">IF(B533="","",IF(H533&lt;&gt;"",H533,F533))</f>
        <v/>
      </c>
      <c r="K533" s="26" t="str">
        <f aca="false">IF(A533="","",DATE(YEAR(A533),MONTH(A533),1))</f>
        <v/>
      </c>
      <c r="L533" s="21" t="str">
        <f aca="false">IF(J533="",IF(B533="","",IF(N(C533)&gt;=0,"Income","Expense")),IFERROR(INDEX(Lists!$B$2:$B$30,MATCH(J533,Lists!$A$2:$A$30,0)),""))</f>
        <v/>
      </c>
      <c r="M533" s="24"/>
      <c r="N533" s="27" t="str">
        <f aca="false">IF(B533="","",IFERROR(1000-SUMPRODUCT(MAX(ISNUMBER(SEARCH(Rules!$A$5:$A$204,B533))*(Rules!$A$5:$A$204&lt;&gt;"")*(1000-ROW(Rules!$A$5:$A$204)))),""))</f>
        <v/>
      </c>
    </row>
    <row r="534" customFormat="false" ht="15" hidden="false" customHeight="false" outlineLevel="0" collapsed="false">
      <c r="A534" s="23"/>
      <c r="B534" s="24"/>
      <c r="C534" s="25"/>
      <c r="D534" s="24"/>
      <c r="E534" s="21" t="str">
        <f aca="false">IF(OR(B534="",N(N534)=0,N534=1000),IF(B534="","","Check"),INDEX(Rules!$B:$B,N534))</f>
        <v/>
      </c>
      <c r="F534" s="21" t="str">
        <f aca="false">IF(OR(B534="",N(N534)=0,N534=1000),"",INDEX(Rules!$C:$C,N534))</f>
        <v/>
      </c>
      <c r="G534" s="24"/>
      <c r="H534" s="24"/>
      <c r="I534" s="20" t="str">
        <f aca="false">IF(B534="","",IF(G534&lt;&gt;"",G534,E534))</f>
        <v/>
      </c>
      <c r="J534" s="21" t="str">
        <f aca="false">IF(B534="","",IF(H534&lt;&gt;"",H534,F534))</f>
        <v/>
      </c>
      <c r="K534" s="26" t="str">
        <f aca="false">IF(A534="","",DATE(YEAR(A534),MONTH(A534),1))</f>
        <v/>
      </c>
      <c r="L534" s="21" t="str">
        <f aca="false">IF(J534="",IF(B534="","",IF(N(C534)&gt;=0,"Income","Expense")),IFERROR(INDEX(Lists!$B$2:$B$30,MATCH(J534,Lists!$A$2:$A$30,0)),""))</f>
        <v/>
      </c>
      <c r="M534" s="24"/>
      <c r="N534" s="27" t="str">
        <f aca="false">IF(B534="","",IFERROR(1000-SUMPRODUCT(MAX(ISNUMBER(SEARCH(Rules!$A$5:$A$204,B534))*(Rules!$A$5:$A$204&lt;&gt;"")*(1000-ROW(Rules!$A$5:$A$204)))),""))</f>
        <v/>
      </c>
    </row>
    <row r="535" customFormat="false" ht="15" hidden="false" customHeight="false" outlineLevel="0" collapsed="false">
      <c r="A535" s="23"/>
      <c r="B535" s="24"/>
      <c r="C535" s="25"/>
      <c r="D535" s="24"/>
      <c r="E535" s="21" t="str">
        <f aca="false">IF(OR(B535="",N(N535)=0,N535=1000),IF(B535="","","Check"),INDEX(Rules!$B:$B,N535))</f>
        <v/>
      </c>
      <c r="F535" s="21" t="str">
        <f aca="false">IF(OR(B535="",N(N535)=0,N535=1000),"",INDEX(Rules!$C:$C,N535))</f>
        <v/>
      </c>
      <c r="G535" s="24"/>
      <c r="H535" s="24"/>
      <c r="I535" s="20" t="str">
        <f aca="false">IF(B535="","",IF(G535&lt;&gt;"",G535,E535))</f>
        <v/>
      </c>
      <c r="J535" s="21" t="str">
        <f aca="false">IF(B535="","",IF(H535&lt;&gt;"",H535,F535))</f>
        <v/>
      </c>
      <c r="K535" s="26" t="str">
        <f aca="false">IF(A535="","",DATE(YEAR(A535),MONTH(A535),1))</f>
        <v/>
      </c>
      <c r="L535" s="21" t="str">
        <f aca="false">IF(J535="",IF(B535="","",IF(N(C535)&gt;=0,"Income","Expense")),IFERROR(INDEX(Lists!$B$2:$B$30,MATCH(J535,Lists!$A$2:$A$30,0)),""))</f>
        <v/>
      </c>
      <c r="M535" s="24"/>
      <c r="N535" s="27" t="str">
        <f aca="false">IF(B535="","",IFERROR(1000-SUMPRODUCT(MAX(ISNUMBER(SEARCH(Rules!$A$5:$A$204,B535))*(Rules!$A$5:$A$204&lt;&gt;"")*(1000-ROW(Rules!$A$5:$A$204)))),""))</f>
        <v/>
      </c>
    </row>
    <row r="536" customFormat="false" ht="15" hidden="false" customHeight="false" outlineLevel="0" collapsed="false">
      <c r="A536" s="23"/>
      <c r="B536" s="24"/>
      <c r="C536" s="25"/>
      <c r="D536" s="24"/>
      <c r="E536" s="21" t="str">
        <f aca="false">IF(OR(B536="",N(N536)=0,N536=1000),IF(B536="","","Check"),INDEX(Rules!$B:$B,N536))</f>
        <v/>
      </c>
      <c r="F536" s="21" t="str">
        <f aca="false">IF(OR(B536="",N(N536)=0,N536=1000),"",INDEX(Rules!$C:$C,N536))</f>
        <v/>
      </c>
      <c r="G536" s="24"/>
      <c r="H536" s="24"/>
      <c r="I536" s="20" t="str">
        <f aca="false">IF(B536="","",IF(G536&lt;&gt;"",G536,E536))</f>
        <v/>
      </c>
      <c r="J536" s="21" t="str">
        <f aca="false">IF(B536="","",IF(H536&lt;&gt;"",H536,F536))</f>
        <v/>
      </c>
      <c r="K536" s="26" t="str">
        <f aca="false">IF(A536="","",DATE(YEAR(A536),MONTH(A536),1))</f>
        <v/>
      </c>
      <c r="L536" s="21" t="str">
        <f aca="false">IF(J536="",IF(B536="","",IF(N(C536)&gt;=0,"Income","Expense")),IFERROR(INDEX(Lists!$B$2:$B$30,MATCH(J536,Lists!$A$2:$A$30,0)),""))</f>
        <v/>
      </c>
      <c r="M536" s="24"/>
      <c r="N536" s="27" t="str">
        <f aca="false">IF(B536="","",IFERROR(1000-SUMPRODUCT(MAX(ISNUMBER(SEARCH(Rules!$A$5:$A$204,B536))*(Rules!$A$5:$A$204&lt;&gt;"")*(1000-ROW(Rules!$A$5:$A$204)))),""))</f>
        <v/>
      </c>
    </row>
    <row r="537" customFormat="false" ht="15" hidden="false" customHeight="false" outlineLevel="0" collapsed="false">
      <c r="A537" s="23"/>
      <c r="B537" s="24"/>
      <c r="C537" s="25"/>
      <c r="D537" s="24"/>
      <c r="E537" s="21" t="str">
        <f aca="false">IF(OR(B537="",N(N537)=0,N537=1000),IF(B537="","","Check"),INDEX(Rules!$B:$B,N537))</f>
        <v/>
      </c>
      <c r="F537" s="21" t="str">
        <f aca="false">IF(OR(B537="",N(N537)=0,N537=1000),"",INDEX(Rules!$C:$C,N537))</f>
        <v/>
      </c>
      <c r="G537" s="24"/>
      <c r="H537" s="24"/>
      <c r="I537" s="20" t="str">
        <f aca="false">IF(B537="","",IF(G537&lt;&gt;"",G537,E537))</f>
        <v/>
      </c>
      <c r="J537" s="21" t="str">
        <f aca="false">IF(B537="","",IF(H537&lt;&gt;"",H537,F537))</f>
        <v/>
      </c>
      <c r="K537" s="26" t="str">
        <f aca="false">IF(A537="","",DATE(YEAR(A537),MONTH(A537),1))</f>
        <v/>
      </c>
      <c r="L537" s="21" t="str">
        <f aca="false">IF(J537="",IF(B537="","",IF(N(C537)&gt;=0,"Income","Expense")),IFERROR(INDEX(Lists!$B$2:$B$30,MATCH(J537,Lists!$A$2:$A$30,0)),""))</f>
        <v/>
      </c>
      <c r="M537" s="24"/>
      <c r="N537" s="27" t="str">
        <f aca="false">IF(B537="","",IFERROR(1000-SUMPRODUCT(MAX(ISNUMBER(SEARCH(Rules!$A$5:$A$204,B537))*(Rules!$A$5:$A$204&lt;&gt;"")*(1000-ROW(Rules!$A$5:$A$204)))),""))</f>
        <v/>
      </c>
    </row>
    <row r="538" customFormat="false" ht="15" hidden="false" customHeight="false" outlineLevel="0" collapsed="false">
      <c r="A538" s="23"/>
      <c r="B538" s="24"/>
      <c r="C538" s="25"/>
      <c r="D538" s="24"/>
      <c r="E538" s="21" t="str">
        <f aca="false">IF(OR(B538="",N(N538)=0,N538=1000),IF(B538="","","Check"),INDEX(Rules!$B:$B,N538))</f>
        <v/>
      </c>
      <c r="F538" s="21" t="str">
        <f aca="false">IF(OR(B538="",N(N538)=0,N538=1000),"",INDEX(Rules!$C:$C,N538))</f>
        <v/>
      </c>
      <c r="G538" s="24"/>
      <c r="H538" s="24"/>
      <c r="I538" s="20" t="str">
        <f aca="false">IF(B538="","",IF(G538&lt;&gt;"",G538,E538))</f>
        <v/>
      </c>
      <c r="J538" s="21" t="str">
        <f aca="false">IF(B538="","",IF(H538&lt;&gt;"",H538,F538))</f>
        <v/>
      </c>
      <c r="K538" s="26" t="str">
        <f aca="false">IF(A538="","",DATE(YEAR(A538),MONTH(A538),1))</f>
        <v/>
      </c>
      <c r="L538" s="21" t="str">
        <f aca="false">IF(J538="",IF(B538="","",IF(N(C538)&gt;=0,"Income","Expense")),IFERROR(INDEX(Lists!$B$2:$B$30,MATCH(J538,Lists!$A$2:$A$30,0)),""))</f>
        <v/>
      </c>
      <c r="M538" s="24"/>
      <c r="N538" s="27" t="str">
        <f aca="false">IF(B538="","",IFERROR(1000-SUMPRODUCT(MAX(ISNUMBER(SEARCH(Rules!$A$5:$A$204,B538))*(Rules!$A$5:$A$204&lt;&gt;"")*(1000-ROW(Rules!$A$5:$A$204)))),""))</f>
        <v/>
      </c>
    </row>
    <row r="539" customFormat="false" ht="15" hidden="false" customHeight="false" outlineLevel="0" collapsed="false">
      <c r="A539" s="23"/>
      <c r="B539" s="24"/>
      <c r="C539" s="25"/>
      <c r="D539" s="24"/>
      <c r="E539" s="21" t="str">
        <f aca="false">IF(OR(B539="",N(N539)=0,N539=1000),IF(B539="","","Check"),INDEX(Rules!$B:$B,N539))</f>
        <v/>
      </c>
      <c r="F539" s="21" t="str">
        <f aca="false">IF(OR(B539="",N(N539)=0,N539=1000),"",INDEX(Rules!$C:$C,N539))</f>
        <v/>
      </c>
      <c r="G539" s="24"/>
      <c r="H539" s="24"/>
      <c r="I539" s="20" t="str">
        <f aca="false">IF(B539="","",IF(G539&lt;&gt;"",G539,E539))</f>
        <v/>
      </c>
      <c r="J539" s="21" t="str">
        <f aca="false">IF(B539="","",IF(H539&lt;&gt;"",H539,F539))</f>
        <v/>
      </c>
      <c r="K539" s="26" t="str">
        <f aca="false">IF(A539="","",DATE(YEAR(A539),MONTH(A539),1))</f>
        <v/>
      </c>
      <c r="L539" s="21" t="str">
        <f aca="false">IF(J539="",IF(B539="","",IF(N(C539)&gt;=0,"Income","Expense")),IFERROR(INDEX(Lists!$B$2:$B$30,MATCH(J539,Lists!$A$2:$A$30,0)),""))</f>
        <v/>
      </c>
      <c r="M539" s="24"/>
      <c r="N539" s="27" t="str">
        <f aca="false">IF(B539="","",IFERROR(1000-SUMPRODUCT(MAX(ISNUMBER(SEARCH(Rules!$A$5:$A$204,B539))*(Rules!$A$5:$A$204&lt;&gt;"")*(1000-ROW(Rules!$A$5:$A$204)))),""))</f>
        <v/>
      </c>
    </row>
    <row r="540" customFormat="false" ht="15" hidden="false" customHeight="false" outlineLevel="0" collapsed="false">
      <c r="A540" s="23"/>
      <c r="B540" s="24"/>
      <c r="C540" s="25"/>
      <c r="D540" s="24"/>
      <c r="E540" s="21" t="str">
        <f aca="false">IF(OR(B540="",N(N540)=0,N540=1000),IF(B540="","","Check"),INDEX(Rules!$B:$B,N540))</f>
        <v/>
      </c>
      <c r="F540" s="21" t="str">
        <f aca="false">IF(OR(B540="",N(N540)=0,N540=1000),"",INDEX(Rules!$C:$C,N540))</f>
        <v/>
      </c>
      <c r="G540" s="24"/>
      <c r="H540" s="24"/>
      <c r="I540" s="20" t="str">
        <f aca="false">IF(B540="","",IF(G540&lt;&gt;"",G540,E540))</f>
        <v/>
      </c>
      <c r="J540" s="21" t="str">
        <f aca="false">IF(B540="","",IF(H540&lt;&gt;"",H540,F540))</f>
        <v/>
      </c>
      <c r="K540" s="26" t="str">
        <f aca="false">IF(A540="","",DATE(YEAR(A540),MONTH(A540),1))</f>
        <v/>
      </c>
      <c r="L540" s="21" t="str">
        <f aca="false">IF(J540="",IF(B540="","",IF(N(C540)&gt;=0,"Income","Expense")),IFERROR(INDEX(Lists!$B$2:$B$30,MATCH(J540,Lists!$A$2:$A$30,0)),""))</f>
        <v/>
      </c>
      <c r="M540" s="24"/>
      <c r="N540" s="27" t="str">
        <f aca="false">IF(B540="","",IFERROR(1000-SUMPRODUCT(MAX(ISNUMBER(SEARCH(Rules!$A$5:$A$204,B540))*(Rules!$A$5:$A$204&lt;&gt;"")*(1000-ROW(Rules!$A$5:$A$204)))),""))</f>
        <v/>
      </c>
    </row>
    <row r="541" customFormat="false" ht="15" hidden="false" customHeight="false" outlineLevel="0" collapsed="false">
      <c r="A541" s="23"/>
      <c r="B541" s="24"/>
      <c r="C541" s="25"/>
      <c r="D541" s="24"/>
      <c r="E541" s="21" t="str">
        <f aca="false">IF(OR(B541="",N(N541)=0,N541=1000),IF(B541="","","Check"),INDEX(Rules!$B:$B,N541))</f>
        <v/>
      </c>
      <c r="F541" s="21" t="str">
        <f aca="false">IF(OR(B541="",N(N541)=0,N541=1000),"",INDEX(Rules!$C:$C,N541))</f>
        <v/>
      </c>
      <c r="G541" s="24"/>
      <c r="H541" s="24"/>
      <c r="I541" s="20" t="str">
        <f aca="false">IF(B541="","",IF(G541&lt;&gt;"",G541,E541))</f>
        <v/>
      </c>
      <c r="J541" s="21" t="str">
        <f aca="false">IF(B541="","",IF(H541&lt;&gt;"",H541,F541))</f>
        <v/>
      </c>
      <c r="K541" s="26" t="str">
        <f aca="false">IF(A541="","",DATE(YEAR(A541),MONTH(A541),1))</f>
        <v/>
      </c>
      <c r="L541" s="21" t="str">
        <f aca="false">IF(J541="",IF(B541="","",IF(N(C541)&gt;=0,"Income","Expense")),IFERROR(INDEX(Lists!$B$2:$B$30,MATCH(J541,Lists!$A$2:$A$30,0)),""))</f>
        <v/>
      </c>
      <c r="M541" s="24"/>
      <c r="N541" s="27" t="str">
        <f aca="false">IF(B541="","",IFERROR(1000-SUMPRODUCT(MAX(ISNUMBER(SEARCH(Rules!$A$5:$A$204,B541))*(Rules!$A$5:$A$204&lt;&gt;"")*(1000-ROW(Rules!$A$5:$A$204)))),""))</f>
        <v/>
      </c>
    </row>
    <row r="542" customFormat="false" ht="15" hidden="false" customHeight="false" outlineLevel="0" collapsed="false">
      <c r="A542" s="23"/>
      <c r="B542" s="24"/>
      <c r="C542" s="25"/>
      <c r="D542" s="24"/>
      <c r="E542" s="21" t="str">
        <f aca="false">IF(OR(B542="",N(N542)=0,N542=1000),IF(B542="","","Check"),INDEX(Rules!$B:$B,N542))</f>
        <v/>
      </c>
      <c r="F542" s="21" t="str">
        <f aca="false">IF(OR(B542="",N(N542)=0,N542=1000),"",INDEX(Rules!$C:$C,N542))</f>
        <v/>
      </c>
      <c r="G542" s="24"/>
      <c r="H542" s="24"/>
      <c r="I542" s="20" t="str">
        <f aca="false">IF(B542="","",IF(G542&lt;&gt;"",G542,E542))</f>
        <v/>
      </c>
      <c r="J542" s="21" t="str">
        <f aca="false">IF(B542="","",IF(H542&lt;&gt;"",H542,F542))</f>
        <v/>
      </c>
      <c r="K542" s="26" t="str">
        <f aca="false">IF(A542="","",DATE(YEAR(A542),MONTH(A542),1))</f>
        <v/>
      </c>
      <c r="L542" s="21" t="str">
        <f aca="false">IF(J542="",IF(B542="","",IF(N(C542)&gt;=0,"Income","Expense")),IFERROR(INDEX(Lists!$B$2:$B$30,MATCH(J542,Lists!$A$2:$A$30,0)),""))</f>
        <v/>
      </c>
      <c r="M542" s="24"/>
      <c r="N542" s="27" t="str">
        <f aca="false">IF(B542="","",IFERROR(1000-SUMPRODUCT(MAX(ISNUMBER(SEARCH(Rules!$A$5:$A$204,B542))*(Rules!$A$5:$A$204&lt;&gt;"")*(1000-ROW(Rules!$A$5:$A$204)))),""))</f>
        <v/>
      </c>
    </row>
    <row r="543" customFormat="false" ht="15" hidden="false" customHeight="false" outlineLevel="0" collapsed="false">
      <c r="A543" s="23"/>
      <c r="B543" s="24"/>
      <c r="C543" s="25"/>
      <c r="D543" s="24"/>
      <c r="E543" s="21" t="str">
        <f aca="false">IF(OR(B543="",N(N543)=0,N543=1000),IF(B543="","","Check"),INDEX(Rules!$B:$B,N543))</f>
        <v/>
      </c>
      <c r="F543" s="21" t="str">
        <f aca="false">IF(OR(B543="",N(N543)=0,N543=1000),"",INDEX(Rules!$C:$C,N543))</f>
        <v/>
      </c>
      <c r="G543" s="24"/>
      <c r="H543" s="24"/>
      <c r="I543" s="20" t="str">
        <f aca="false">IF(B543="","",IF(G543&lt;&gt;"",G543,E543))</f>
        <v/>
      </c>
      <c r="J543" s="21" t="str">
        <f aca="false">IF(B543="","",IF(H543&lt;&gt;"",H543,F543))</f>
        <v/>
      </c>
      <c r="K543" s="26" t="str">
        <f aca="false">IF(A543="","",DATE(YEAR(A543),MONTH(A543),1))</f>
        <v/>
      </c>
      <c r="L543" s="21" t="str">
        <f aca="false">IF(J543="",IF(B543="","",IF(N(C543)&gt;=0,"Income","Expense")),IFERROR(INDEX(Lists!$B$2:$B$30,MATCH(J543,Lists!$A$2:$A$30,0)),""))</f>
        <v/>
      </c>
      <c r="M543" s="24"/>
      <c r="N543" s="27" t="str">
        <f aca="false">IF(B543="","",IFERROR(1000-SUMPRODUCT(MAX(ISNUMBER(SEARCH(Rules!$A$5:$A$204,B543))*(Rules!$A$5:$A$204&lt;&gt;"")*(1000-ROW(Rules!$A$5:$A$204)))),""))</f>
        <v/>
      </c>
    </row>
    <row r="544" customFormat="false" ht="15" hidden="false" customHeight="false" outlineLevel="0" collapsed="false">
      <c r="A544" s="23"/>
      <c r="B544" s="24"/>
      <c r="C544" s="25"/>
      <c r="D544" s="24"/>
      <c r="E544" s="21" t="str">
        <f aca="false">IF(OR(B544="",N(N544)=0,N544=1000),IF(B544="","","Check"),INDEX(Rules!$B:$B,N544))</f>
        <v/>
      </c>
      <c r="F544" s="21" t="str">
        <f aca="false">IF(OR(B544="",N(N544)=0,N544=1000),"",INDEX(Rules!$C:$C,N544))</f>
        <v/>
      </c>
      <c r="G544" s="24"/>
      <c r="H544" s="24"/>
      <c r="I544" s="20" t="str">
        <f aca="false">IF(B544="","",IF(G544&lt;&gt;"",G544,E544))</f>
        <v/>
      </c>
      <c r="J544" s="21" t="str">
        <f aca="false">IF(B544="","",IF(H544&lt;&gt;"",H544,F544))</f>
        <v/>
      </c>
      <c r="K544" s="26" t="str">
        <f aca="false">IF(A544="","",DATE(YEAR(A544),MONTH(A544),1))</f>
        <v/>
      </c>
      <c r="L544" s="21" t="str">
        <f aca="false">IF(J544="",IF(B544="","",IF(N(C544)&gt;=0,"Income","Expense")),IFERROR(INDEX(Lists!$B$2:$B$30,MATCH(J544,Lists!$A$2:$A$30,0)),""))</f>
        <v/>
      </c>
      <c r="M544" s="24"/>
      <c r="N544" s="27" t="str">
        <f aca="false">IF(B544="","",IFERROR(1000-SUMPRODUCT(MAX(ISNUMBER(SEARCH(Rules!$A$5:$A$204,B544))*(Rules!$A$5:$A$204&lt;&gt;"")*(1000-ROW(Rules!$A$5:$A$204)))),""))</f>
        <v/>
      </c>
    </row>
    <row r="545" customFormat="false" ht="15" hidden="false" customHeight="false" outlineLevel="0" collapsed="false">
      <c r="A545" s="23"/>
      <c r="B545" s="24"/>
      <c r="C545" s="25"/>
      <c r="D545" s="24"/>
      <c r="E545" s="21" t="str">
        <f aca="false">IF(OR(B545="",N(N545)=0,N545=1000),IF(B545="","","Check"),INDEX(Rules!$B:$B,N545))</f>
        <v/>
      </c>
      <c r="F545" s="21" t="str">
        <f aca="false">IF(OR(B545="",N(N545)=0,N545=1000),"",INDEX(Rules!$C:$C,N545))</f>
        <v/>
      </c>
      <c r="G545" s="24"/>
      <c r="H545" s="24"/>
      <c r="I545" s="20" t="str">
        <f aca="false">IF(B545="","",IF(G545&lt;&gt;"",G545,E545))</f>
        <v/>
      </c>
      <c r="J545" s="21" t="str">
        <f aca="false">IF(B545="","",IF(H545&lt;&gt;"",H545,F545))</f>
        <v/>
      </c>
      <c r="K545" s="26" t="str">
        <f aca="false">IF(A545="","",DATE(YEAR(A545),MONTH(A545),1))</f>
        <v/>
      </c>
      <c r="L545" s="21" t="str">
        <f aca="false">IF(J545="",IF(B545="","",IF(N(C545)&gt;=0,"Income","Expense")),IFERROR(INDEX(Lists!$B$2:$B$30,MATCH(J545,Lists!$A$2:$A$30,0)),""))</f>
        <v/>
      </c>
      <c r="M545" s="24"/>
      <c r="N545" s="27" t="str">
        <f aca="false">IF(B545="","",IFERROR(1000-SUMPRODUCT(MAX(ISNUMBER(SEARCH(Rules!$A$5:$A$204,B545))*(Rules!$A$5:$A$204&lt;&gt;"")*(1000-ROW(Rules!$A$5:$A$204)))),""))</f>
        <v/>
      </c>
    </row>
    <row r="546" customFormat="false" ht="15" hidden="false" customHeight="false" outlineLevel="0" collapsed="false">
      <c r="A546" s="23"/>
      <c r="B546" s="24"/>
      <c r="C546" s="25"/>
      <c r="D546" s="24"/>
      <c r="E546" s="21" t="str">
        <f aca="false">IF(OR(B546="",N(N546)=0,N546=1000),IF(B546="","","Check"),INDEX(Rules!$B:$B,N546))</f>
        <v/>
      </c>
      <c r="F546" s="21" t="str">
        <f aca="false">IF(OR(B546="",N(N546)=0,N546=1000),"",INDEX(Rules!$C:$C,N546))</f>
        <v/>
      </c>
      <c r="G546" s="24"/>
      <c r="H546" s="24"/>
      <c r="I546" s="20" t="str">
        <f aca="false">IF(B546="","",IF(G546&lt;&gt;"",G546,E546))</f>
        <v/>
      </c>
      <c r="J546" s="21" t="str">
        <f aca="false">IF(B546="","",IF(H546&lt;&gt;"",H546,F546))</f>
        <v/>
      </c>
      <c r="K546" s="26" t="str">
        <f aca="false">IF(A546="","",DATE(YEAR(A546),MONTH(A546),1))</f>
        <v/>
      </c>
      <c r="L546" s="21" t="str">
        <f aca="false">IF(J546="",IF(B546="","",IF(N(C546)&gt;=0,"Income","Expense")),IFERROR(INDEX(Lists!$B$2:$B$30,MATCH(J546,Lists!$A$2:$A$30,0)),""))</f>
        <v/>
      </c>
      <c r="M546" s="24"/>
      <c r="N546" s="27" t="str">
        <f aca="false">IF(B546="","",IFERROR(1000-SUMPRODUCT(MAX(ISNUMBER(SEARCH(Rules!$A$5:$A$204,B546))*(Rules!$A$5:$A$204&lt;&gt;"")*(1000-ROW(Rules!$A$5:$A$204)))),""))</f>
        <v/>
      </c>
    </row>
    <row r="547" customFormat="false" ht="15" hidden="false" customHeight="false" outlineLevel="0" collapsed="false">
      <c r="A547" s="23"/>
      <c r="B547" s="24"/>
      <c r="C547" s="25"/>
      <c r="D547" s="24"/>
      <c r="E547" s="21" t="str">
        <f aca="false">IF(OR(B547="",N(N547)=0,N547=1000),IF(B547="","","Check"),INDEX(Rules!$B:$B,N547))</f>
        <v/>
      </c>
      <c r="F547" s="21" t="str">
        <f aca="false">IF(OR(B547="",N(N547)=0,N547=1000),"",INDEX(Rules!$C:$C,N547))</f>
        <v/>
      </c>
      <c r="G547" s="24"/>
      <c r="H547" s="24"/>
      <c r="I547" s="20" t="str">
        <f aca="false">IF(B547="","",IF(G547&lt;&gt;"",G547,E547))</f>
        <v/>
      </c>
      <c r="J547" s="21" t="str">
        <f aca="false">IF(B547="","",IF(H547&lt;&gt;"",H547,F547))</f>
        <v/>
      </c>
      <c r="K547" s="26" t="str">
        <f aca="false">IF(A547="","",DATE(YEAR(A547),MONTH(A547),1))</f>
        <v/>
      </c>
      <c r="L547" s="21" t="str">
        <f aca="false">IF(J547="",IF(B547="","",IF(N(C547)&gt;=0,"Income","Expense")),IFERROR(INDEX(Lists!$B$2:$B$30,MATCH(J547,Lists!$A$2:$A$30,0)),""))</f>
        <v/>
      </c>
      <c r="M547" s="24"/>
      <c r="N547" s="27" t="str">
        <f aca="false">IF(B547="","",IFERROR(1000-SUMPRODUCT(MAX(ISNUMBER(SEARCH(Rules!$A$5:$A$204,B547))*(Rules!$A$5:$A$204&lt;&gt;"")*(1000-ROW(Rules!$A$5:$A$204)))),""))</f>
        <v/>
      </c>
    </row>
    <row r="548" customFormat="false" ht="15" hidden="false" customHeight="false" outlineLevel="0" collapsed="false">
      <c r="A548" s="23"/>
      <c r="B548" s="24"/>
      <c r="C548" s="25"/>
      <c r="D548" s="24"/>
      <c r="E548" s="21" t="str">
        <f aca="false">IF(OR(B548="",N(N548)=0,N548=1000),IF(B548="","","Check"),INDEX(Rules!$B:$B,N548))</f>
        <v/>
      </c>
      <c r="F548" s="21" t="str">
        <f aca="false">IF(OR(B548="",N(N548)=0,N548=1000),"",INDEX(Rules!$C:$C,N548))</f>
        <v/>
      </c>
      <c r="G548" s="24"/>
      <c r="H548" s="24"/>
      <c r="I548" s="20" t="str">
        <f aca="false">IF(B548="","",IF(G548&lt;&gt;"",G548,E548))</f>
        <v/>
      </c>
      <c r="J548" s="21" t="str">
        <f aca="false">IF(B548="","",IF(H548&lt;&gt;"",H548,F548))</f>
        <v/>
      </c>
      <c r="K548" s="26" t="str">
        <f aca="false">IF(A548="","",DATE(YEAR(A548),MONTH(A548),1))</f>
        <v/>
      </c>
      <c r="L548" s="21" t="str">
        <f aca="false">IF(J548="",IF(B548="","",IF(N(C548)&gt;=0,"Income","Expense")),IFERROR(INDEX(Lists!$B$2:$B$30,MATCH(J548,Lists!$A$2:$A$30,0)),""))</f>
        <v/>
      </c>
      <c r="M548" s="24"/>
      <c r="N548" s="27" t="str">
        <f aca="false">IF(B548="","",IFERROR(1000-SUMPRODUCT(MAX(ISNUMBER(SEARCH(Rules!$A$5:$A$204,B548))*(Rules!$A$5:$A$204&lt;&gt;"")*(1000-ROW(Rules!$A$5:$A$204)))),""))</f>
        <v/>
      </c>
    </row>
    <row r="549" customFormat="false" ht="15" hidden="false" customHeight="false" outlineLevel="0" collapsed="false">
      <c r="A549" s="23"/>
      <c r="B549" s="24"/>
      <c r="C549" s="25"/>
      <c r="D549" s="24"/>
      <c r="E549" s="21" t="str">
        <f aca="false">IF(OR(B549="",N(N549)=0,N549=1000),IF(B549="","","Check"),INDEX(Rules!$B:$B,N549))</f>
        <v/>
      </c>
      <c r="F549" s="21" t="str">
        <f aca="false">IF(OR(B549="",N(N549)=0,N549=1000),"",INDEX(Rules!$C:$C,N549))</f>
        <v/>
      </c>
      <c r="G549" s="24"/>
      <c r="H549" s="24"/>
      <c r="I549" s="20" t="str">
        <f aca="false">IF(B549="","",IF(G549&lt;&gt;"",G549,E549))</f>
        <v/>
      </c>
      <c r="J549" s="21" t="str">
        <f aca="false">IF(B549="","",IF(H549&lt;&gt;"",H549,F549))</f>
        <v/>
      </c>
      <c r="K549" s="26" t="str">
        <f aca="false">IF(A549="","",DATE(YEAR(A549),MONTH(A549),1))</f>
        <v/>
      </c>
      <c r="L549" s="21" t="str">
        <f aca="false">IF(J549="",IF(B549="","",IF(N(C549)&gt;=0,"Income","Expense")),IFERROR(INDEX(Lists!$B$2:$B$30,MATCH(J549,Lists!$A$2:$A$30,0)),""))</f>
        <v/>
      </c>
      <c r="M549" s="24"/>
      <c r="N549" s="27" t="str">
        <f aca="false">IF(B549="","",IFERROR(1000-SUMPRODUCT(MAX(ISNUMBER(SEARCH(Rules!$A$5:$A$204,B549))*(Rules!$A$5:$A$204&lt;&gt;"")*(1000-ROW(Rules!$A$5:$A$204)))),""))</f>
        <v/>
      </c>
    </row>
    <row r="550" customFormat="false" ht="15" hidden="false" customHeight="false" outlineLevel="0" collapsed="false">
      <c r="A550" s="23"/>
      <c r="B550" s="24"/>
      <c r="C550" s="25"/>
      <c r="D550" s="24"/>
      <c r="E550" s="21" t="str">
        <f aca="false">IF(OR(B550="",N(N550)=0,N550=1000),IF(B550="","","Check"),INDEX(Rules!$B:$B,N550))</f>
        <v/>
      </c>
      <c r="F550" s="21" t="str">
        <f aca="false">IF(OR(B550="",N(N550)=0,N550=1000),"",INDEX(Rules!$C:$C,N550))</f>
        <v/>
      </c>
      <c r="G550" s="24"/>
      <c r="H550" s="24"/>
      <c r="I550" s="20" t="str">
        <f aca="false">IF(B550="","",IF(G550&lt;&gt;"",G550,E550))</f>
        <v/>
      </c>
      <c r="J550" s="21" t="str">
        <f aca="false">IF(B550="","",IF(H550&lt;&gt;"",H550,F550))</f>
        <v/>
      </c>
      <c r="K550" s="26" t="str">
        <f aca="false">IF(A550="","",DATE(YEAR(A550),MONTH(A550),1))</f>
        <v/>
      </c>
      <c r="L550" s="21" t="str">
        <f aca="false">IF(J550="",IF(B550="","",IF(N(C550)&gt;=0,"Income","Expense")),IFERROR(INDEX(Lists!$B$2:$B$30,MATCH(J550,Lists!$A$2:$A$30,0)),""))</f>
        <v/>
      </c>
      <c r="M550" s="24"/>
      <c r="N550" s="27" t="str">
        <f aca="false">IF(B550="","",IFERROR(1000-SUMPRODUCT(MAX(ISNUMBER(SEARCH(Rules!$A$5:$A$204,B550))*(Rules!$A$5:$A$204&lt;&gt;"")*(1000-ROW(Rules!$A$5:$A$204)))),""))</f>
        <v/>
      </c>
    </row>
    <row r="551" customFormat="false" ht="15" hidden="false" customHeight="false" outlineLevel="0" collapsed="false">
      <c r="A551" s="23"/>
      <c r="B551" s="24"/>
      <c r="C551" s="25"/>
      <c r="D551" s="24"/>
      <c r="E551" s="21" t="str">
        <f aca="false">IF(OR(B551="",N(N551)=0,N551=1000),IF(B551="","","Check"),INDEX(Rules!$B:$B,N551))</f>
        <v/>
      </c>
      <c r="F551" s="21" t="str">
        <f aca="false">IF(OR(B551="",N(N551)=0,N551=1000),"",INDEX(Rules!$C:$C,N551))</f>
        <v/>
      </c>
      <c r="G551" s="24"/>
      <c r="H551" s="24"/>
      <c r="I551" s="20" t="str">
        <f aca="false">IF(B551="","",IF(G551&lt;&gt;"",G551,E551))</f>
        <v/>
      </c>
      <c r="J551" s="21" t="str">
        <f aca="false">IF(B551="","",IF(H551&lt;&gt;"",H551,F551))</f>
        <v/>
      </c>
      <c r="K551" s="26" t="str">
        <f aca="false">IF(A551="","",DATE(YEAR(A551),MONTH(A551),1))</f>
        <v/>
      </c>
      <c r="L551" s="21" t="str">
        <f aca="false">IF(J551="",IF(B551="","",IF(N(C551)&gt;=0,"Income","Expense")),IFERROR(INDEX(Lists!$B$2:$B$30,MATCH(J551,Lists!$A$2:$A$30,0)),""))</f>
        <v/>
      </c>
      <c r="M551" s="24"/>
      <c r="N551" s="27" t="str">
        <f aca="false">IF(B551="","",IFERROR(1000-SUMPRODUCT(MAX(ISNUMBER(SEARCH(Rules!$A$5:$A$204,B551))*(Rules!$A$5:$A$204&lt;&gt;"")*(1000-ROW(Rules!$A$5:$A$204)))),""))</f>
        <v/>
      </c>
    </row>
    <row r="552" customFormat="false" ht="15" hidden="false" customHeight="false" outlineLevel="0" collapsed="false">
      <c r="A552" s="23"/>
      <c r="B552" s="24"/>
      <c r="C552" s="25"/>
      <c r="D552" s="24"/>
      <c r="E552" s="21" t="str">
        <f aca="false">IF(OR(B552="",N(N552)=0,N552=1000),IF(B552="","","Check"),INDEX(Rules!$B:$B,N552))</f>
        <v/>
      </c>
      <c r="F552" s="21" t="str">
        <f aca="false">IF(OR(B552="",N(N552)=0,N552=1000),"",INDEX(Rules!$C:$C,N552))</f>
        <v/>
      </c>
      <c r="G552" s="24"/>
      <c r="H552" s="24"/>
      <c r="I552" s="20" t="str">
        <f aca="false">IF(B552="","",IF(G552&lt;&gt;"",G552,E552))</f>
        <v/>
      </c>
      <c r="J552" s="21" t="str">
        <f aca="false">IF(B552="","",IF(H552&lt;&gt;"",H552,F552))</f>
        <v/>
      </c>
      <c r="K552" s="26" t="str">
        <f aca="false">IF(A552="","",DATE(YEAR(A552),MONTH(A552),1))</f>
        <v/>
      </c>
      <c r="L552" s="21" t="str">
        <f aca="false">IF(J552="",IF(B552="","",IF(N(C552)&gt;=0,"Income","Expense")),IFERROR(INDEX(Lists!$B$2:$B$30,MATCH(J552,Lists!$A$2:$A$30,0)),""))</f>
        <v/>
      </c>
      <c r="M552" s="24"/>
      <c r="N552" s="27" t="str">
        <f aca="false">IF(B552="","",IFERROR(1000-SUMPRODUCT(MAX(ISNUMBER(SEARCH(Rules!$A$5:$A$204,B552))*(Rules!$A$5:$A$204&lt;&gt;"")*(1000-ROW(Rules!$A$5:$A$204)))),""))</f>
        <v/>
      </c>
    </row>
    <row r="553" customFormat="false" ht="15" hidden="false" customHeight="false" outlineLevel="0" collapsed="false">
      <c r="A553" s="23"/>
      <c r="B553" s="24"/>
      <c r="C553" s="25"/>
      <c r="D553" s="24"/>
      <c r="E553" s="21" t="str">
        <f aca="false">IF(OR(B553="",N(N553)=0,N553=1000),IF(B553="","","Check"),INDEX(Rules!$B:$B,N553))</f>
        <v/>
      </c>
      <c r="F553" s="21" t="str">
        <f aca="false">IF(OR(B553="",N(N553)=0,N553=1000),"",INDEX(Rules!$C:$C,N553))</f>
        <v/>
      </c>
      <c r="G553" s="24"/>
      <c r="H553" s="24"/>
      <c r="I553" s="20" t="str">
        <f aca="false">IF(B553="","",IF(G553&lt;&gt;"",G553,E553))</f>
        <v/>
      </c>
      <c r="J553" s="21" t="str">
        <f aca="false">IF(B553="","",IF(H553&lt;&gt;"",H553,F553))</f>
        <v/>
      </c>
      <c r="K553" s="26" t="str">
        <f aca="false">IF(A553="","",DATE(YEAR(A553),MONTH(A553),1))</f>
        <v/>
      </c>
      <c r="L553" s="21" t="str">
        <f aca="false">IF(J553="",IF(B553="","",IF(N(C553)&gt;=0,"Income","Expense")),IFERROR(INDEX(Lists!$B$2:$B$30,MATCH(J553,Lists!$A$2:$A$30,0)),""))</f>
        <v/>
      </c>
      <c r="M553" s="24"/>
      <c r="N553" s="27" t="str">
        <f aca="false">IF(B553="","",IFERROR(1000-SUMPRODUCT(MAX(ISNUMBER(SEARCH(Rules!$A$5:$A$204,B553))*(Rules!$A$5:$A$204&lt;&gt;"")*(1000-ROW(Rules!$A$5:$A$204)))),""))</f>
        <v/>
      </c>
    </row>
    <row r="554" customFormat="false" ht="15" hidden="false" customHeight="false" outlineLevel="0" collapsed="false">
      <c r="A554" s="23"/>
      <c r="B554" s="24"/>
      <c r="C554" s="25"/>
      <c r="D554" s="24"/>
      <c r="E554" s="21" t="str">
        <f aca="false">IF(OR(B554="",N(N554)=0,N554=1000),IF(B554="","","Check"),INDEX(Rules!$B:$B,N554))</f>
        <v/>
      </c>
      <c r="F554" s="21" t="str">
        <f aca="false">IF(OR(B554="",N(N554)=0,N554=1000),"",INDEX(Rules!$C:$C,N554))</f>
        <v/>
      </c>
      <c r="G554" s="24"/>
      <c r="H554" s="24"/>
      <c r="I554" s="20" t="str">
        <f aca="false">IF(B554="","",IF(G554&lt;&gt;"",G554,E554))</f>
        <v/>
      </c>
      <c r="J554" s="21" t="str">
        <f aca="false">IF(B554="","",IF(H554&lt;&gt;"",H554,F554))</f>
        <v/>
      </c>
      <c r="K554" s="26" t="str">
        <f aca="false">IF(A554="","",DATE(YEAR(A554),MONTH(A554),1))</f>
        <v/>
      </c>
      <c r="L554" s="21" t="str">
        <f aca="false">IF(J554="",IF(B554="","",IF(N(C554)&gt;=0,"Income","Expense")),IFERROR(INDEX(Lists!$B$2:$B$30,MATCH(J554,Lists!$A$2:$A$30,0)),""))</f>
        <v/>
      </c>
      <c r="M554" s="24"/>
      <c r="N554" s="27" t="str">
        <f aca="false">IF(B554="","",IFERROR(1000-SUMPRODUCT(MAX(ISNUMBER(SEARCH(Rules!$A$5:$A$204,B554))*(Rules!$A$5:$A$204&lt;&gt;"")*(1000-ROW(Rules!$A$5:$A$204)))),""))</f>
        <v/>
      </c>
    </row>
    <row r="555" customFormat="false" ht="15" hidden="false" customHeight="false" outlineLevel="0" collapsed="false">
      <c r="A555" s="23"/>
      <c r="B555" s="24"/>
      <c r="C555" s="25"/>
      <c r="D555" s="24"/>
      <c r="E555" s="21" t="str">
        <f aca="false">IF(OR(B555="",N(N555)=0,N555=1000),IF(B555="","","Check"),INDEX(Rules!$B:$B,N555))</f>
        <v/>
      </c>
      <c r="F555" s="21" t="str">
        <f aca="false">IF(OR(B555="",N(N555)=0,N555=1000),"",INDEX(Rules!$C:$C,N555))</f>
        <v/>
      </c>
      <c r="G555" s="24"/>
      <c r="H555" s="24"/>
      <c r="I555" s="20" t="str">
        <f aca="false">IF(B555="","",IF(G555&lt;&gt;"",G555,E555))</f>
        <v/>
      </c>
      <c r="J555" s="21" t="str">
        <f aca="false">IF(B555="","",IF(H555&lt;&gt;"",H555,F555))</f>
        <v/>
      </c>
      <c r="K555" s="26" t="str">
        <f aca="false">IF(A555="","",DATE(YEAR(A555),MONTH(A555),1))</f>
        <v/>
      </c>
      <c r="L555" s="21" t="str">
        <f aca="false">IF(J555="",IF(B555="","",IF(N(C555)&gt;=0,"Income","Expense")),IFERROR(INDEX(Lists!$B$2:$B$30,MATCH(J555,Lists!$A$2:$A$30,0)),""))</f>
        <v/>
      </c>
      <c r="M555" s="24"/>
      <c r="N555" s="27" t="str">
        <f aca="false">IF(B555="","",IFERROR(1000-SUMPRODUCT(MAX(ISNUMBER(SEARCH(Rules!$A$5:$A$204,B555))*(Rules!$A$5:$A$204&lt;&gt;"")*(1000-ROW(Rules!$A$5:$A$204)))),""))</f>
        <v/>
      </c>
    </row>
    <row r="556" customFormat="false" ht="15" hidden="false" customHeight="false" outlineLevel="0" collapsed="false">
      <c r="A556" s="23"/>
      <c r="B556" s="24"/>
      <c r="C556" s="25"/>
      <c r="D556" s="24"/>
      <c r="E556" s="21" t="str">
        <f aca="false">IF(OR(B556="",N(N556)=0,N556=1000),IF(B556="","","Check"),INDEX(Rules!$B:$B,N556))</f>
        <v/>
      </c>
      <c r="F556" s="21" t="str">
        <f aca="false">IF(OR(B556="",N(N556)=0,N556=1000),"",INDEX(Rules!$C:$C,N556))</f>
        <v/>
      </c>
      <c r="G556" s="24"/>
      <c r="H556" s="24"/>
      <c r="I556" s="20" t="str">
        <f aca="false">IF(B556="","",IF(G556&lt;&gt;"",G556,E556))</f>
        <v/>
      </c>
      <c r="J556" s="21" t="str">
        <f aca="false">IF(B556="","",IF(H556&lt;&gt;"",H556,F556))</f>
        <v/>
      </c>
      <c r="K556" s="26" t="str">
        <f aca="false">IF(A556="","",DATE(YEAR(A556),MONTH(A556),1))</f>
        <v/>
      </c>
      <c r="L556" s="21" t="str">
        <f aca="false">IF(J556="",IF(B556="","",IF(N(C556)&gt;=0,"Income","Expense")),IFERROR(INDEX(Lists!$B$2:$B$30,MATCH(J556,Lists!$A$2:$A$30,0)),""))</f>
        <v/>
      </c>
      <c r="M556" s="24"/>
      <c r="N556" s="27" t="str">
        <f aca="false">IF(B556="","",IFERROR(1000-SUMPRODUCT(MAX(ISNUMBER(SEARCH(Rules!$A$5:$A$204,B556))*(Rules!$A$5:$A$204&lt;&gt;"")*(1000-ROW(Rules!$A$5:$A$204)))),""))</f>
        <v/>
      </c>
    </row>
    <row r="557" customFormat="false" ht="15" hidden="false" customHeight="false" outlineLevel="0" collapsed="false">
      <c r="A557" s="23"/>
      <c r="B557" s="24"/>
      <c r="C557" s="25"/>
      <c r="D557" s="24"/>
      <c r="E557" s="21" t="str">
        <f aca="false">IF(OR(B557="",N(N557)=0,N557=1000),IF(B557="","","Check"),INDEX(Rules!$B:$B,N557))</f>
        <v/>
      </c>
      <c r="F557" s="21" t="str">
        <f aca="false">IF(OR(B557="",N(N557)=0,N557=1000),"",INDEX(Rules!$C:$C,N557))</f>
        <v/>
      </c>
      <c r="G557" s="24"/>
      <c r="H557" s="24"/>
      <c r="I557" s="20" t="str">
        <f aca="false">IF(B557="","",IF(G557&lt;&gt;"",G557,E557))</f>
        <v/>
      </c>
      <c r="J557" s="21" t="str">
        <f aca="false">IF(B557="","",IF(H557&lt;&gt;"",H557,F557))</f>
        <v/>
      </c>
      <c r="K557" s="26" t="str">
        <f aca="false">IF(A557="","",DATE(YEAR(A557),MONTH(A557),1))</f>
        <v/>
      </c>
      <c r="L557" s="21" t="str">
        <f aca="false">IF(J557="",IF(B557="","",IF(N(C557)&gt;=0,"Income","Expense")),IFERROR(INDEX(Lists!$B$2:$B$30,MATCH(J557,Lists!$A$2:$A$30,0)),""))</f>
        <v/>
      </c>
      <c r="M557" s="24"/>
      <c r="N557" s="27" t="str">
        <f aca="false">IF(B557="","",IFERROR(1000-SUMPRODUCT(MAX(ISNUMBER(SEARCH(Rules!$A$5:$A$204,B557))*(Rules!$A$5:$A$204&lt;&gt;"")*(1000-ROW(Rules!$A$5:$A$204)))),""))</f>
        <v/>
      </c>
    </row>
    <row r="558" customFormat="false" ht="15" hidden="false" customHeight="false" outlineLevel="0" collapsed="false">
      <c r="A558" s="23"/>
      <c r="B558" s="24"/>
      <c r="C558" s="25"/>
      <c r="D558" s="24"/>
      <c r="E558" s="21" t="str">
        <f aca="false">IF(OR(B558="",N(N558)=0,N558=1000),IF(B558="","","Check"),INDEX(Rules!$B:$B,N558))</f>
        <v/>
      </c>
      <c r="F558" s="21" t="str">
        <f aca="false">IF(OR(B558="",N(N558)=0,N558=1000),"",INDEX(Rules!$C:$C,N558))</f>
        <v/>
      </c>
      <c r="G558" s="24"/>
      <c r="H558" s="24"/>
      <c r="I558" s="20" t="str">
        <f aca="false">IF(B558="","",IF(G558&lt;&gt;"",G558,E558))</f>
        <v/>
      </c>
      <c r="J558" s="21" t="str">
        <f aca="false">IF(B558="","",IF(H558&lt;&gt;"",H558,F558))</f>
        <v/>
      </c>
      <c r="K558" s="26" t="str">
        <f aca="false">IF(A558="","",DATE(YEAR(A558),MONTH(A558),1))</f>
        <v/>
      </c>
      <c r="L558" s="21" t="str">
        <f aca="false">IF(J558="",IF(B558="","",IF(N(C558)&gt;=0,"Income","Expense")),IFERROR(INDEX(Lists!$B$2:$B$30,MATCH(J558,Lists!$A$2:$A$30,0)),""))</f>
        <v/>
      </c>
      <c r="M558" s="24"/>
      <c r="N558" s="27" t="str">
        <f aca="false">IF(B558="","",IFERROR(1000-SUMPRODUCT(MAX(ISNUMBER(SEARCH(Rules!$A$5:$A$204,B558))*(Rules!$A$5:$A$204&lt;&gt;"")*(1000-ROW(Rules!$A$5:$A$204)))),""))</f>
        <v/>
      </c>
    </row>
    <row r="559" customFormat="false" ht="15" hidden="false" customHeight="false" outlineLevel="0" collapsed="false">
      <c r="A559" s="23"/>
      <c r="B559" s="24"/>
      <c r="C559" s="25"/>
      <c r="D559" s="24"/>
      <c r="E559" s="21" t="str">
        <f aca="false">IF(OR(B559="",N(N559)=0,N559=1000),IF(B559="","","Check"),INDEX(Rules!$B:$B,N559))</f>
        <v/>
      </c>
      <c r="F559" s="21" t="str">
        <f aca="false">IF(OR(B559="",N(N559)=0,N559=1000),"",INDEX(Rules!$C:$C,N559))</f>
        <v/>
      </c>
      <c r="G559" s="24"/>
      <c r="H559" s="24"/>
      <c r="I559" s="20" t="str">
        <f aca="false">IF(B559="","",IF(G559&lt;&gt;"",G559,E559))</f>
        <v/>
      </c>
      <c r="J559" s="21" t="str">
        <f aca="false">IF(B559="","",IF(H559&lt;&gt;"",H559,F559))</f>
        <v/>
      </c>
      <c r="K559" s="26" t="str">
        <f aca="false">IF(A559="","",DATE(YEAR(A559),MONTH(A559),1))</f>
        <v/>
      </c>
      <c r="L559" s="21" t="str">
        <f aca="false">IF(J559="",IF(B559="","",IF(N(C559)&gt;=0,"Income","Expense")),IFERROR(INDEX(Lists!$B$2:$B$30,MATCH(J559,Lists!$A$2:$A$30,0)),""))</f>
        <v/>
      </c>
      <c r="M559" s="24"/>
      <c r="N559" s="27" t="str">
        <f aca="false">IF(B559="","",IFERROR(1000-SUMPRODUCT(MAX(ISNUMBER(SEARCH(Rules!$A$5:$A$204,B559))*(Rules!$A$5:$A$204&lt;&gt;"")*(1000-ROW(Rules!$A$5:$A$204)))),""))</f>
        <v/>
      </c>
    </row>
    <row r="560" customFormat="false" ht="15" hidden="false" customHeight="false" outlineLevel="0" collapsed="false">
      <c r="A560" s="23"/>
      <c r="B560" s="24"/>
      <c r="C560" s="25"/>
      <c r="D560" s="24"/>
      <c r="E560" s="21" t="str">
        <f aca="false">IF(OR(B560="",N(N560)=0,N560=1000),IF(B560="","","Check"),INDEX(Rules!$B:$B,N560))</f>
        <v/>
      </c>
      <c r="F560" s="21" t="str">
        <f aca="false">IF(OR(B560="",N(N560)=0,N560=1000),"",INDEX(Rules!$C:$C,N560))</f>
        <v/>
      </c>
      <c r="G560" s="24"/>
      <c r="H560" s="24"/>
      <c r="I560" s="20" t="str">
        <f aca="false">IF(B560="","",IF(G560&lt;&gt;"",G560,E560))</f>
        <v/>
      </c>
      <c r="J560" s="21" t="str">
        <f aca="false">IF(B560="","",IF(H560&lt;&gt;"",H560,F560))</f>
        <v/>
      </c>
      <c r="K560" s="26" t="str">
        <f aca="false">IF(A560="","",DATE(YEAR(A560),MONTH(A560),1))</f>
        <v/>
      </c>
      <c r="L560" s="21" t="str">
        <f aca="false">IF(J560="",IF(B560="","",IF(N(C560)&gt;=0,"Income","Expense")),IFERROR(INDEX(Lists!$B$2:$B$30,MATCH(J560,Lists!$A$2:$A$30,0)),""))</f>
        <v/>
      </c>
      <c r="M560" s="24"/>
      <c r="N560" s="27" t="str">
        <f aca="false">IF(B560="","",IFERROR(1000-SUMPRODUCT(MAX(ISNUMBER(SEARCH(Rules!$A$5:$A$204,B560))*(Rules!$A$5:$A$204&lt;&gt;"")*(1000-ROW(Rules!$A$5:$A$204)))),""))</f>
        <v/>
      </c>
    </row>
    <row r="561" customFormat="false" ht="15" hidden="false" customHeight="false" outlineLevel="0" collapsed="false">
      <c r="A561" s="23"/>
      <c r="B561" s="24"/>
      <c r="C561" s="25"/>
      <c r="D561" s="24"/>
      <c r="E561" s="21" t="str">
        <f aca="false">IF(OR(B561="",N(N561)=0,N561=1000),IF(B561="","","Check"),INDEX(Rules!$B:$B,N561))</f>
        <v/>
      </c>
      <c r="F561" s="21" t="str">
        <f aca="false">IF(OR(B561="",N(N561)=0,N561=1000),"",INDEX(Rules!$C:$C,N561))</f>
        <v/>
      </c>
      <c r="G561" s="24"/>
      <c r="H561" s="24"/>
      <c r="I561" s="20" t="str">
        <f aca="false">IF(B561="","",IF(G561&lt;&gt;"",G561,E561))</f>
        <v/>
      </c>
      <c r="J561" s="21" t="str">
        <f aca="false">IF(B561="","",IF(H561&lt;&gt;"",H561,F561))</f>
        <v/>
      </c>
      <c r="K561" s="26" t="str">
        <f aca="false">IF(A561="","",DATE(YEAR(A561),MONTH(A561),1))</f>
        <v/>
      </c>
      <c r="L561" s="21" t="str">
        <f aca="false">IF(J561="",IF(B561="","",IF(N(C561)&gt;=0,"Income","Expense")),IFERROR(INDEX(Lists!$B$2:$B$30,MATCH(J561,Lists!$A$2:$A$30,0)),""))</f>
        <v/>
      </c>
      <c r="M561" s="24"/>
      <c r="N561" s="27" t="str">
        <f aca="false">IF(B561="","",IFERROR(1000-SUMPRODUCT(MAX(ISNUMBER(SEARCH(Rules!$A$5:$A$204,B561))*(Rules!$A$5:$A$204&lt;&gt;"")*(1000-ROW(Rules!$A$5:$A$204)))),""))</f>
        <v/>
      </c>
    </row>
    <row r="562" customFormat="false" ht="15" hidden="false" customHeight="false" outlineLevel="0" collapsed="false">
      <c r="A562" s="23"/>
      <c r="B562" s="24"/>
      <c r="C562" s="25"/>
      <c r="D562" s="24"/>
      <c r="E562" s="21" t="str">
        <f aca="false">IF(OR(B562="",N(N562)=0,N562=1000),IF(B562="","","Check"),INDEX(Rules!$B:$B,N562))</f>
        <v/>
      </c>
      <c r="F562" s="21" t="str">
        <f aca="false">IF(OR(B562="",N(N562)=0,N562=1000),"",INDEX(Rules!$C:$C,N562))</f>
        <v/>
      </c>
      <c r="G562" s="24"/>
      <c r="H562" s="24"/>
      <c r="I562" s="20" t="str">
        <f aca="false">IF(B562="","",IF(G562&lt;&gt;"",G562,E562))</f>
        <v/>
      </c>
      <c r="J562" s="21" t="str">
        <f aca="false">IF(B562="","",IF(H562&lt;&gt;"",H562,F562))</f>
        <v/>
      </c>
      <c r="K562" s="26" t="str">
        <f aca="false">IF(A562="","",DATE(YEAR(A562),MONTH(A562),1))</f>
        <v/>
      </c>
      <c r="L562" s="21" t="str">
        <f aca="false">IF(J562="",IF(B562="","",IF(N(C562)&gt;=0,"Income","Expense")),IFERROR(INDEX(Lists!$B$2:$B$30,MATCH(J562,Lists!$A$2:$A$30,0)),""))</f>
        <v/>
      </c>
      <c r="M562" s="24"/>
      <c r="N562" s="27" t="str">
        <f aca="false">IF(B562="","",IFERROR(1000-SUMPRODUCT(MAX(ISNUMBER(SEARCH(Rules!$A$5:$A$204,B562))*(Rules!$A$5:$A$204&lt;&gt;"")*(1000-ROW(Rules!$A$5:$A$204)))),""))</f>
        <v/>
      </c>
    </row>
    <row r="563" customFormat="false" ht="15" hidden="false" customHeight="false" outlineLevel="0" collapsed="false">
      <c r="A563" s="23"/>
      <c r="B563" s="24"/>
      <c r="C563" s="25"/>
      <c r="D563" s="24"/>
      <c r="E563" s="21" t="str">
        <f aca="false">IF(OR(B563="",N(N563)=0,N563=1000),IF(B563="","","Check"),INDEX(Rules!$B:$B,N563))</f>
        <v/>
      </c>
      <c r="F563" s="21" t="str">
        <f aca="false">IF(OR(B563="",N(N563)=0,N563=1000),"",INDEX(Rules!$C:$C,N563))</f>
        <v/>
      </c>
      <c r="G563" s="24"/>
      <c r="H563" s="24"/>
      <c r="I563" s="20" t="str">
        <f aca="false">IF(B563="","",IF(G563&lt;&gt;"",G563,E563))</f>
        <v/>
      </c>
      <c r="J563" s="21" t="str">
        <f aca="false">IF(B563="","",IF(H563&lt;&gt;"",H563,F563))</f>
        <v/>
      </c>
      <c r="K563" s="26" t="str">
        <f aca="false">IF(A563="","",DATE(YEAR(A563),MONTH(A563),1))</f>
        <v/>
      </c>
      <c r="L563" s="21" t="str">
        <f aca="false">IF(J563="",IF(B563="","",IF(N(C563)&gt;=0,"Income","Expense")),IFERROR(INDEX(Lists!$B$2:$B$30,MATCH(J563,Lists!$A$2:$A$30,0)),""))</f>
        <v/>
      </c>
      <c r="M563" s="24"/>
      <c r="N563" s="27" t="str">
        <f aca="false">IF(B563="","",IFERROR(1000-SUMPRODUCT(MAX(ISNUMBER(SEARCH(Rules!$A$5:$A$204,B563))*(Rules!$A$5:$A$204&lt;&gt;"")*(1000-ROW(Rules!$A$5:$A$204)))),""))</f>
        <v/>
      </c>
    </row>
    <row r="564" customFormat="false" ht="15" hidden="false" customHeight="false" outlineLevel="0" collapsed="false">
      <c r="A564" s="23"/>
      <c r="B564" s="24"/>
      <c r="C564" s="25"/>
      <c r="D564" s="24"/>
      <c r="E564" s="21" t="str">
        <f aca="false">IF(OR(B564="",N(N564)=0,N564=1000),IF(B564="","","Check"),INDEX(Rules!$B:$B,N564))</f>
        <v/>
      </c>
      <c r="F564" s="21" t="str">
        <f aca="false">IF(OR(B564="",N(N564)=0,N564=1000),"",INDEX(Rules!$C:$C,N564))</f>
        <v/>
      </c>
      <c r="G564" s="24"/>
      <c r="H564" s="24"/>
      <c r="I564" s="20" t="str">
        <f aca="false">IF(B564="","",IF(G564&lt;&gt;"",G564,E564))</f>
        <v/>
      </c>
      <c r="J564" s="21" t="str">
        <f aca="false">IF(B564="","",IF(H564&lt;&gt;"",H564,F564))</f>
        <v/>
      </c>
      <c r="K564" s="26" t="str">
        <f aca="false">IF(A564="","",DATE(YEAR(A564),MONTH(A564),1))</f>
        <v/>
      </c>
      <c r="L564" s="21" t="str">
        <f aca="false">IF(J564="",IF(B564="","",IF(N(C564)&gt;=0,"Income","Expense")),IFERROR(INDEX(Lists!$B$2:$B$30,MATCH(J564,Lists!$A$2:$A$30,0)),""))</f>
        <v/>
      </c>
      <c r="M564" s="24"/>
      <c r="N564" s="27" t="str">
        <f aca="false">IF(B564="","",IFERROR(1000-SUMPRODUCT(MAX(ISNUMBER(SEARCH(Rules!$A$5:$A$204,B564))*(Rules!$A$5:$A$204&lt;&gt;"")*(1000-ROW(Rules!$A$5:$A$204)))),""))</f>
        <v/>
      </c>
    </row>
    <row r="565" customFormat="false" ht="15" hidden="false" customHeight="false" outlineLevel="0" collapsed="false">
      <c r="A565" s="23"/>
      <c r="B565" s="24"/>
      <c r="C565" s="25"/>
      <c r="D565" s="24"/>
      <c r="E565" s="21" t="str">
        <f aca="false">IF(OR(B565="",N(N565)=0,N565=1000),IF(B565="","","Check"),INDEX(Rules!$B:$B,N565))</f>
        <v/>
      </c>
      <c r="F565" s="21" t="str">
        <f aca="false">IF(OR(B565="",N(N565)=0,N565=1000),"",INDEX(Rules!$C:$C,N565))</f>
        <v/>
      </c>
      <c r="G565" s="24"/>
      <c r="H565" s="24"/>
      <c r="I565" s="20" t="str">
        <f aca="false">IF(B565="","",IF(G565&lt;&gt;"",G565,E565))</f>
        <v/>
      </c>
      <c r="J565" s="21" t="str">
        <f aca="false">IF(B565="","",IF(H565&lt;&gt;"",H565,F565))</f>
        <v/>
      </c>
      <c r="K565" s="26" t="str">
        <f aca="false">IF(A565="","",DATE(YEAR(A565),MONTH(A565),1))</f>
        <v/>
      </c>
      <c r="L565" s="21" t="str">
        <f aca="false">IF(J565="",IF(B565="","",IF(N(C565)&gt;=0,"Income","Expense")),IFERROR(INDEX(Lists!$B$2:$B$30,MATCH(J565,Lists!$A$2:$A$30,0)),""))</f>
        <v/>
      </c>
      <c r="M565" s="24"/>
      <c r="N565" s="27" t="str">
        <f aca="false">IF(B565="","",IFERROR(1000-SUMPRODUCT(MAX(ISNUMBER(SEARCH(Rules!$A$5:$A$204,B565))*(Rules!$A$5:$A$204&lt;&gt;"")*(1000-ROW(Rules!$A$5:$A$204)))),""))</f>
        <v/>
      </c>
    </row>
    <row r="566" customFormat="false" ht="15" hidden="false" customHeight="false" outlineLevel="0" collapsed="false">
      <c r="A566" s="23"/>
      <c r="B566" s="24"/>
      <c r="C566" s="25"/>
      <c r="D566" s="24"/>
      <c r="E566" s="21" t="str">
        <f aca="false">IF(OR(B566="",N(N566)=0,N566=1000),IF(B566="","","Check"),INDEX(Rules!$B:$B,N566))</f>
        <v/>
      </c>
      <c r="F566" s="21" t="str">
        <f aca="false">IF(OR(B566="",N(N566)=0,N566=1000),"",INDEX(Rules!$C:$C,N566))</f>
        <v/>
      </c>
      <c r="G566" s="24"/>
      <c r="H566" s="24"/>
      <c r="I566" s="20" t="str">
        <f aca="false">IF(B566="","",IF(G566&lt;&gt;"",G566,E566))</f>
        <v/>
      </c>
      <c r="J566" s="21" t="str">
        <f aca="false">IF(B566="","",IF(H566&lt;&gt;"",H566,F566))</f>
        <v/>
      </c>
      <c r="K566" s="26" t="str">
        <f aca="false">IF(A566="","",DATE(YEAR(A566),MONTH(A566),1))</f>
        <v/>
      </c>
      <c r="L566" s="21" t="str">
        <f aca="false">IF(J566="",IF(B566="","",IF(N(C566)&gt;=0,"Income","Expense")),IFERROR(INDEX(Lists!$B$2:$B$30,MATCH(J566,Lists!$A$2:$A$30,0)),""))</f>
        <v/>
      </c>
      <c r="M566" s="24"/>
      <c r="N566" s="27" t="str">
        <f aca="false">IF(B566="","",IFERROR(1000-SUMPRODUCT(MAX(ISNUMBER(SEARCH(Rules!$A$5:$A$204,B566))*(Rules!$A$5:$A$204&lt;&gt;"")*(1000-ROW(Rules!$A$5:$A$204)))),""))</f>
        <v/>
      </c>
    </row>
    <row r="567" customFormat="false" ht="15" hidden="false" customHeight="false" outlineLevel="0" collapsed="false">
      <c r="A567" s="23"/>
      <c r="B567" s="24"/>
      <c r="C567" s="25"/>
      <c r="D567" s="24"/>
      <c r="E567" s="21" t="str">
        <f aca="false">IF(OR(B567="",N(N567)=0,N567=1000),IF(B567="","","Check"),INDEX(Rules!$B:$B,N567))</f>
        <v/>
      </c>
      <c r="F567" s="21" t="str">
        <f aca="false">IF(OR(B567="",N(N567)=0,N567=1000),"",INDEX(Rules!$C:$C,N567))</f>
        <v/>
      </c>
      <c r="G567" s="24"/>
      <c r="H567" s="24"/>
      <c r="I567" s="20" t="str">
        <f aca="false">IF(B567="","",IF(G567&lt;&gt;"",G567,E567))</f>
        <v/>
      </c>
      <c r="J567" s="21" t="str">
        <f aca="false">IF(B567="","",IF(H567&lt;&gt;"",H567,F567))</f>
        <v/>
      </c>
      <c r="K567" s="26" t="str">
        <f aca="false">IF(A567="","",DATE(YEAR(A567),MONTH(A567),1))</f>
        <v/>
      </c>
      <c r="L567" s="21" t="str">
        <f aca="false">IF(J567="",IF(B567="","",IF(N(C567)&gt;=0,"Income","Expense")),IFERROR(INDEX(Lists!$B$2:$B$30,MATCH(J567,Lists!$A$2:$A$30,0)),""))</f>
        <v/>
      </c>
      <c r="M567" s="24"/>
      <c r="N567" s="27" t="str">
        <f aca="false">IF(B567="","",IFERROR(1000-SUMPRODUCT(MAX(ISNUMBER(SEARCH(Rules!$A$5:$A$204,B567))*(Rules!$A$5:$A$204&lt;&gt;"")*(1000-ROW(Rules!$A$5:$A$204)))),""))</f>
        <v/>
      </c>
    </row>
    <row r="568" customFormat="false" ht="15" hidden="false" customHeight="false" outlineLevel="0" collapsed="false">
      <c r="A568" s="23"/>
      <c r="B568" s="24"/>
      <c r="C568" s="25"/>
      <c r="D568" s="24"/>
      <c r="E568" s="21" t="str">
        <f aca="false">IF(OR(B568="",N(N568)=0,N568=1000),IF(B568="","","Check"),INDEX(Rules!$B:$B,N568))</f>
        <v/>
      </c>
      <c r="F568" s="21" t="str">
        <f aca="false">IF(OR(B568="",N(N568)=0,N568=1000),"",INDEX(Rules!$C:$C,N568))</f>
        <v/>
      </c>
      <c r="G568" s="24"/>
      <c r="H568" s="24"/>
      <c r="I568" s="20" t="str">
        <f aca="false">IF(B568="","",IF(G568&lt;&gt;"",G568,E568))</f>
        <v/>
      </c>
      <c r="J568" s="21" t="str">
        <f aca="false">IF(B568="","",IF(H568&lt;&gt;"",H568,F568))</f>
        <v/>
      </c>
      <c r="K568" s="26" t="str">
        <f aca="false">IF(A568="","",DATE(YEAR(A568),MONTH(A568),1))</f>
        <v/>
      </c>
      <c r="L568" s="21" t="str">
        <f aca="false">IF(J568="",IF(B568="","",IF(N(C568)&gt;=0,"Income","Expense")),IFERROR(INDEX(Lists!$B$2:$B$30,MATCH(J568,Lists!$A$2:$A$30,0)),""))</f>
        <v/>
      </c>
      <c r="M568" s="24"/>
      <c r="N568" s="27" t="str">
        <f aca="false">IF(B568="","",IFERROR(1000-SUMPRODUCT(MAX(ISNUMBER(SEARCH(Rules!$A$5:$A$204,B568))*(Rules!$A$5:$A$204&lt;&gt;"")*(1000-ROW(Rules!$A$5:$A$204)))),""))</f>
        <v/>
      </c>
    </row>
    <row r="569" customFormat="false" ht="15" hidden="false" customHeight="false" outlineLevel="0" collapsed="false">
      <c r="A569" s="23"/>
      <c r="B569" s="24"/>
      <c r="C569" s="25"/>
      <c r="D569" s="24"/>
      <c r="E569" s="21" t="str">
        <f aca="false">IF(OR(B569="",N(N569)=0,N569=1000),IF(B569="","","Check"),INDEX(Rules!$B:$B,N569))</f>
        <v/>
      </c>
      <c r="F569" s="21" t="str">
        <f aca="false">IF(OR(B569="",N(N569)=0,N569=1000),"",INDEX(Rules!$C:$C,N569))</f>
        <v/>
      </c>
      <c r="G569" s="24"/>
      <c r="H569" s="24"/>
      <c r="I569" s="20" t="str">
        <f aca="false">IF(B569="","",IF(G569&lt;&gt;"",G569,E569))</f>
        <v/>
      </c>
      <c r="J569" s="21" t="str">
        <f aca="false">IF(B569="","",IF(H569&lt;&gt;"",H569,F569))</f>
        <v/>
      </c>
      <c r="K569" s="26" t="str">
        <f aca="false">IF(A569="","",DATE(YEAR(A569),MONTH(A569),1))</f>
        <v/>
      </c>
      <c r="L569" s="21" t="str">
        <f aca="false">IF(J569="",IF(B569="","",IF(N(C569)&gt;=0,"Income","Expense")),IFERROR(INDEX(Lists!$B$2:$B$30,MATCH(J569,Lists!$A$2:$A$30,0)),""))</f>
        <v/>
      </c>
      <c r="M569" s="24"/>
      <c r="N569" s="27" t="str">
        <f aca="false">IF(B569="","",IFERROR(1000-SUMPRODUCT(MAX(ISNUMBER(SEARCH(Rules!$A$5:$A$204,B569))*(Rules!$A$5:$A$204&lt;&gt;"")*(1000-ROW(Rules!$A$5:$A$204)))),""))</f>
        <v/>
      </c>
    </row>
    <row r="570" customFormat="false" ht="15" hidden="false" customHeight="false" outlineLevel="0" collapsed="false">
      <c r="A570" s="23"/>
      <c r="B570" s="24"/>
      <c r="C570" s="25"/>
      <c r="D570" s="24"/>
      <c r="E570" s="21" t="str">
        <f aca="false">IF(OR(B570="",N(N570)=0,N570=1000),IF(B570="","","Check"),INDEX(Rules!$B:$B,N570))</f>
        <v/>
      </c>
      <c r="F570" s="21" t="str">
        <f aca="false">IF(OR(B570="",N(N570)=0,N570=1000),"",INDEX(Rules!$C:$C,N570))</f>
        <v/>
      </c>
      <c r="G570" s="24"/>
      <c r="H570" s="24"/>
      <c r="I570" s="20" t="str">
        <f aca="false">IF(B570="","",IF(G570&lt;&gt;"",G570,E570))</f>
        <v/>
      </c>
      <c r="J570" s="21" t="str">
        <f aca="false">IF(B570="","",IF(H570&lt;&gt;"",H570,F570))</f>
        <v/>
      </c>
      <c r="K570" s="26" t="str">
        <f aca="false">IF(A570="","",DATE(YEAR(A570),MONTH(A570),1))</f>
        <v/>
      </c>
      <c r="L570" s="21" t="str">
        <f aca="false">IF(J570="",IF(B570="","",IF(N(C570)&gt;=0,"Income","Expense")),IFERROR(INDEX(Lists!$B$2:$B$30,MATCH(J570,Lists!$A$2:$A$30,0)),""))</f>
        <v/>
      </c>
      <c r="M570" s="24"/>
      <c r="N570" s="27" t="str">
        <f aca="false">IF(B570="","",IFERROR(1000-SUMPRODUCT(MAX(ISNUMBER(SEARCH(Rules!$A$5:$A$204,B570))*(Rules!$A$5:$A$204&lt;&gt;"")*(1000-ROW(Rules!$A$5:$A$204)))),""))</f>
        <v/>
      </c>
    </row>
    <row r="571" customFormat="false" ht="15" hidden="false" customHeight="false" outlineLevel="0" collapsed="false">
      <c r="A571" s="23"/>
      <c r="B571" s="24"/>
      <c r="C571" s="25"/>
      <c r="D571" s="24"/>
      <c r="E571" s="21" t="str">
        <f aca="false">IF(OR(B571="",N(N571)=0,N571=1000),IF(B571="","","Check"),INDEX(Rules!$B:$B,N571))</f>
        <v/>
      </c>
      <c r="F571" s="21" t="str">
        <f aca="false">IF(OR(B571="",N(N571)=0,N571=1000),"",INDEX(Rules!$C:$C,N571))</f>
        <v/>
      </c>
      <c r="G571" s="24"/>
      <c r="H571" s="24"/>
      <c r="I571" s="20" t="str">
        <f aca="false">IF(B571="","",IF(G571&lt;&gt;"",G571,E571))</f>
        <v/>
      </c>
      <c r="J571" s="21" t="str">
        <f aca="false">IF(B571="","",IF(H571&lt;&gt;"",H571,F571))</f>
        <v/>
      </c>
      <c r="K571" s="26" t="str">
        <f aca="false">IF(A571="","",DATE(YEAR(A571),MONTH(A571),1))</f>
        <v/>
      </c>
      <c r="L571" s="21" t="str">
        <f aca="false">IF(J571="",IF(B571="","",IF(N(C571)&gt;=0,"Income","Expense")),IFERROR(INDEX(Lists!$B$2:$B$30,MATCH(J571,Lists!$A$2:$A$30,0)),""))</f>
        <v/>
      </c>
      <c r="M571" s="24"/>
      <c r="N571" s="27" t="str">
        <f aca="false">IF(B571="","",IFERROR(1000-SUMPRODUCT(MAX(ISNUMBER(SEARCH(Rules!$A$5:$A$204,B571))*(Rules!$A$5:$A$204&lt;&gt;"")*(1000-ROW(Rules!$A$5:$A$204)))),""))</f>
        <v/>
      </c>
    </row>
    <row r="572" customFormat="false" ht="15" hidden="false" customHeight="false" outlineLevel="0" collapsed="false">
      <c r="A572" s="23"/>
      <c r="B572" s="24"/>
      <c r="C572" s="25"/>
      <c r="D572" s="24"/>
      <c r="E572" s="21" t="str">
        <f aca="false">IF(OR(B572="",N(N572)=0,N572=1000),IF(B572="","","Check"),INDEX(Rules!$B:$B,N572))</f>
        <v/>
      </c>
      <c r="F572" s="21" t="str">
        <f aca="false">IF(OR(B572="",N(N572)=0,N572=1000),"",INDEX(Rules!$C:$C,N572))</f>
        <v/>
      </c>
      <c r="G572" s="24"/>
      <c r="H572" s="24"/>
      <c r="I572" s="20" t="str">
        <f aca="false">IF(B572="","",IF(G572&lt;&gt;"",G572,E572))</f>
        <v/>
      </c>
      <c r="J572" s="21" t="str">
        <f aca="false">IF(B572="","",IF(H572&lt;&gt;"",H572,F572))</f>
        <v/>
      </c>
      <c r="K572" s="26" t="str">
        <f aca="false">IF(A572="","",DATE(YEAR(A572),MONTH(A572),1))</f>
        <v/>
      </c>
      <c r="L572" s="21" t="str">
        <f aca="false">IF(J572="",IF(B572="","",IF(N(C572)&gt;=0,"Income","Expense")),IFERROR(INDEX(Lists!$B$2:$B$30,MATCH(J572,Lists!$A$2:$A$30,0)),""))</f>
        <v/>
      </c>
      <c r="M572" s="24"/>
      <c r="N572" s="27" t="str">
        <f aca="false">IF(B572="","",IFERROR(1000-SUMPRODUCT(MAX(ISNUMBER(SEARCH(Rules!$A$5:$A$204,B572))*(Rules!$A$5:$A$204&lt;&gt;"")*(1000-ROW(Rules!$A$5:$A$204)))),""))</f>
        <v/>
      </c>
    </row>
    <row r="573" customFormat="false" ht="15" hidden="false" customHeight="false" outlineLevel="0" collapsed="false">
      <c r="A573" s="23"/>
      <c r="B573" s="24"/>
      <c r="C573" s="25"/>
      <c r="D573" s="24"/>
      <c r="E573" s="21" t="str">
        <f aca="false">IF(OR(B573="",N(N573)=0,N573=1000),IF(B573="","","Check"),INDEX(Rules!$B:$B,N573))</f>
        <v/>
      </c>
      <c r="F573" s="21" t="str">
        <f aca="false">IF(OR(B573="",N(N573)=0,N573=1000),"",INDEX(Rules!$C:$C,N573))</f>
        <v/>
      </c>
      <c r="G573" s="24"/>
      <c r="H573" s="24"/>
      <c r="I573" s="20" t="str">
        <f aca="false">IF(B573="","",IF(G573&lt;&gt;"",G573,E573))</f>
        <v/>
      </c>
      <c r="J573" s="21" t="str">
        <f aca="false">IF(B573="","",IF(H573&lt;&gt;"",H573,F573))</f>
        <v/>
      </c>
      <c r="K573" s="26" t="str">
        <f aca="false">IF(A573="","",DATE(YEAR(A573),MONTH(A573),1))</f>
        <v/>
      </c>
      <c r="L573" s="21" t="str">
        <f aca="false">IF(J573="",IF(B573="","",IF(N(C573)&gt;=0,"Income","Expense")),IFERROR(INDEX(Lists!$B$2:$B$30,MATCH(J573,Lists!$A$2:$A$30,0)),""))</f>
        <v/>
      </c>
      <c r="M573" s="24"/>
      <c r="N573" s="27" t="str">
        <f aca="false">IF(B573="","",IFERROR(1000-SUMPRODUCT(MAX(ISNUMBER(SEARCH(Rules!$A$5:$A$204,B573))*(Rules!$A$5:$A$204&lt;&gt;"")*(1000-ROW(Rules!$A$5:$A$204)))),""))</f>
        <v/>
      </c>
    </row>
    <row r="574" customFormat="false" ht="15" hidden="false" customHeight="false" outlineLevel="0" collapsed="false">
      <c r="A574" s="23"/>
      <c r="B574" s="24"/>
      <c r="C574" s="25"/>
      <c r="D574" s="24"/>
      <c r="E574" s="21" t="str">
        <f aca="false">IF(OR(B574="",N(N574)=0,N574=1000),IF(B574="","","Check"),INDEX(Rules!$B:$B,N574))</f>
        <v/>
      </c>
      <c r="F574" s="21" t="str">
        <f aca="false">IF(OR(B574="",N(N574)=0,N574=1000),"",INDEX(Rules!$C:$C,N574))</f>
        <v/>
      </c>
      <c r="G574" s="24"/>
      <c r="H574" s="24"/>
      <c r="I574" s="20" t="str">
        <f aca="false">IF(B574="","",IF(G574&lt;&gt;"",G574,E574))</f>
        <v/>
      </c>
      <c r="J574" s="21" t="str">
        <f aca="false">IF(B574="","",IF(H574&lt;&gt;"",H574,F574))</f>
        <v/>
      </c>
      <c r="K574" s="26" t="str">
        <f aca="false">IF(A574="","",DATE(YEAR(A574),MONTH(A574),1))</f>
        <v/>
      </c>
      <c r="L574" s="21" t="str">
        <f aca="false">IF(J574="",IF(B574="","",IF(N(C574)&gt;=0,"Income","Expense")),IFERROR(INDEX(Lists!$B$2:$B$30,MATCH(J574,Lists!$A$2:$A$30,0)),""))</f>
        <v/>
      </c>
      <c r="M574" s="24"/>
      <c r="N574" s="27" t="str">
        <f aca="false">IF(B574="","",IFERROR(1000-SUMPRODUCT(MAX(ISNUMBER(SEARCH(Rules!$A$5:$A$204,B574))*(Rules!$A$5:$A$204&lt;&gt;"")*(1000-ROW(Rules!$A$5:$A$204)))),""))</f>
        <v/>
      </c>
    </row>
    <row r="575" customFormat="false" ht="15" hidden="false" customHeight="false" outlineLevel="0" collapsed="false">
      <c r="A575" s="23"/>
      <c r="B575" s="24"/>
      <c r="C575" s="25"/>
      <c r="D575" s="24"/>
      <c r="E575" s="21" t="str">
        <f aca="false">IF(OR(B575="",N(N575)=0,N575=1000),IF(B575="","","Check"),INDEX(Rules!$B:$B,N575))</f>
        <v/>
      </c>
      <c r="F575" s="21" t="str">
        <f aca="false">IF(OR(B575="",N(N575)=0,N575=1000),"",INDEX(Rules!$C:$C,N575))</f>
        <v/>
      </c>
      <c r="G575" s="24"/>
      <c r="H575" s="24"/>
      <c r="I575" s="20" t="str">
        <f aca="false">IF(B575="","",IF(G575&lt;&gt;"",G575,E575))</f>
        <v/>
      </c>
      <c r="J575" s="21" t="str">
        <f aca="false">IF(B575="","",IF(H575&lt;&gt;"",H575,F575))</f>
        <v/>
      </c>
      <c r="K575" s="26" t="str">
        <f aca="false">IF(A575="","",DATE(YEAR(A575),MONTH(A575),1))</f>
        <v/>
      </c>
      <c r="L575" s="21" t="str">
        <f aca="false">IF(J575="",IF(B575="","",IF(N(C575)&gt;=0,"Income","Expense")),IFERROR(INDEX(Lists!$B$2:$B$30,MATCH(J575,Lists!$A$2:$A$30,0)),""))</f>
        <v/>
      </c>
      <c r="M575" s="24"/>
      <c r="N575" s="27" t="str">
        <f aca="false">IF(B575="","",IFERROR(1000-SUMPRODUCT(MAX(ISNUMBER(SEARCH(Rules!$A$5:$A$204,B575))*(Rules!$A$5:$A$204&lt;&gt;"")*(1000-ROW(Rules!$A$5:$A$204)))),""))</f>
        <v/>
      </c>
    </row>
    <row r="576" customFormat="false" ht="15" hidden="false" customHeight="false" outlineLevel="0" collapsed="false">
      <c r="A576" s="23"/>
      <c r="B576" s="24"/>
      <c r="C576" s="25"/>
      <c r="D576" s="24"/>
      <c r="E576" s="21" t="str">
        <f aca="false">IF(OR(B576="",N(N576)=0,N576=1000),IF(B576="","","Check"),INDEX(Rules!$B:$B,N576))</f>
        <v/>
      </c>
      <c r="F576" s="21" t="str">
        <f aca="false">IF(OR(B576="",N(N576)=0,N576=1000),"",INDEX(Rules!$C:$C,N576))</f>
        <v/>
      </c>
      <c r="G576" s="24"/>
      <c r="H576" s="24"/>
      <c r="I576" s="20" t="str">
        <f aca="false">IF(B576="","",IF(G576&lt;&gt;"",G576,E576))</f>
        <v/>
      </c>
      <c r="J576" s="21" t="str">
        <f aca="false">IF(B576="","",IF(H576&lt;&gt;"",H576,F576))</f>
        <v/>
      </c>
      <c r="K576" s="26" t="str">
        <f aca="false">IF(A576="","",DATE(YEAR(A576),MONTH(A576),1))</f>
        <v/>
      </c>
      <c r="L576" s="21" t="str">
        <f aca="false">IF(J576="",IF(B576="","",IF(N(C576)&gt;=0,"Income","Expense")),IFERROR(INDEX(Lists!$B$2:$B$30,MATCH(J576,Lists!$A$2:$A$30,0)),""))</f>
        <v/>
      </c>
      <c r="M576" s="24"/>
      <c r="N576" s="27" t="str">
        <f aca="false">IF(B576="","",IFERROR(1000-SUMPRODUCT(MAX(ISNUMBER(SEARCH(Rules!$A$5:$A$204,B576))*(Rules!$A$5:$A$204&lt;&gt;"")*(1000-ROW(Rules!$A$5:$A$204)))),""))</f>
        <v/>
      </c>
    </row>
    <row r="577" customFormat="false" ht="15" hidden="false" customHeight="false" outlineLevel="0" collapsed="false">
      <c r="A577" s="23"/>
      <c r="B577" s="24"/>
      <c r="C577" s="25"/>
      <c r="D577" s="24"/>
      <c r="E577" s="21" t="str">
        <f aca="false">IF(OR(B577="",N(N577)=0,N577=1000),IF(B577="","","Check"),INDEX(Rules!$B:$B,N577))</f>
        <v/>
      </c>
      <c r="F577" s="21" t="str">
        <f aca="false">IF(OR(B577="",N(N577)=0,N577=1000),"",INDEX(Rules!$C:$C,N577))</f>
        <v/>
      </c>
      <c r="G577" s="24"/>
      <c r="H577" s="24"/>
      <c r="I577" s="20" t="str">
        <f aca="false">IF(B577="","",IF(G577&lt;&gt;"",G577,E577))</f>
        <v/>
      </c>
      <c r="J577" s="21" t="str">
        <f aca="false">IF(B577="","",IF(H577&lt;&gt;"",H577,F577))</f>
        <v/>
      </c>
      <c r="K577" s="26" t="str">
        <f aca="false">IF(A577="","",DATE(YEAR(A577),MONTH(A577),1))</f>
        <v/>
      </c>
      <c r="L577" s="21" t="str">
        <f aca="false">IF(J577="",IF(B577="","",IF(N(C577)&gt;=0,"Income","Expense")),IFERROR(INDEX(Lists!$B$2:$B$30,MATCH(J577,Lists!$A$2:$A$30,0)),""))</f>
        <v/>
      </c>
      <c r="M577" s="24"/>
      <c r="N577" s="27" t="str">
        <f aca="false">IF(B577="","",IFERROR(1000-SUMPRODUCT(MAX(ISNUMBER(SEARCH(Rules!$A$5:$A$204,B577))*(Rules!$A$5:$A$204&lt;&gt;"")*(1000-ROW(Rules!$A$5:$A$204)))),""))</f>
        <v/>
      </c>
    </row>
    <row r="578" customFormat="false" ht="15" hidden="false" customHeight="false" outlineLevel="0" collapsed="false">
      <c r="A578" s="23"/>
      <c r="B578" s="24"/>
      <c r="C578" s="25"/>
      <c r="D578" s="24"/>
      <c r="E578" s="21" t="str">
        <f aca="false">IF(OR(B578="",N(N578)=0,N578=1000),IF(B578="","","Check"),INDEX(Rules!$B:$B,N578))</f>
        <v/>
      </c>
      <c r="F578" s="21" t="str">
        <f aca="false">IF(OR(B578="",N(N578)=0,N578=1000),"",INDEX(Rules!$C:$C,N578))</f>
        <v/>
      </c>
      <c r="G578" s="24"/>
      <c r="H578" s="24"/>
      <c r="I578" s="20" t="str">
        <f aca="false">IF(B578="","",IF(G578&lt;&gt;"",G578,E578))</f>
        <v/>
      </c>
      <c r="J578" s="21" t="str">
        <f aca="false">IF(B578="","",IF(H578&lt;&gt;"",H578,F578))</f>
        <v/>
      </c>
      <c r="K578" s="26" t="str">
        <f aca="false">IF(A578="","",DATE(YEAR(A578),MONTH(A578),1))</f>
        <v/>
      </c>
      <c r="L578" s="21" t="str">
        <f aca="false">IF(J578="",IF(B578="","",IF(N(C578)&gt;=0,"Income","Expense")),IFERROR(INDEX(Lists!$B$2:$B$30,MATCH(J578,Lists!$A$2:$A$30,0)),""))</f>
        <v/>
      </c>
      <c r="M578" s="24"/>
      <c r="N578" s="27" t="str">
        <f aca="false">IF(B578="","",IFERROR(1000-SUMPRODUCT(MAX(ISNUMBER(SEARCH(Rules!$A$5:$A$204,B578))*(Rules!$A$5:$A$204&lt;&gt;"")*(1000-ROW(Rules!$A$5:$A$204)))),""))</f>
        <v/>
      </c>
    </row>
    <row r="579" customFormat="false" ht="15" hidden="false" customHeight="false" outlineLevel="0" collapsed="false">
      <c r="A579" s="23"/>
      <c r="B579" s="24"/>
      <c r="C579" s="25"/>
      <c r="D579" s="24"/>
      <c r="E579" s="21" t="str">
        <f aca="false">IF(OR(B579="",N(N579)=0,N579=1000),IF(B579="","","Check"),INDEX(Rules!$B:$B,N579))</f>
        <v/>
      </c>
      <c r="F579" s="21" t="str">
        <f aca="false">IF(OR(B579="",N(N579)=0,N579=1000),"",INDEX(Rules!$C:$C,N579))</f>
        <v/>
      </c>
      <c r="G579" s="24"/>
      <c r="H579" s="24"/>
      <c r="I579" s="20" t="str">
        <f aca="false">IF(B579="","",IF(G579&lt;&gt;"",G579,E579))</f>
        <v/>
      </c>
      <c r="J579" s="21" t="str">
        <f aca="false">IF(B579="","",IF(H579&lt;&gt;"",H579,F579))</f>
        <v/>
      </c>
      <c r="K579" s="26" t="str">
        <f aca="false">IF(A579="","",DATE(YEAR(A579),MONTH(A579),1))</f>
        <v/>
      </c>
      <c r="L579" s="21" t="str">
        <f aca="false">IF(J579="",IF(B579="","",IF(N(C579)&gt;=0,"Income","Expense")),IFERROR(INDEX(Lists!$B$2:$B$30,MATCH(J579,Lists!$A$2:$A$30,0)),""))</f>
        <v/>
      </c>
      <c r="M579" s="24"/>
      <c r="N579" s="27" t="str">
        <f aca="false">IF(B579="","",IFERROR(1000-SUMPRODUCT(MAX(ISNUMBER(SEARCH(Rules!$A$5:$A$204,B579))*(Rules!$A$5:$A$204&lt;&gt;"")*(1000-ROW(Rules!$A$5:$A$204)))),""))</f>
        <v/>
      </c>
    </row>
    <row r="580" customFormat="false" ht="15" hidden="false" customHeight="false" outlineLevel="0" collapsed="false">
      <c r="A580" s="23"/>
      <c r="B580" s="24"/>
      <c r="C580" s="25"/>
      <c r="D580" s="24"/>
      <c r="E580" s="21" t="str">
        <f aca="false">IF(OR(B580="",N(N580)=0,N580=1000),IF(B580="","","Check"),INDEX(Rules!$B:$B,N580))</f>
        <v/>
      </c>
      <c r="F580" s="21" t="str">
        <f aca="false">IF(OR(B580="",N(N580)=0,N580=1000),"",INDEX(Rules!$C:$C,N580))</f>
        <v/>
      </c>
      <c r="G580" s="24"/>
      <c r="H580" s="24"/>
      <c r="I580" s="20" t="str">
        <f aca="false">IF(B580="","",IF(G580&lt;&gt;"",G580,E580))</f>
        <v/>
      </c>
      <c r="J580" s="21" t="str">
        <f aca="false">IF(B580="","",IF(H580&lt;&gt;"",H580,F580))</f>
        <v/>
      </c>
      <c r="K580" s="26" t="str">
        <f aca="false">IF(A580="","",DATE(YEAR(A580),MONTH(A580),1))</f>
        <v/>
      </c>
      <c r="L580" s="21" t="str">
        <f aca="false">IF(J580="",IF(B580="","",IF(N(C580)&gt;=0,"Income","Expense")),IFERROR(INDEX(Lists!$B$2:$B$30,MATCH(J580,Lists!$A$2:$A$30,0)),""))</f>
        <v/>
      </c>
      <c r="M580" s="24"/>
      <c r="N580" s="27" t="str">
        <f aca="false">IF(B580="","",IFERROR(1000-SUMPRODUCT(MAX(ISNUMBER(SEARCH(Rules!$A$5:$A$204,B580))*(Rules!$A$5:$A$204&lt;&gt;"")*(1000-ROW(Rules!$A$5:$A$204)))),""))</f>
        <v/>
      </c>
    </row>
    <row r="581" customFormat="false" ht="15" hidden="false" customHeight="false" outlineLevel="0" collapsed="false">
      <c r="A581" s="23"/>
      <c r="B581" s="24"/>
      <c r="C581" s="25"/>
      <c r="D581" s="24"/>
      <c r="E581" s="21" t="str">
        <f aca="false">IF(OR(B581="",N(N581)=0,N581=1000),IF(B581="","","Check"),INDEX(Rules!$B:$B,N581))</f>
        <v/>
      </c>
      <c r="F581" s="21" t="str">
        <f aca="false">IF(OR(B581="",N(N581)=0,N581=1000),"",INDEX(Rules!$C:$C,N581))</f>
        <v/>
      </c>
      <c r="G581" s="24"/>
      <c r="H581" s="24"/>
      <c r="I581" s="20" t="str">
        <f aca="false">IF(B581="","",IF(G581&lt;&gt;"",G581,E581))</f>
        <v/>
      </c>
      <c r="J581" s="21" t="str">
        <f aca="false">IF(B581="","",IF(H581&lt;&gt;"",H581,F581))</f>
        <v/>
      </c>
      <c r="K581" s="26" t="str">
        <f aca="false">IF(A581="","",DATE(YEAR(A581),MONTH(A581),1))</f>
        <v/>
      </c>
      <c r="L581" s="21" t="str">
        <f aca="false">IF(J581="",IF(B581="","",IF(N(C581)&gt;=0,"Income","Expense")),IFERROR(INDEX(Lists!$B$2:$B$30,MATCH(J581,Lists!$A$2:$A$30,0)),""))</f>
        <v/>
      </c>
      <c r="M581" s="24"/>
      <c r="N581" s="27" t="str">
        <f aca="false">IF(B581="","",IFERROR(1000-SUMPRODUCT(MAX(ISNUMBER(SEARCH(Rules!$A$5:$A$204,B581))*(Rules!$A$5:$A$204&lt;&gt;"")*(1000-ROW(Rules!$A$5:$A$204)))),""))</f>
        <v/>
      </c>
    </row>
    <row r="582" customFormat="false" ht="15" hidden="false" customHeight="false" outlineLevel="0" collapsed="false">
      <c r="A582" s="23"/>
      <c r="B582" s="24"/>
      <c r="C582" s="25"/>
      <c r="D582" s="24"/>
      <c r="E582" s="21" t="str">
        <f aca="false">IF(OR(B582="",N(N582)=0,N582=1000),IF(B582="","","Check"),INDEX(Rules!$B:$B,N582))</f>
        <v/>
      </c>
      <c r="F582" s="21" t="str">
        <f aca="false">IF(OR(B582="",N(N582)=0,N582=1000),"",INDEX(Rules!$C:$C,N582))</f>
        <v/>
      </c>
      <c r="G582" s="24"/>
      <c r="H582" s="24"/>
      <c r="I582" s="20" t="str">
        <f aca="false">IF(B582="","",IF(G582&lt;&gt;"",G582,E582))</f>
        <v/>
      </c>
      <c r="J582" s="21" t="str">
        <f aca="false">IF(B582="","",IF(H582&lt;&gt;"",H582,F582))</f>
        <v/>
      </c>
      <c r="K582" s="26" t="str">
        <f aca="false">IF(A582="","",DATE(YEAR(A582),MONTH(A582),1))</f>
        <v/>
      </c>
      <c r="L582" s="21" t="str">
        <f aca="false">IF(J582="",IF(B582="","",IF(N(C582)&gt;=0,"Income","Expense")),IFERROR(INDEX(Lists!$B$2:$B$30,MATCH(J582,Lists!$A$2:$A$30,0)),""))</f>
        <v/>
      </c>
      <c r="M582" s="24"/>
      <c r="N582" s="27" t="str">
        <f aca="false">IF(B582="","",IFERROR(1000-SUMPRODUCT(MAX(ISNUMBER(SEARCH(Rules!$A$5:$A$204,B582))*(Rules!$A$5:$A$204&lt;&gt;"")*(1000-ROW(Rules!$A$5:$A$204)))),""))</f>
        <v/>
      </c>
    </row>
    <row r="583" customFormat="false" ht="15" hidden="false" customHeight="false" outlineLevel="0" collapsed="false">
      <c r="A583" s="23"/>
      <c r="B583" s="24"/>
      <c r="C583" s="25"/>
      <c r="D583" s="24"/>
      <c r="E583" s="21" t="str">
        <f aca="false">IF(OR(B583="",N(N583)=0,N583=1000),IF(B583="","","Check"),INDEX(Rules!$B:$B,N583))</f>
        <v/>
      </c>
      <c r="F583" s="21" t="str">
        <f aca="false">IF(OR(B583="",N(N583)=0,N583=1000),"",INDEX(Rules!$C:$C,N583))</f>
        <v/>
      </c>
      <c r="G583" s="24"/>
      <c r="H583" s="24"/>
      <c r="I583" s="20" t="str">
        <f aca="false">IF(B583="","",IF(G583&lt;&gt;"",G583,E583))</f>
        <v/>
      </c>
      <c r="J583" s="21" t="str">
        <f aca="false">IF(B583="","",IF(H583&lt;&gt;"",H583,F583))</f>
        <v/>
      </c>
      <c r="K583" s="26" t="str">
        <f aca="false">IF(A583="","",DATE(YEAR(A583),MONTH(A583),1))</f>
        <v/>
      </c>
      <c r="L583" s="21" t="str">
        <f aca="false">IF(J583="",IF(B583="","",IF(N(C583)&gt;=0,"Income","Expense")),IFERROR(INDEX(Lists!$B$2:$B$30,MATCH(J583,Lists!$A$2:$A$30,0)),""))</f>
        <v/>
      </c>
      <c r="M583" s="24"/>
      <c r="N583" s="27" t="str">
        <f aca="false">IF(B583="","",IFERROR(1000-SUMPRODUCT(MAX(ISNUMBER(SEARCH(Rules!$A$5:$A$204,B583))*(Rules!$A$5:$A$204&lt;&gt;"")*(1000-ROW(Rules!$A$5:$A$204)))),""))</f>
        <v/>
      </c>
    </row>
    <row r="584" customFormat="false" ht="15" hidden="false" customHeight="false" outlineLevel="0" collapsed="false">
      <c r="A584" s="23"/>
      <c r="B584" s="24"/>
      <c r="C584" s="25"/>
      <c r="D584" s="24"/>
      <c r="E584" s="21" t="str">
        <f aca="false">IF(OR(B584="",N(N584)=0,N584=1000),IF(B584="","","Check"),INDEX(Rules!$B:$B,N584))</f>
        <v/>
      </c>
      <c r="F584" s="21" t="str">
        <f aca="false">IF(OR(B584="",N(N584)=0,N584=1000),"",INDEX(Rules!$C:$C,N584))</f>
        <v/>
      </c>
      <c r="G584" s="24"/>
      <c r="H584" s="24"/>
      <c r="I584" s="20" t="str">
        <f aca="false">IF(B584="","",IF(G584&lt;&gt;"",G584,E584))</f>
        <v/>
      </c>
      <c r="J584" s="21" t="str">
        <f aca="false">IF(B584="","",IF(H584&lt;&gt;"",H584,F584))</f>
        <v/>
      </c>
      <c r="K584" s="26" t="str">
        <f aca="false">IF(A584="","",DATE(YEAR(A584),MONTH(A584),1))</f>
        <v/>
      </c>
      <c r="L584" s="21" t="str">
        <f aca="false">IF(J584="",IF(B584="","",IF(N(C584)&gt;=0,"Income","Expense")),IFERROR(INDEX(Lists!$B$2:$B$30,MATCH(J584,Lists!$A$2:$A$30,0)),""))</f>
        <v/>
      </c>
      <c r="M584" s="24"/>
      <c r="N584" s="27" t="str">
        <f aca="false">IF(B584="","",IFERROR(1000-SUMPRODUCT(MAX(ISNUMBER(SEARCH(Rules!$A$5:$A$204,B584))*(Rules!$A$5:$A$204&lt;&gt;"")*(1000-ROW(Rules!$A$5:$A$204)))),""))</f>
        <v/>
      </c>
    </row>
    <row r="585" customFormat="false" ht="15" hidden="false" customHeight="false" outlineLevel="0" collapsed="false">
      <c r="A585" s="23"/>
      <c r="B585" s="24"/>
      <c r="C585" s="25"/>
      <c r="D585" s="24"/>
      <c r="E585" s="21" t="str">
        <f aca="false">IF(OR(B585="",N(N585)=0,N585=1000),IF(B585="","","Check"),INDEX(Rules!$B:$B,N585))</f>
        <v/>
      </c>
      <c r="F585" s="21" t="str">
        <f aca="false">IF(OR(B585="",N(N585)=0,N585=1000),"",INDEX(Rules!$C:$C,N585))</f>
        <v/>
      </c>
      <c r="G585" s="24"/>
      <c r="H585" s="24"/>
      <c r="I585" s="20" t="str">
        <f aca="false">IF(B585="","",IF(G585&lt;&gt;"",G585,E585))</f>
        <v/>
      </c>
      <c r="J585" s="21" t="str">
        <f aca="false">IF(B585="","",IF(H585&lt;&gt;"",H585,F585))</f>
        <v/>
      </c>
      <c r="K585" s="26" t="str">
        <f aca="false">IF(A585="","",DATE(YEAR(A585),MONTH(A585),1))</f>
        <v/>
      </c>
      <c r="L585" s="21" t="str">
        <f aca="false">IF(J585="",IF(B585="","",IF(N(C585)&gt;=0,"Income","Expense")),IFERROR(INDEX(Lists!$B$2:$B$30,MATCH(J585,Lists!$A$2:$A$30,0)),""))</f>
        <v/>
      </c>
      <c r="M585" s="24"/>
      <c r="N585" s="27" t="str">
        <f aca="false">IF(B585="","",IFERROR(1000-SUMPRODUCT(MAX(ISNUMBER(SEARCH(Rules!$A$5:$A$204,B585))*(Rules!$A$5:$A$204&lt;&gt;"")*(1000-ROW(Rules!$A$5:$A$204)))),""))</f>
        <v/>
      </c>
    </row>
    <row r="586" customFormat="false" ht="15" hidden="false" customHeight="false" outlineLevel="0" collapsed="false">
      <c r="A586" s="23"/>
      <c r="B586" s="24"/>
      <c r="C586" s="25"/>
      <c r="D586" s="24"/>
      <c r="E586" s="21" t="str">
        <f aca="false">IF(OR(B586="",N(N586)=0,N586=1000),IF(B586="","","Check"),INDEX(Rules!$B:$B,N586))</f>
        <v/>
      </c>
      <c r="F586" s="21" t="str">
        <f aca="false">IF(OR(B586="",N(N586)=0,N586=1000),"",INDEX(Rules!$C:$C,N586))</f>
        <v/>
      </c>
      <c r="G586" s="24"/>
      <c r="H586" s="24"/>
      <c r="I586" s="20" t="str">
        <f aca="false">IF(B586="","",IF(G586&lt;&gt;"",G586,E586))</f>
        <v/>
      </c>
      <c r="J586" s="21" t="str">
        <f aca="false">IF(B586="","",IF(H586&lt;&gt;"",H586,F586))</f>
        <v/>
      </c>
      <c r="K586" s="26" t="str">
        <f aca="false">IF(A586="","",DATE(YEAR(A586),MONTH(A586),1))</f>
        <v/>
      </c>
      <c r="L586" s="21" t="str">
        <f aca="false">IF(J586="",IF(B586="","",IF(N(C586)&gt;=0,"Income","Expense")),IFERROR(INDEX(Lists!$B$2:$B$30,MATCH(J586,Lists!$A$2:$A$30,0)),""))</f>
        <v/>
      </c>
      <c r="M586" s="24"/>
      <c r="N586" s="27" t="str">
        <f aca="false">IF(B586="","",IFERROR(1000-SUMPRODUCT(MAX(ISNUMBER(SEARCH(Rules!$A$5:$A$204,B586))*(Rules!$A$5:$A$204&lt;&gt;"")*(1000-ROW(Rules!$A$5:$A$204)))),""))</f>
        <v/>
      </c>
    </row>
    <row r="587" customFormat="false" ht="15" hidden="false" customHeight="false" outlineLevel="0" collapsed="false">
      <c r="A587" s="23"/>
      <c r="B587" s="24"/>
      <c r="C587" s="25"/>
      <c r="D587" s="24"/>
      <c r="E587" s="21" t="str">
        <f aca="false">IF(OR(B587="",N(N587)=0,N587=1000),IF(B587="","","Check"),INDEX(Rules!$B:$B,N587))</f>
        <v/>
      </c>
      <c r="F587" s="21" t="str">
        <f aca="false">IF(OR(B587="",N(N587)=0,N587=1000),"",INDEX(Rules!$C:$C,N587))</f>
        <v/>
      </c>
      <c r="G587" s="24"/>
      <c r="H587" s="24"/>
      <c r="I587" s="20" t="str">
        <f aca="false">IF(B587="","",IF(G587&lt;&gt;"",G587,E587))</f>
        <v/>
      </c>
      <c r="J587" s="21" t="str">
        <f aca="false">IF(B587="","",IF(H587&lt;&gt;"",H587,F587))</f>
        <v/>
      </c>
      <c r="K587" s="26" t="str">
        <f aca="false">IF(A587="","",DATE(YEAR(A587),MONTH(A587),1))</f>
        <v/>
      </c>
      <c r="L587" s="21" t="str">
        <f aca="false">IF(J587="",IF(B587="","",IF(N(C587)&gt;=0,"Income","Expense")),IFERROR(INDEX(Lists!$B$2:$B$30,MATCH(J587,Lists!$A$2:$A$30,0)),""))</f>
        <v/>
      </c>
      <c r="M587" s="24"/>
      <c r="N587" s="27" t="str">
        <f aca="false">IF(B587="","",IFERROR(1000-SUMPRODUCT(MAX(ISNUMBER(SEARCH(Rules!$A$5:$A$204,B587))*(Rules!$A$5:$A$204&lt;&gt;"")*(1000-ROW(Rules!$A$5:$A$204)))),""))</f>
        <v/>
      </c>
    </row>
    <row r="588" customFormat="false" ht="15" hidden="false" customHeight="false" outlineLevel="0" collapsed="false">
      <c r="A588" s="23"/>
      <c r="B588" s="24"/>
      <c r="C588" s="25"/>
      <c r="D588" s="24"/>
      <c r="E588" s="21" t="str">
        <f aca="false">IF(OR(B588="",N(N588)=0,N588=1000),IF(B588="","","Check"),INDEX(Rules!$B:$B,N588))</f>
        <v/>
      </c>
      <c r="F588" s="21" t="str">
        <f aca="false">IF(OR(B588="",N(N588)=0,N588=1000),"",INDEX(Rules!$C:$C,N588))</f>
        <v/>
      </c>
      <c r="G588" s="24"/>
      <c r="H588" s="24"/>
      <c r="I588" s="20" t="str">
        <f aca="false">IF(B588="","",IF(G588&lt;&gt;"",G588,E588))</f>
        <v/>
      </c>
      <c r="J588" s="21" t="str">
        <f aca="false">IF(B588="","",IF(H588&lt;&gt;"",H588,F588))</f>
        <v/>
      </c>
      <c r="K588" s="26" t="str">
        <f aca="false">IF(A588="","",DATE(YEAR(A588),MONTH(A588),1))</f>
        <v/>
      </c>
      <c r="L588" s="21" t="str">
        <f aca="false">IF(J588="",IF(B588="","",IF(N(C588)&gt;=0,"Income","Expense")),IFERROR(INDEX(Lists!$B$2:$B$30,MATCH(J588,Lists!$A$2:$A$30,0)),""))</f>
        <v/>
      </c>
      <c r="M588" s="24"/>
      <c r="N588" s="27" t="str">
        <f aca="false">IF(B588="","",IFERROR(1000-SUMPRODUCT(MAX(ISNUMBER(SEARCH(Rules!$A$5:$A$204,B588))*(Rules!$A$5:$A$204&lt;&gt;"")*(1000-ROW(Rules!$A$5:$A$204)))),""))</f>
        <v/>
      </c>
    </row>
    <row r="589" customFormat="false" ht="15" hidden="false" customHeight="false" outlineLevel="0" collapsed="false">
      <c r="A589" s="23"/>
      <c r="B589" s="24"/>
      <c r="C589" s="25"/>
      <c r="D589" s="24"/>
      <c r="E589" s="21" t="str">
        <f aca="false">IF(OR(B589="",N(N589)=0,N589=1000),IF(B589="","","Check"),INDEX(Rules!$B:$B,N589))</f>
        <v/>
      </c>
      <c r="F589" s="21" t="str">
        <f aca="false">IF(OR(B589="",N(N589)=0,N589=1000),"",INDEX(Rules!$C:$C,N589))</f>
        <v/>
      </c>
      <c r="G589" s="24"/>
      <c r="H589" s="24"/>
      <c r="I589" s="20" t="str">
        <f aca="false">IF(B589="","",IF(G589&lt;&gt;"",G589,E589))</f>
        <v/>
      </c>
      <c r="J589" s="21" t="str">
        <f aca="false">IF(B589="","",IF(H589&lt;&gt;"",H589,F589))</f>
        <v/>
      </c>
      <c r="K589" s="26" t="str">
        <f aca="false">IF(A589="","",DATE(YEAR(A589),MONTH(A589),1))</f>
        <v/>
      </c>
      <c r="L589" s="21" t="str">
        <f aca="false">IF(J589="",IF(B589="","",IF(N(C589)&gt;=0,"Income","Expense")),IFERROR(INDEX(Lists!$B$2:$B$30,MATCH(J589,Lists!$A$2:$A$30,0)),""))</f>
        <v/>
      </c>
      <c r="M589" s="24"/>
      <c r="N589" s="27" t="str">
        <f aca="false">IF(B589="","",IFERROR(1000-SUMPRODUCT(MAX(ISNUMBER(SEARCH(Rules!$A$5:$A$204,B589))*(Rules!$A$5:$A$204&lt;&gt;"")*(1000-ROW(Rules!$A$5:$A$204)))),""))</f>
        <v/>
      </c>
    </row>
    <row r="590" customFormat="false" ht="15" hidden="false" customHeight="false" outlineLevel="0" collapsed="false">
      <c r="A590" s="23"/>
      <c r="B590" s="24"/>
      <c r="C590" s="25"/>
      <c r="D590" s="24"/>
      <c r="E590" s="21" t="str">
        <f aca="false">IF(OR(B590="",N(N590)=0,N590=1000),IF(B590="","","Check"),INDEX(Rules!$B:$B,N590))</f>
        <v/>
      </c>
      <c r="F590" s="21" t="str">
        <f aca="false">IF(OR(B590="",N(N590)=0,N590=1000),"",INDEX(Rules!$C:$C,N590))</f>
        <v/>
      </c>
      <c r="G590" s="24"/>
      <c r="H590" s="24"/>
      <c r="I590" s="20" t="str">
        <f aca="false">IF(B590="","",IF(G590&lt;&gt;"",G590,E590))</f>
        <v/>
      </c>
      <c r="J590" s="21" t="str">
        <f aca="false">IF(B590="","",IF(H590&lt;&gt;"",H590,F590))</f>
        <v/>
      </c>
      <c r="K590" s="26" t="str">
        <f aca="false">IF(A590="","",DATE(YEAR(A590),MONTH(A590),1))</f>
        <v/>
      </c>
      <c r="L590" s="21" t="str">
        <f aca="false">IF(J590="",IF(B590="","",IF(N(C590)&gt;=0,"Income","Expense")),IFERROR(INDEX(Lists!$B$2:$B$30,MATCH(J590,Lists!$A$2:$A$30,0)),""))</f>
        <v/>
      </c>
      <c r="M590" s="24"/>
      <c r="N590" s="27" t="str">
        <f aca="false">IF(B590="","",IFERROR(1000-SUMPRODUCT(MAX(ISNUMBER(SEARCH(Rules!$A$5:$A$204,B590))*(Rules!$A$5:$A$204&lt;&gt;"")*(1000-ROW(Rules!$A$5:$A$204)))),""))</f>
        <v/>
      </c>
    </row>
    <row r="591" customFormat="false" ht="15" hidden="false" customHeight="false" outlineLevel="0" collapsed="false">
      <c r="A591" s="23"/>
      <c r="B591" s="24"/>
      <c r="C591" s="25"/>
      <c r="D591" s="24"/>
      <c r="E591" s="21" t="str">
        <f aca="false">IF(OR(B591="",N(N591)=0,N591=1000),IF(B591="","","Check"),INDEX(Rules!$B:$B,N591))</f>
        <v/>
      </c>
      <c r="F591" s="21" t="str">
        <f aca="false">IF(OR(B591="",N(N591)=0,N591=1000),"",INDEX(Rules!$C:$C,N591))</f>
        <v/>
      </c>
      <c r="G591" s="24"/>
      <c r="H591" s="24"/>
      <c r="I591" s="20" t="str">
        <f aca="false">IF(B591="","",IF(G591&lt;&gt;"",G591,E591))</f>
        <v/>
      </c>
      <c r="J591" s="21" t="str">
        <f aca="false">IF(B591="","",IF(H591&lt;&gt;"",H591,F591))</f>
        <v/>
      </c>
      <c r="K591" s="26" t="str">
        <f aca="false">IF(A591="","",DATE(YEAR(A591),MONTH(A591),1))</f>
        <v/>
      </c>
      <c r="L591" s="21" t="str">
        <f aca="false">IF(J591="",IF(B591="","",IF(N(C591)&gt;=0,"Income","Expense")),IFERROR(INDEX(Lists!$B$2:$B$30,MATCH(J591,Lists!$A$2:$A$30,0)),""))</f>
        <v/>
      </c>
      <c r="M591" s="24"/>
      <c r="N591" s="27" t="str">
        <f aca="false">IF(B591="","",IFERROR(1000-SUMPRODUCT(MAX(ISNUMBER(SEARCH(Rules!$A$5:$A$204,B591))*(Rules!$A$5:$A$204&lt;&gt;"")*(1000-ROW(Rules!$A$5:$A$204)))),""))</f>
        <v/>
      </c>
    </row>
    <row r="592" customFormat="false" ht="15" hidden="false" customHeight="false" outlineLevel="0" collapsed="false">
      <c r="A592" s="23"/>
      <c r="B592" s="24"/>
      <c r="C592" s="25"/>
      <c r="D592" s="24"/>
      <c r="E592" s="21" t="str">
        <f aca="false">IF(OR(B592="",N(N592)=0,N592=1000),IF(B592="","","Check"),INDEX(Rules!$B:$B,N592))</f>
        <v/>
      </c>
      <c r="F592" s="21" t="str">
        <f aca="false">IF(OR(B592="",N(N592)=0,N592=1000),"",INDEX(Rules!$C:$C,N592))</f>
        <v/>
      </c>
      <c r="G592" s="24"/>
      <c r="H592" s="24"/>
      <c r="I592" s="20" t="str">
        <f aca="false">IF(B592="","",IF(G592&lt;&gt;"",G592,E592))</f>
        <v/>
      </c>
      <c r="J592" s="21" t="str">
        <f aca="false">IF(B592="","",IF(H592&lt;&gt;"",H592,F592))</f>
        <v/>
      </c>
      <c r="K592" s="26" t="str">
        <f aca="false">IF(A592="","",DATE(YEAR(A592),MONTH(A592),1))</f>
        <v/>
      </c>
      <c r="L592" s="21" t="str">
        <f aca="false">IF(J592="",IF(B592="","",IF(N(C592)&gt;=0,"Income","Expense")),IFERROR(INDEX(Lists!$B$2:$B$30,MATCH(J592,Lists!$A$2:$A$30,0)),""))</f>
        <v/>
      </c>
      <c r="M592" s="24"/>
      <c r="N592" s="27" t="str">
        <f aca="false">IF(B592="","",IFERROR(1000-SUMPRODUCT(MAX(ISNUMBER(SEARCH(Rules!$A$5:$A$204,B592))*(Rules!$A$5:$A$204&lt;&gt;"")*(1000-ROW(Rules!$A$5:$A$204)))),""))</f>
        <v/>
      </c>
    </row>
    <row r="593" customFormat="false" ht="15" hidden="false" customHeight="false" outlineLevel="0" collapsed="false">
      <c r="A593" s="23"/>
      <c r="B593" s="24"/>
      <c r="C593" s="25"/>
      <c r="D593" s="24"/>
      <c r="E593" s="21" t="str">
        <f aca="false">IF(OR(B593="",N(N593)=0,N593=1000),IF(B593="","","Check"),INDEX(Rules!$B:$B,N593))</f>
        <v/>
      </c>
      <c r="F593" s="21" t="str">
        <f aca="false">IF(OR(B593="",N(N593)=0,N593=1000),"",INDEX(Rules!$C:$C,N593))</f>
        <v/>
      </c>
      <c r="G593" s="24"/>
      <c r="H593" s="24"/>
      <c r="I593" s="20" t="str">
        <f aca="false">IF(B593="","",IF(G593&lt;&gt;"",G593,E593))</f>
        <v/>
      </c>
      <c r="J593" s="21" t="str">
        <f aca="false">IF(B593="","",IF(H593&lt;&gt;"",H593,F593))</f>
        <v/>
      </c>
      <c r="K593" s="26" t="str">
        <f aca="false">IF(A593="","",DATE(YEAR(A593),MONTH(A593),1))</f>
        <v/>
      </c>
      <c r="L593" s="21" t="str">
        <f aca="false">IF(J593="",IF(B593="","",IF(N(C593)&gt;=0,"Income","Expense")),IFERROR(INDEX(Lists!$B$2:$B$30,MATCH(J593,Lists!$A$2:$A$30,0)),""))</f>
        <v/>
      </c>
      <c r="M593" s="24"/>
      <c r="N593" s="27" t="str">
        <f aca="false">IF(B593="","",IFERROR(1000-SUMPRODUCT(MAX(ISNUMBER(SEARCH(Rules!$A$5:$A$204,B593))*(Rules!$A$5:$A$204&lt;&gt;"")*(1000-ROW(Rules!$A$5:$A$204)))),""))</f>
        <v/>
      </c>
    </row>
    <row r="594" customFormat="false" ht="15" hidden="false" customHeight="false" outlineLevel="0" collapsed="false">
      <c r="A594" s="23"/>
      <c r="B594" s="24"/>
      <c r="C594" s="25"/>
      <c r="D594" s="24"/>
      <c r="E594" s="21" t="str">
        <f aca="false">IF(OR(B594="",N(N594)=0,N594=1000),IF(B594="","","Check"),INDEX(Rules!$B:$B,N594))</f>
        <v/>
      </c>
      <c r="F594" s="21" t="str">
        <f aca="false">IF(OR(B594="",N(N594)=0,N594=1000),"",INDEX(Rules!$C:$C,N594))</f>
        <v/>
      </c>
      <c r="G594" s="24"/>
      <c r="H594" s="24"/>
      <c r="I594" s="20" t="str">
        <f aca="false">IF(B594="","",IF(G594&lt;&gt;"",G594,E594))</f>
        <v/>
      </c>
      <c r="J594" s="21" t="str">
        <f aca="false">IF(B594="","",IF(H594&lt;&gt;"",H594,F594))</f>
        <v/>
      </c>
      <c r="K594" s="26" t="str">
        <f aca="false">IF(A594="","",DATE(YEAR(A594),MONTH(A594),1))</f>
        <v/>
      </c>
      <c r="L594" s="21" t="str">
        <f aca="false">IF(J594="",IF(B594="","",IF(N(C594)&gt;=0,"Income","Expense")),IFERROR(INDEX(Lists!$B$2:$B$30,MATCH(J594,Lists!$A$2:$A$30,0)),""))</f>
        <v/>
      </c>
      <c r="M594" s="24"/>
      <c r="N594" s="27" t="str">
        <f aca="false">IF(B594="","",IFERROR(1000-SUMPRODUCT(MAX(ISNUMBER(SEARCH(Rules!$A$5:$A$204,B594))*(Rules!$A$5:$A$204&lt;&gt;"")*(1000-ROW(Rules!$A$5:$A$204)))),""))</f>
        <v/>
      </c>
    </row>
    <row r="595" customFormat="false" ht="15" hidden="false" customHeight="false" outlineLevel="0" collapsed="false">
      <c r="A595" s="23"/>
      <c r="B595" s="24"/>
      <c r="C595" s="25"/>
      <c r="D595" s="24"/>
      <c r="E595" s="21" t="str">
        <f aca="false">IF(OR(B595="",N(N595)=0,N595=1000),IF(B595="","","Check"),INDEX(Rules!$B:$B,N595))</f>
        <v/>
      </c>
      <c r="F595" s="21" t="str">
        <f aca="false">IF(OR(B595="",N(N595)=0,N595=1000),"",INDEX(Rules!$C:$C,N595))</f>
        <v/>
      </c>
      <c r="G595" s="24"/>
      <c r="H595" s="24"/>
      <c r="I595" s="20" t="str">
        <f aca="false">IF(B595="","",IF(G595&lt;&gt;"",G595,E595))</f>
        <v/>
      </c>
      <c r="J595" s="21" t="str">
        <f aca="false">IF(B595="","",IF(H595&lt;&gt;"",H595,F595))</f>
        <v/>
      </c>
      <c r="K595" s="26" t="str">
        <f aca="false">IF(A595="","",DATE(YEAR(A595),MONTH(A595),1))</f>
        <v/>
      </c>
      <c r="L595" s="21" t="str">
        <f aca="false">IF(J595="",IF(B595="","",IF(N(C595)&gt;=0,"Income","Expense")),IFERROR(INDEX(Lists!$B$2:$B$30,MATCH(J595,Lists!$A$2:$A$30,0)),""))</f>
        <v/>
      </c>
      <c r="M595" s="24"/>
      <c r="N595" s="27" t="str">
        <f aca="false">IF(B595="","",IFERROR(1000-SUMPRODUCT(MAX(ISNUMBER(SEARCH(Rules!$A$5:$A$204,B595))*(Rules!$A$5:$A$204&lt;&gt;"")*(1000-ROW(Rules!$A$5:$A$204)))),""))</f>
        <v/>
      </c>
    </row>
    <row r="596" customFormat="false" ht="15" hidden="false" customHeight="false" outlineLevel="0" collapsed="false">
      <c r="A596" s="23"/>
      <c r="B596" s="24"/>
      <c r="C596" s="25"/>
      <c r="D596" s="24"/>
      <c r="E596" s="21" t="str">
        <f aca="false">IF(OR(B596="",N(N596)=0,N596=1000),IF(B596="","","Check"),INDEX(Rules!$B:$B,N596))</f>
        <v/>
      </c>
      <c r="F596" s="21" t="str">
        <f aca="false">IF(OR(B596="",N(N596)=0,N596=1000),"",INDEX(Rules!$C:$C,N596))</f>
        <v/>
      </c>
      <c r="G596" s="24"/>
      <c r="H596" s="24"/>
      <c r="I596" s="20" t="str">
        <f aca="false">IF(B596="","",IF(G596&lt;&gt;"",G596,E596))</f>
        <v/>
      </c>
      <c r="J596" s="21" t="str">
        <f aca="false">IF(B596="","",IF(H596&lt;&gt;"",H596,F596))</f>
        <v/>
      </c>
      <c r="K596" s="26" t="str">
        <f aca="false">IF(A596="","",DATE(YEAR(A596),MONTH(A596),1))</f>
        <v/>
      </c>
      <c r="L596" s="21" t="str">
        <f aca="false">IF(J596="",IF(B596="","",IF(N(C596)&gt;=0,"Income","Expense")),IFERROR(INDEX(Lists!$B$2:$B$30,MATCH(J596,Lists!$A$2:$A$30,0)),""))</f>
        <v/>
      </c>
      <c r="M596" s="24"/>
      <c r="N596" s="27" t="str">
        <f aca="false">IF(B596="","",IFERROR(1000-SUMPRODUCT(MAX(ISNUMBER(SEARCH(Rules!$A$5:$A$204,B596))*(Rules!$A$5:$A$204&lt;&gt;"")*(1000-ROW(Rules!$A$5:$A$204)))),""))</f>
        <v/>
      </c>
    </row>
    <row r="597" customFormat="false" ht="15" hidden="false" customHeight="false" outlineLevel="0" collapsed="false">
      <c r="A597" s="23"/>
      <c r="B597" s="24"/>
      <c r="C597" s="25"/>
      <c r="D597" s="24"/>
      <c r="E597" s="21" t="str">
        <f aca="false">IF(OR(B597="",N(N597)=0,N597=1000),IF(B597="","","Check"),INDEX(Rules!$B:$B,N597))</f>
        <v/>
      </c>
      <c r="F597" s="21" t="str">
        <f aca="false">IF(OR(B597="",N(N597)=0,N597=1000),"",INDEX(Rules!$C:$C,N597))</f>
        <v/>
      </c>
      <c r="G597" s="24"/>
      <c r="H597" s="24"/>
      <c r="I597" s="20" t="str">
        <f aca="false">IF(B597="","",IF(G597&lt;&gt;"",G597,E597))</f>
        <v/>
      </c>
      <c r="J597" s="21" t="str">
        <f aca="false">IF(B597="","",IF(H597&lt;&gt;"",H597,F597))</f>
        <v/>
      </c>
      <c r="K597" s="26" t="str">
        <f aca="false">IF(A597="","",DATE(YEAR(A597),MONTH(A597),1))</f>
        <v/>
      </c>
      <c r="L597" s="21" t="str">
        <f aca="false">IF(J597="",IF(B597="","",IF(N(C597)&gt;=0,"Income","Expense")),IFERROR(INDEX(Lists!$B$2:$B$30,MATCH(J597,Lists!$A$2:$A$30,0)),""))</f>
        <v/>
      </c>
      <c r="M597" s="24"/>
      <c r="N597" s="27" t="str">
        <f aca="false">IF(B597="","",IFERROR(1000-SUMPRODUCT(MAX(ISNUMBER(SEARCH(Rules!$A$5:$A$204,B597))*(Rules!$A$5:$A$204&lt;&gt;"")*(1000-ROW(Rules!$A$5:$A$204)))),""))</f>
        <v/>
      </c>
    </row>
    <row r="598" customFormat="false" ht="15" hidden="false" customHeight="false" outlineLevel="0" collapsed="false">
      <c r="A598" s="23"/>
      <c r="B598" s="24"/>
      <c r="C598" s="25"/>
      <c r="D598" s="24"/>
      <c r="E598" s="21" t="str">
        <f aca="false">IF(OR(B598="",N(N598)=0,N598=1000),IF(B598="","","Check"),INDEX(Rules!$B:$B,N598))</f>
        <v/>
      </c>
      <c r="F598" s="21" t="str">
        <f aca="false">IF(OR(B598="",N(N598)=0,N598=1000),"",INDEX(Rules!$C:$C,N598))</f>
        <v/>
      </c>
      <c r="G598" s="24"/>
      <c r="H598" s="24"/>
      <c r="I598" s="20" t="str">
        <f aca="false">IF(B598="","",IF(G598&lt;&gt;"",G598,E598))</f>
        <v/>
      </c>
      <c r="J598" s="21" t="str">
        <f aca="false">IF(B598="","",IF(H598&lt;&gt;"",H598,F598))</f>
        <v/>
      </c>
      <c r="K598" s="26" t="str">
        <f aca="false">IF(A598="","",DATE(YEAR(A598),MONTH(A598),1))</f>
        <v/>
      </c>
      <c r="L598" s="21" t="str">
        <f aca="false">IF(J598="",IF(B598="","",IF(N(C598)&gt;=0,"Income","Expense")),IFERROR(INDEX(Lists!$B$2:$B$30,MATCH(J598,Lists!$A$2:$A$30,0)),""))</f>
        <v/>
      </c>
      <c r="M598" s="24"/>
      <c r="N598" s="27" t="str">
        <f aca="false">IF(B598="","",IFERROR(1000-SUMPRODUCT(MAX(ISNUMBER(SEARCH(Rules!$A$5:$A$204,B598))*(Rules!$A$5:$A$204&lt;&gt;"")*(1000-ROW(Rules!$A$5:$A$204)))),""))</f>
        <v/>
      </c>
    </row>
    <row r="599" customFormat="false" ht="15" hidden="false" customHeight="false" outlineLevel="0" collapsed="false">
      <c r="A599" s="23"/>
      <c r="B599" s="24"/>
      <c r="C599" s="25"/>
      <c r="D599" s="24"/>
      <c r="E599" s="21" t="str">
        <f aca="false">IF(OR(B599="",N(N599)=0,N599=1000),IF(B599="","","Check"),INDEX(Rules!$B:$B,N599))</f>
        <v/>
      </c>
      <c r="F599" s="21" t="str">
        <f aca="false">IF(OR(B599="",N(N599)=0,N599=1000),"",INDEX(Rules!$C:$C,N599))</f>
        <v/>
      </c>
      <c r="G599" s="24"/>
      <c r="H599" s="24"/>
      <c r="I599" s="20" t="str">
        <f aca="false">IF(B599="","",IF(G599&lt;&gt;"",G599,E599))</f>
        <v/>
      </c>
      <c r="J599" s="21" t="str">
        <f aca="false">IF(B599="","",IF(H599&lt;&gt;"",H599,F599))</f>
        <v/>
      </c>
      <c r="K599" s="26" t="str">
        <f aca="false">IF(A599="","",DATE(YEAR(A599),MONTH(A599),1))</f>
        <v/>
      </c>
      <c r="L599" s="21" t="str">
        <f aca="false">IF(J599="",IF(B599="","",IF(N(C599)&gt;=0,"Income","Expense")),IFERROR(INDEX(Lists!$B$2:$B$30,MATCH(J599,Lists!$A$2:$A$30,0)),""))</f>
        <v/>
      </c>
      <c r="M599" s="24"/>
      <c r="N599" s="27" t="str">
        <f aca="false">IF(B599="","",IFERROR(1000-SUMPRODUCT(MAX(ISNUMBER(SEARCH(Rules!$A$5:$A$204,B599))*(Rules!$A$5:$A$204&lt;&gt;"")*(1000-ROW(Rules!$A$5:$A$204)))),""))</f>
        <v/>
      </c>
    </row>
    <row r="600" customFormat="false" ht="15" hidden="false" customHeight="false" outlineLevel="0" collapsed="false">
      <c r="A600" s="23"/>
      <c r="B600" s="24"/>
      <c r="C600" s="25"/>
      <c r="D600" s="24"/>
      <c r="E600" s="21" t="str">
        <f aca="false">IF(OR(B600="",N(N600)=0,N600=1000),IF(B600="","","Check"),INDEX(Rules!$B:$B,N600))</f>
        <v/>
      </c>
      <c r="F600" s="21" t="str">
        <f aca="false">IF(OR(B600="",N(N600)=0,N600=1000),"",INDEX(Rules!$C:$C,N600))</f>
        <v/>
      </c>
      <c r="G600" s="24"/>
      <c r="H600" s="24"/>
      <c r="I600" s="20" t="str">
        <f aca="false">IF(B600="","",IF(G600&lt;&gt;"",G600,E600))</f>
        <v/>
      </c>
      <c r="J600" s="21" t="str">
        <f aca="false">IF(B600="","",IF(H600&lt;&gt;"",H600,F600))</f>
        <v/>
      </c>
      <c r="K600" s="26" t="str">
        <f aca="false">IF(A600="","",DATE(YEAR(A600),MONTH(A600),1))</f>
        <v/>
      </c>
      <c r="L600" s="21" t="str">
        <f aca="false">IF(J600="",IF(B600="","",IF(N(C600)&gt;=0,"Income","Expense")),IFERROR(INDEX(Lists!$B$2:$B$30,MATCH(J600,Lists!$A$2:$A$30,0)),""))</f>
        <v/>
      </c>
      <c r="M600" s="24"/>
      <c r="N600" s="27" t="str">
        <f aca="false">IF(B600="","",IFERROR(1000-SUMPRODUCT(MAX(ISNUMBER(SEARCH(Rules!$A$5:$A$204,B600))*(Rules!$A$5:$A$204&lt;&gt;"")*(1000-ROW(Rules!$A$5:$A$204)))),""))</f>
        <v/>
      </c>
    </row>
    <row r="601" customFormat="false" ht="15" hidden="false" customHeight="false" outlineLevel="0" collapsed="false">
      <c r="A601" s="23"/>
      <c r="B601" s="24"/>
      <c r="C601" s="25"/>
      <c r="D601" s="24"/>
      <c r="E601" s="21" t="str">
        <f aca="false">IF(OR(B601="",N(N601)=0,N601=1000),IF(B601="","","Check"),INDEX(Rules!$B:$B,N601))</f>
        <v/>
      </c>
      <c r="F601" s="21" t="str">
        <f aca="false">IF(OR(B601="",N(N601)=0,N601=1000),"",INDEX(Rules!$C:$C,N601))</f>
        <v/>
      </c>
      <c r="G601" s="24"/>
      <c r="H601" s="24"/>
      <c r="I601" s="20" t="str">
        <f aca="false">IF(B601="","",IF(G601&lt;&gt;"",G601,E601))</f>
        <v/>
      </c>
      <c r="J601" s="21" t="str">
        <f aca="false">IF(B601="","",IF(H601&lt;&gt;"",H601,F601))</f>
        <v/>
      </c>
      <c r="K601" s="26" t="str">
        <f aca="false">IF(A601="","",DATE(YEAR(A601),MONTH(A601),1))</f>
        <v/>
      </c>
      <c r="L601" s="21" t="str">
        <f aca="false">IF(J601="",IF(B601="","",IF(N(C601)&gt;=0,"Income","Expense")),IFERROR(INDEX(Lists!$B$2:$B$30,MATCH(J601,Lists!$A$2:$A$30,0)),""))</f>
        <v/>
      </c>
      <c r="M601" s="24"/>
      <c r="N601" s="27" t="str">
        <f aca="false">IF(B601="","",IFERROR(1000-SUMPRODUCT(MAX(ISNUMBER(SEARCH(Rules!$A$5:$A$204,B601))*(Rules!$A$5:$A$204&lt;&gt;"")*(1000-ROW(Rules!$A$5:$A$204)))),""))</f>
        <v/>
      </c>
    </row>
    <row r="602" customFormat="false" ht="15" hidden="false" customHeight="false" outlineLevel="0" collapsed="false">
      <c r="A602" s="23"/>
      <c r="B602" s="24"/>
      <c r="C602" s="25"/>
      <c r="D602" s="24"/>
      <c r="E602" s="21" t="str">
        <f aca="false">IF(OR(B602="",N(N602)=0,N602=1000),IF(B602="","","Check"),INDEX(Rules!$B:$B,N602))</f>
        <v/>
      </c>
      <c r="F602" s="21" t="str">
        <f aca="false">IF(OR(B602="",N(N602)=0,N602=1000),"",INDEX(Rules!$C:$C,N602))</f>
        <v/>
      </c>
      <c r="G602" s="24"/>
      <c r="H602" s="24"/>
      <c r="I602" s="20" t="str">
        <f aca="false">IF(B602="","",IF(G602&lt;&gt;"",G602,E602))</f>
        <v/>
      </c>
      <c r="J602" s="21" t="str">
        <f aca="false">IF(B602="","",IF(H602&lt;&gt;"",H602,F602))</f>
        <v/>
      </c>
      <c r="K602" s="26" t="str">
        <f aca="false">IF(A602="","",DATE(YEAR(A602),MONTH(A602),1))</f>
        <v/>
      </c>
      <c r="L602" s="21" t="str">
        <f aca="false">IF(J602="",IF(B602="","",IF(N(C602)&gt;=0,"Income","Expense")),IFERROR(INDEX(Lists!$B$2:$B$30,MATCH(J602,Lists!$A$2:$A$30,0)),""))</f>
        <v/>
      </c>
      <c r="M602" s="24"/>
      <c r="N602" s="27" t="str">
        <f aca="false">IF(B602="","",IFERROR(1000-SUMPRODUCT(MAX(ISNUMBER(SEARCH(Rules!$A$5:$A$204,B602))*(Rules!$A$5:$A$204&lt;&gt;"")*(1000-ROW(Rules!$A$5:$A$204)))),""))</f>
        <v/>
      </c>
    </row>
    <row r="603" customFormat="false" ht="15" hidden="false" customHeight="false" outlineLevel="0" collapsed="false">
      <c r="A603" s="23"/>
      <c r="B603" s="24"/>
      <c r="C603" s="25"/>
      <c r="D603" s="24"/>
      <c r="E603" s="21" t="str">
        <f aca="false">IF(OR(B603="",N(N603)=0,N603=1000),IF(B603="","","Check"),INDEX(Rules!$B:$B,N603))</f>
        <v/>
      </c>
      <c r="F603" s="21" t="str">
        <f aca="false">IF(OR(B603="",N(N603)=0,N603=1000),"",INDEX(Rules!$C:$C,N603))</f>
        <v/>
      </c>
      <c r="G603" s="24"/>
      <c r="H603" s="24"/>
      <c r="I603" s="20" t="str">
        <f aca="false">IF(B603="","",IF(G603&lt;&gt;"",G603,E603))</f>
        <v/>
      </c>
      <c r="J603" s="21" t="str">
        <f aca="false">IF(B603="","",IF(H603&lt;&gt;"",H603,F603))</f>
        <v/>
      </c>
      <c r="K603" s="26" t="str">
        <f aca="false">IF(A603="","",DATE(YEAR(A603),MONTH(A603),1))</f>
        <v/>
      </c>
      <c r="L603" s="21" t="str">
        <f aca="false">IF(J603="",IF(B603="","",IF(N(C603)&gt;=0,"Income","Expense")),IFERROR(INDEX(Lists!$B$2:$B$30,MATCH(J603,Lists!$A$2:$A$30,0)),""))</f>
        <v/>
      </c>
      <c r="M603" s="24"/>
      <c r="N603" s="27" t="str">
        <f aca="false">IF(B603="","",IFERROR(1000-SUMPRODUCT(MAX(ISNUMBER(SEARCH(Rules!$A$5:$A$204,B603))*(Rules!$A$5:$A$204&lt;&gt;"")*(1000-ROW(Rules!$A$5:$A$204)))),""))</f>
        <v/>
      </c>
    </row>
    <row r="604" customFormat="false" ht="15" hidden="false" customHeight="false" outlineLevel="0" collapsed="false">
      <c r="A604" s="23"/>
      <c r="B604" s="24"/>
      <c r="C604" s="25"/>
      <c r="D604" s="24"/>
      <c r="E604" s="21" t="str">
        <f aca="false">IF(OR(B604="",N(N604)=0,N604=1000),IF(B604="","","Check"),INDEX(Rules!$B:$B,N604))</f>
        <v/>
      </c>
      <c r="F604" s="21" t="str">
        <f aca="false">IF(OR(B604="",N(N604)=0,N604=1000),"",INDEX(Rules!$C:$C,N604))</f>
        <v/>
      </c>
      <c r="G604" s="24"/>
      <c r="H604" s="24"/>
      <c r="I604" s="20" t="str">
        <f aca="false">IF(B604="","",IF(G604&lt;&gt;"",G604,E604))</f>
        <v/>
      </c>
      <c r="J604" s="21" t="str">
        <f aca="false">IF(B604="","",IF(H604&lt;&gt;"",H604,F604))</f>
        <v/>
      </c>
      <c r="K604" s="26" t="str">
        <f aca="false">IF(A604="","",DATE(YEAR(A604),MONTH(A604),1))</f>
        <v/>
      </c>
      <c r="L604" s="21" t="str">
        <f aca="false">IF(J604="",IF(B604="","",IF(N(C604)&gt;=0,"Income","Expense")),IFERROR(INDEX(Lists!$B$2:$B$30,MATCH(J604,Lists!$A$2:$A$30,0)),""))</f>
        <v/>
      </c>
      <c r="M604" s="24"/>
      <c r="N604" s="27" t="str">
        <f aca="false">IF(B604="","",IFERROR(1000-SUMPRODUCT(MAX(ISNUMBER(SEARCH(Rules!$A$5:$A$204,B604))*(Rules!$A$5:$A$204&lt;&gt;"")*(1000-ROW(Rules!$A$5:$A$204)))),""))</f>
        <v/>
      </c>
    </row>
    <row r="605" customFormat="false" ht="15" hidden="false" customHeight="false" outlineLevel="0" collapsed="false">
      <c r="A605" s="23"/>
      <c r="B605" s="24"/>
      <c r="C605" s="25"/>
      <c r="D605" s="24"/>
      <c r="E605" s="21" t="str">
        <f aca="false">IF(OR(B605="",N(N605)=0,N605=1000),IF(B605="","","Check"),INDEX(Rules!$B:$B,N605))</f>
        <v/>
      </c>
      <c r="F605" s="21" t="str">
        <f aca="false">IF(OR(B605="",N(N605)=0,N605=1000),"",INDEX(Rules!$C:$C,N605))</f>
        <v/>
      </c>
      <c r="G605" s="24"/>
      <c r="H605" s="24"/>
      <c r="I605" s="20" t="str">
        <f aca="false">IF(B605="","",IF(G605&lt;&gt;"",G605,E605))</f>
        <v/>
      </c>
      <c r="J605" s="21" t="str">
        <f aca="false">IF(B605="","",IF(H605&lt;&gt;"",H605,F605))</f>
        <v/>
      </c>
      <c r="K605" s="26" t="str">
        <f aca="false">IF(A605="","",DATE(YEAR(A605),MONTH(A605),1))</f>
        <v/>
      </c>
      <c r="L605" s="21" t="str">
        <f aca="false">IF(J605="",IF(B605="","",IF(N(C605)&gt;=0,"Income","Expense")),IFERROR(INDEX(Lists!$B$2:$B$30,MATCH(J605,Lists!$A$2:$A$30,0)),""))</f>
        <v/>
      </c>
      <c r="M605" s="24"/>
      <c r="N605" s="27" t="str">
        <f aca="false">IF(B605="","",IFERROR(1000-SUMPRODUCT(MAX(ISNUMBER(SEARCH(Rules!$A$5:$A$204,B605))*(Rules!$A$5:$A$204&lt;&gt;"")*(1000-ROW(Rules!$A$5:$A$204)))),""))</f>
        <v/>
      </c>
    </row>
    <row r="606" customFormat="false" ht="15" hidden="false" customHeight="false" outlineLevel="0" collapsed="false">
      <c r="A606" s="23"/>
      <c r="B606" s="24"/>
      <c r="C606" s="25"/>
      <c r="D606" s="24"/>
      <c r="E606" s="21" t="str">
        <f aca="false">IF(OR(B606="",N(N606)=0,N606=1000),IF(B606="","","Check"),INDEX(Rules!$B:$B,N606))</f>
        <v/>
      </c>
      <c r="F606" s="21" t="str">
        <f aca="false">IF(OR(B606="",N(N606)=0,N606=1000),"",INDEX(Rules!$C:$C,N606))</f>
        <v/>
      </c>
      <c r="G606" s="24"/>
      <c r="H606" s="24"/>
      <c r="I606" s="20" t="str">
        <f aca="false">IF(B606="","",IF(G606&lt;&gt;"",G606,E606))</f>
        <v/>
      </c>
      <c r="J606" s="21" t="str">
        <f aca="false">IF(B606="","",IF(H606&lt;&gt;"",H606,F606))</f>
        <v/>
      </c>
      <c r="K606" s="26" t="str">
        <f aca="false">IF(A606="","",DATE(YEAR(A606),MONTH(A606),1))</f>
        <v/>
      </c>
      <c r="L606" s="21" t="str">
        <f aca="false">IF(J606="",IF(B606="","",IF(N(C606)&gt;=0,"Income","Expense")),IFERROR(INDEX(Lists!$B$2:$B$30,MATCH(J606,Lists!$A$2:$A$30,0)),""))</f>
        <v/>
      </c>
      <c r="M606" s="24"/>
      <c r="N606" s="27" t="str">
        <f aca="false">IF(B606="","",IFERROR(1000-SUMPRODUCT(MAX(ISNUMBER(SEARCH(Rules!$A$5:$A$204,B606))*(Rules!$A$5:$A$204&lt;&gt;"")*(1000-ROW(Rules!$A$5:$A$204)))),""))</f>
        <v/>
      </c>
    </row>
    <row r="607" customFormat="false" ht="15" hidden="false" customHeight="false" outlineLevel="0" collapsed="false">
      <c r="A607" s="23"/>
      <c r="B607" s="24"/>
      <c r="C607" s="25"/>
      <c r="D607" s="24"/>
      <c r="E607" s="21" t="str">
        <f aca="false">IF(OR(B607="",N(N607)=0,N607=1000),IF(B607="","","Check"),INDEX(Rules!$B:$B,N607))</f>
        <v/>
      </c>
      <c r="F607" s="21" t="str">
        <f aca="false">IF(OR(B607="",N(N607)=0,N607=1000),"",INDEX(Rules!$C:$C,N607))</f>
        <v/>
      </c>
      <c r="G607" s="24"/>
      <c r="H607" s="24"/>
      <c r="I607" s="20" t="str">
        <f aca="false">IF(B607="","",IF(G607&lt;&gt;"",G607,E607))</f>
        <v/>
      </c>
      <c r="J607" s="21" t="str">
        <f aca="false">IF(B607="","",IF(H607&lt;&gt;"",H607,F607))</f>
        <v/>
      </c>
      <c r="K607" s="26" t="str">
        <f aca="false">IF(A607="","",DATE(YEAR(A607),MONTH(A607),1))</f>
        <v/>
      </c>
      <c r="L607" s="21" t="str">
        <f aca="false">IF(J607="",IF(B607="","",IF(N(C607)&gt;=0,"Income","Expense")),IFERROR(INDEX(Lists!$B$2:$B$30,MATCH(J607,Lists!$A$2:$A$30,0)),""))</f>
        <v/>
      </c>
      <c r="M607" s="24"/>
      <c r="N607" s="27" t="str">
        <f aca="false">IF(B607="","",IFERROR(1000-SUMPRODUCT(MAX(ISNUMBER(SEARCH(Rules!$A$5:$A$204,B607))*(Rules!$A$5:$A$204&lt;&gt;"")*(1000-ROW(Rules!$A$5:$A$204)))),""))</f>
        <v/>
      </c>
    </row>
    <row r="608" customFormat="false" ht="15" hidden="false" customHeight="false" outlineLevel="0" collapsed="false">
      <c r="A608" s="23"/>
      <c r="B608" s="24"/>
      <c r="C608" s="25"/>
      <c r="D608" s="24"/>
      <c r="E608" s="21" t="str">
        <f aca="false">IF(OR(B608="",N(N608)=0,N608=1000),IF(B608="","","Check"),INDEX(Rules!$B:$B,N608))</f>
        <v/>
      </c>
      <c r="F608" s="21" t="str">
        <f aca="false">IF(OR(B608="",N(N608)=0,N608=1000),"",INDEX(Rules!$C:$C,N608))</f>
        <v/>
      </c>
      <c r="G608" s="24"/>
      <c r="H608" s="24"/>
      <c r="I608" s="20" t="str">
        <f aca="false">IF(B608="","",IF(G608&lt;&gt;"",G608,E608))</f>
        <v/>
      </c>
      <c r="J608" s="21" t="str">
        <f aca="false">IF(B608="","",IF(H608&lt;&gt;"",H608,F608))</f>
        <v/>
      </c>
      <c r="K608" s="26" t="str">
        <f aca="false">IF(A608="","",DATE(YEAR(A608),MONTH(A608),1))</f>
        <v/>
      </c>
      <c r="L608" s="21" t="str">
        <f aca="false">IF(J608="",IF(B608="","",IF(N(C608)&gt;=0,"Income","Expense")),IFERROR(INDEX(Lists!$B$2:$B$30,MATCH(J608,Lists!$A$2:$A$30,0)),""))</f>
        <v/>
      </c>
      <c r="M608" s="24"/>
      <c r="N608" s="27" t="str">
        <f aca="false">IF(B608="","",IFERROR(1000-SUMPRODUCT(MAX(ISNUMBER(SEARCH(Rules!$A$5:$A$204,B608))*(Rules!$A$5:$A$204&lt;&gt;"")*(1000-ROW(Rules!$A$5:$A$204)))),""))</f>
        <v/>
      </c>
    </row>
    <row r="609" customFormat="false" ht="15" hidden="false" customHeight="false" outlineLevel="0" collapsed="false">
      <c r="A609" s="23"/>
      <c r="B609" s="24"/>
      <c r="C609" s="25"/>
      <c r="D609" s="24"/>
      <c r="E609" s="21" t="str">
        <f aca="false">IF(OR(B609="",N(N609)=0,N609=1000),IF(B609="","","Check"),INDEX(Rules!$B:$B,N609))</f>
        <v/>
      </c>
      <c r="F609" s="21" t="str">
        <f aca="false">IF(OR(B609="",N(N609)=0,N609=1000),"",INDEX(Rules!$C:$C,N609))</f>
        <v/>
      </c>
      <c r="G609" s="24"/>
      <c r="H609" s="24"/>
      <c r="I609" s="20" t="str">
        <f aca="false">IF(B609="","",IF(G609&lt;&gt;"",G609,E609))</f>
        <v/>
      </c>
      <c r="J609" s="21" t="str">
        <f aca="false">IF(B609="","",IF(H609&lt;&gt;"",H609,F609))</f>
        <v/>
      </c>
      <c r="K609" s="26" t="str">
        <f aca="false">IF(A609="","",DATE(YEAR(A609),MONTH(A609),1))</f>
        <v/>
      </c>
      <c r="L609" s="21" t="str">
        <f aca="false">IF(J609="",IF(B609="","",IF(N(C609)&gt;=0,"Income","Expense")),IFERROR(INDEX(Lists!$B$2:$B$30,MATCH(J609,Lists!$A$2:$A$30,0)),""))</f>
        <v/>
      </c>
      <c r="M609" s="24"/>
      <c r="N609" s="27" t="str">
        <f aca="false">IF(B609="","",IFERROR(1000-SUMPRODUCT(MAX(ISNUMBER(SEARCH(Rules!$A$5:$A$204,B609))*(Rules!$A$5:$A$204&lt;&gt;"")*(1000-ROW(Rules!$A$5:$A$204)))),""))</f>
        <v/>
      </c>
    </row>
    <row r="610" customFormat="false" ht="15" hidden="false" customHeight="false" outlineLevel="0" collapsed="false">
      <c r="A610" s="23"/>
      <c r="B610" s="24"/>
      <c r="C610" s="25"/>
      <c r="D610" s="24"/>
      <c r="E610" s="21" t="str">
        <f aca="false">IF(OR(B610="",N(N610)=0,N610=1000),IF(B610="","","Check"),INDEX(Rules!$B:$B,N610))</f>
        <v/>
      </c>
      <c r="F610" s="21" t="str">
        <f aca="false">IF(OR(B610="",N(N610)=0,N610=1000),"",INDEX(Rules!$C:$C,N610))</f>
        <v/>
      </c>
      <c r="G610" s="24"/>
      <c r="H610" s="24"/>
      <c r="I610" s="20" t="str">
        <f aca="false">IF(B610="","",IF(G610&lt;&gt;"",G610,E610))</f>
        <v/>
      </c>
      <c r="J610" s="21" t="str">
        <f aca="false">IF(B610="","",IF(H610&lt;&gt;"",H610,F610))</f>
        <v/>
      </c>
      <c r="K610" s="26" t="str">
        <f aca="false">IF(A610="","",DATE(YEAR(A610),MONTH(A610),1))</f>
        <v/>
      </c>
      <c r="L610" s="21" t="str">
        <f aca="false">IF(J610="",IF(B610="","",IF(N(C610)&gt;=0,"Income","Expense")),IFERROR(INDEX(Lists!$B$2:$B$30,MATCH(J610,Lists!$A$2:$A$30,0)),""))</f>
        <v/>
      </c>
      <c r="M610" s="24"/>
      <c r="N610" s="27" t="str">
        <f aca="false">IF(B610="","",IFERROR(1000-SUMPRODUCT(MAX(ISNUMBER(SEARCH(Rules!$A$5:$A$204,B610))*(Rules!$A$5:$A$204&lt;&gt;"")*(1000-ROW(Rules!$A$5:$A$204)))),""))</f>
        <v/>
      </c>
    </row>
    <row r="611" customFormat="false" ht="15" hidden="false" customHeight="false" outlineLevel="0" collapsed="false">
      <c r="A611" s="23"/>
      <c r="B611" s="24"/>
      <c r="C611" s="25"/>
      <c r="D611" s="24"/>
      <c r="E611" s="21" t="str">
        <f aca="false">IF(OR(B611="",N(N611)=0,N611=1000),IF(B611="","","Check"),INDEX(Rules!$B:$B,N611))</f>
        <v/>
      </c>
      <c r="F611" s="21" t="str">
        <f aca="false">IF(OR(B611="",N(N611)=0,N611=1000),"",INDEX(Rules!$C:$C,N611))</f>
        <v/>
      </c>
      <c r="G611" s="24"/>
      <c r="H611" s="24"/>
      <c r="I611" s="20" t="str">
        <f aca="false">IF(B611="","",IF(G611&lt;&gt;"",G611,E611))</f>
        <v/>
      </c>
      <c r="J611" s="21" t="str">
        <f aca="false">IF(B611="","",IF(H611&lt;&gt;"",H611,F611))</f>
        <v/>
      </c>
      <c r="K611" s="26" t="str">
        <f aca="false">IF(A611="","",DATE(YEAR(A611),MONTH(A611),1))</f>
        <v/>
      </c>
      <c r="L611" s="21" t="str">
        <f aca="false">IF(J611="",IF(B611="","",IF(N(C611)&gt;=0,"Income","Expense")),IFERROR(INDEX(Lists!$B$2:$B$30,MATCH(J611,Lists!$A$2:$A$30,0)),""))</f>
        <v/>
      </c>
      <c r="M611" s="24"/>
      <c r="N611" s="27" t="str">
        <f aca="false">IF(B611="","",IFERROR(1000-SUMPRODUCT(MAX(ISNUMBER(SEARCH(Rules!$A$5:$A$204,B611))*(Rules!$A$5:$A$204&lt;&gt;"")*(1000-ROW(Rules!$A$5:$A$204)))),""))</f>
        <v/>
      </c>
    </row>
    <row r="612" customFormat="false" ht="15" hidden="false" customHeight="false" outlineLevel="0" collapsed="false">
      <c r="A612" s="23"/>
      <c r="B612" s="24"/>
      <c r="C612" s="25"/>
      <c r="D612" s="24"/>
      <c r="E612" s="21" t="str">
        <f aca="false">IF(OR(B612="",N(N612)=0,N612=1000),IF(B612="","","Check"),INDEX(Rules!$B:$B,N612))</f>
        <v/>
      </c>
      <c r="F612" s="21" t="str">
        <f aca="false">IF(OR(B612="",N(N612)=0,N612=1000),"",INDEX(Rules!$C:$C,N612))</f>
        <v/>
      </c>
      <c r="G612" s="24"/>
      <c r="H612" s="24"/>
      <c r="I612" s="20" t="str">
        <f aca="false">IF(B612="","",IF(G612&lt;&gt;"",G612,E612))</f>
        <v/>
      </c>
      <c r="J612" s="21" t="str">
        <f aca="false">IF(B612="","",IF(H612&lt;&gt;"",H612,F612))</f>
        <v/>
      </c>
      <c r="K612" s="26" t="str">
        <f aca="false">IF(A612="","",DATE(YEAR(A612),MONTH(A612),1))</f>
        <v/>
      </c>
      <c r="L612" s="21" t="str">
        <f aca="false">IF(J612="",IF(B612="","",IF(N(C612)&gt;=0,"Income","Expense")),IFERROR(INDEX(Lists!$B$2:$B$30,MATCH(J612,Lists!$A$2:$A$30,0)),""))</f>
        <v/>
      </c>
      <c r="M612" s="24"/>
      <c r="N612" s="27" t="str">
        <f aca="false">IF(B612="","",IFERROR(1000-SUMPRODUCT(MAX(ISNUMBER(SEARCH(Rules!$A$5:$A$204,B612))*(Rules!$A$5:$A$204&lt;&gt;"")*(1000-ROW(Rules!$A$5:$A$204)))),""))</f>
        <v/>
      </c>
    </row>
    <row r="613" customFormat="false" ht="15" hidden="false" customHeight="false" outlineLevel="0" collapsed="false">
      <c r="A613" s="23"/>
      <c r="B613" s="24"/>
      <c r="C613" s="25"/>
      <c r="D613" s="24"/>
      <c r="E613" s="21" t="str">
        <f aca="false">IF(OR(B613="",N(N613)=0,N613=1000),IF(B613="","","Check"),INDEX(Rules!$B:$B,N613))</f>
        <v/>
      </c>
      <c r="F613" s="21" t="str">
        <f aca="false">IF(OR(B613="",N(N613)=0,N613=1000),"",INDEX(Rules!$C:$C,N613))</f>
        <v/>
      </c>
      <c r="G613" s="24"/>
      <c r="H613" s="24"/>
      <c r="I613" s="20" t="str">
        <f aca="false">IF(B613="","",IF(G613&lt;&gt;"",G613,E613))</f>
        <v/>
      </c>
      <c r="J613" s="21" t="str">
        <f aca="false">IF(B613="","",IF(H613&lt;&gt;"",H613,F613))</f>
        <v/>
      </c>
      <c r="K613" s="26" t="str">
        <f aca="false">IF(A613="","",DATE(YEAR(A613),MONTH(A613),1))</f>
        <v/>
      </c>
      <c r="L613" s="21" t="str">
        <f aca="false">IF(J613="",IF(B613="","",IF(N(C613)&gt;=0,"Income","Expense")),IFERROR(INDEX(Lists!$B$2:$B$30,MATCH(J613,Lists!$A$2:$A$30,0)),""))</f>
        <v/>
      </c>
      <c r="M613" s="24"/>
      <c r="N613" s="27" t="str">
        <f aca="false">IF(B613="","",IFERROR(1000-SUMPRODUCT(MAX(ISNUMBER(SEARCH(Rules!$A$5:$A$204,B613))*(Rules!$A$5:$A$204&lt;&gt;"")*(1000-ROW(Rules!$A$5:$A$204)))),""))</f>
        <v/>
      </c>
    </row>
    <row r="614" customFormat="false" ht="15" hidden="false" customHeight="false" outlineLevel="0" collapsed="false">
      <c r="A614" s="23"/>
      <c r="B614" s="24"/>
      <c r="C614" s="25"/>
      <c r="D614" s="24"/>
      <c r="E614" s="21" t="str">
        <f aca="false">IF(OR(B614="",N(N614)=0,N614=1000),IF(B614="","","Check"),INDEX(Rules!$B:$B,N614))</f>
        <v/>
      </c>
      <c r="F614" s="21" t="str">
        <f aca="false">IF(OR(B614="",N(N614)=0,N614=1000),"",INDEX(Rules!$C:$C,N614))</f>
        <v/>
      </c>
      <c r="G614" s="24"/>
      <c r="H614" s="24"/>
      <c r="I614" s="20" t="str">
        <f aca="false">IF(B614="","",IF(G614&lt;&gt;"",G614,E614))</f>
        <v/>
      </c>
      <c r="J614" s="21" t="str">
        <f aca="false">IF(B614="","",IF(H614&lt;&gt;"",H614,F614))</f>
        <v/>
      </c>
      <c r="K614" s="26" t="str">
        <f aca="false">IF(A614="","",DATE(YEAR(A614),MONTH(A614),1))</f>
        <v/>
      </c>
      <c r="L614" s="21" t="str">
        <f aca="false">IF(J614="",IF(B614="","",IF(N(C614)&gt;=0,"Income","Expense")),IFERROR(INDEX(Lists!$B$2:$B$30,MATCH(J614,Lists!$A$2:$A$30,0)),""))</f>
        <v/>
      </c>
      <c r="M614" s="24"/>
      <c r="N614" s="27" t="str">
        <f aca="false">IF(B614="","",IFERROR(1000-SUMPRODUCT(MAX(ISNUMBER(SEARCH(Rules!$A$5:$A$204,B614))*(Rules!$A$5:$A$204&lt;&gt;"")*(1000-ROW(Rules!$A$5:$A$204)))),""))</f>
        <v/>
      </c>
    </row>
    <row r="615" customFormat="false" ht="15" hidden="false" customHeight="false" outlineLevel="0" collapsed="false">
      <c r="A615" s="23"/>
      <c r="B615" s="24"/>
      <c r="C615" s="25"/>
      <c r="D615" s="24"/>
      <c r="E615" s="21" t="str">
        <f aca="false">IF(OR(B615="",N(N615)=0,N615=1000),IF(B615="","","Check"),INDEX(Rules!$B:$B,N615))</f>
        <v/>
      </c>
      <c r="F615" s="21" t="str">
        <f aca="false">IF(OR(B615="",N(N615)=0,N615=1000),"",INDEX(Rules!$C:$C,N615))</f>
        <v/>
      </c>
      <c r="G615" s="24"/>
      <c r="H615" s="24"/>
      <c r="I615" s="20" t="str">
        <f aca="false">IF(B615="","",IF(G615&lt;&gt;"",G615,E615))</f>
        <v/>
      </c>
      <c r="J615" s="21" t="str">
        <f aca="false">IF(B615="","",IF(H615&lt;&gt;"",H615,F615))</f>
        <v/>
      </c>
      <c r="K615" s="26" t="str">
        <f aca="false">IF(A615="","",DATE(YEAR(A615),MONTH(A615),1))</f>
        <v/>
      </c>
      <c r="L615" s="21" t="str">
        <f aca="false">IF(J615="",IF(B615="","",IF(N(C615)&gt;=0,"Income","Expense")),IFERROR(INDEX(Lists!$B$2:$B$30,MATCH(J615,Lists!$A$2:$A$30,0)),""))</f>
        <v/>
      </c>
      <c r="M615" s="24"/>
      <c r="N615" s="27" t="str">
        <f aca="false">IF(B615="","",IFERROR(1000-SUMPRODUCT(MAX(ISNUMBER(SEARCH(Rules!$A$5:$A$204,B615))*(Rules!$A$5:$A$204&lt;&gt;"")*(1000-ROW(Rules!$A$5:$A$204)))),""))</f>
        <v/>
      </c>
    </row>
    <row r="616" customFormat="false" ht="15" hidden="false" customHeight="false" outlineLevel="0" collapsed="false">
      <c r="A616" s="23"/>
      <c r="B616" s="24"/>
      <c r="C616" s="25"/>
      <c r="D616" s="24"/>
      <c r="E616" s="21" t="str">
        <f aca="false">IF(OR(B616="",N(N616)=0,N616=1000),IF(B616="","","Check"),INDEX(Rules!$B:$B,N616))</f>
        <v/>
      </c>
      <c r="F616" s="21" t="str">
        <f aca="false">IF(OR(B616="",N(N616)=0,N616=1000),"",INDEX(Rules!$C:$C,N616))</f>
        <v/>
      </c>
      <c r="G616" s="24"/>
      <c r="H616" s="24"/>
      <c r="I616" s="20" t="str">
        <f aca="false">IF(B616="","",IF(G616&lt;&gt;"",G616,E616))</f>
        <v/>
      </c>
      <c r="J616" s="21" t="str">
        <f aca="false">IF(B616="","",IF(H616&lt;&gt;"",H616,F616))</f>
        <v/>
      </c>
      <c r="K616" s="26" t="str">
        <f aca="false">IF(A616="","",DATE(YEAR(A616),MONTH(A616),1))</f>
        <v/>
      </c>
      <c r="L616" s="21" t="str">
        <f aca="false">IF(J616="",IF(B616="","",IF(N(C616)&gt;=0,"Income","Expense")),IFERROR(INDEX(Lists!$B$2:$B$30,MATCH(J616,Lists!$A$2:$A$30,0)),""))</f>
        <v/>
      </c>
      <c r="M616" s="24"/>
      <c r="N616" s="27" t="str">
        <f aca="false">IF(B616="","",IFERROR(1000-SUMPRODUCT(MAX(ISNUMBER(SEARCH(Rules!$A$5:$A$204,B616))*(Rules!$A$5:$A$204&lt;&gt;"")*(1000-ROW(Rules!$A$5:$A$204)))),""))</f>
        <v/>
      </c>
    </row>
    <row r="617" customFormat="false" ht="15" hidden="false" customHeight="false" outlineLevel="0" collapsed="false">
      <c r="A617" s="23"/>
      <c r="B617" s="24"/>
      <c r="C617" s="25"/>
      <c r="D617" s="24"/>
      <c r="E617" s="21" t="str">
        <f aca="false">IF(OR(B617="",N(N617)=0,N617=1000),IF(B617="","","Check"),INDEX(Rules!$B:$B,N617))</f>
        <v/>
      </c>
      <c r="F617" s="21" t="str">
        <f aca="false">IF(OR(B617="",N(N617)=0,N617=1000),"",INDEX(Rules!$C:$C,N617))</f>
        <v/>
      </c>
      <c r="G617" s="24"/>
      <c r="H617" s="24"/>
      <c r="I617" s="20" t="str">
        <f aca="false">IF(B617="","",IF(G617&lt;&gt;"",G617,E617))</f>
        <v/>
      </c>
      <c r="J617" s="21" t="str">
        <f aca="false">IF(B617="","",IF(H617&lt;&gt;"",H617,F617))</f>
        <v/>
      </c>
      <c r="K617" s="26" t="str">
        <f aca="false">IF(A617="","",DATE(YEAR(A617),MONTH(A617),1))</f>
        <v/>
      </c>
      <c r="L617" s="21" t="str">
        <f aca="false">IF(J617="",IF(B617="","",IF(N(C617)&gt;=0,"Income","Expense")),IFERROR(INDEX(Lists!$B$2:$B$30,MATCH(J617,Lists!$A$2:$A$30,0)),""))</f>
        <v/>
      </c>
      <c r="M617" s="24"/>
      <c r="N617" s="27" t="str">
        <f aca="false">IF(B617="","",IFERROR(1000-SUMPRODUCT(MAX(ISNUMBER(SEARCH(Rules!$A$5:$A$204,B617))*(Rules!$A$5:$A$204&lt;&gt;"")*(1000-ROW(Rules!$A$5:$A$204)))),""))</f>
        <v/>
      </c>
    </row>
    <row r="618" customFormat="false" ht="15" hidden="false" customHeight="false" outlineLevel="0" collapsed="false">
      <c r="A618" s="23"/>
      <c r="B618" s="24"/>
      <c r="C618" s="25"/>
      <c r="D618" s="24"/>
      <c r="E618" s="21" t="str">
        <f aca="false">IF(OR(B618="",N(N618)=0,N618=1000),IF(B618="","","Check"),INDEX(Rules!$B:$B,N618))</f>
        <v/>
      </c>
      <c r="F618" s="21" t="str">
        <f aca="false">IF(OR(B618="",N(N618)=0,N618=1000),"",INDEX(Rules!$C:$C,N618))</f>
        <v/>
      </c>
      <c r="G618" s="24"/>
      <c r="H618" s="24"/>
      <c r="I618" s="20" t="str">
        <f aca="false">IF(B618="","",IF(G618&lt;&gt;"",G618,E618))</f>
        <v/>
      </c>
      <c r="J618" s="21" t="str">
        <f aca="false">IF(B618="","",IF(H618&lt;&gt;"",H618,F618))</f>
        <v/>
      </c>
      <c r="K618" s="26" t="str">
        <f aca="false">IF(A618="","",DATE(YEAR(A618),MONTH(A618),1))</f>
        <v/>
      </c>
      <c r="L618" s="21" t="str">
        <f aca="false">IF(J618="",IF(B618="","",IF(N(C618)&gt;=0,"Income","Expense")),IFERROR(INDEX(Lists!$B$2:$B$30,MATCH(J618,Lists!$A$2:$A$30,0)),""))</f>
        <v/>
      </c>
      <c r="M618" s="24"/>
      <c r="N618" s="27" t="str">
        <f aca="false">IF(B618="","",IFERROR(1000-SUMPRODUCT(MAX(ISNUMBER(SEARCH(Rules!$A$5:$A$204,B618))*(Rules!$A$5:$A$204&lt;&gt;"")*(1000-ROW(Rules!$A$5:$A$204)))),""))</f>
        <v/>
      </c>
    </row>
    <row r="619" customFormat="false" ht="15" hidden="false" customHeight="false" outlineLevel="0" collapsed="false">
      <c r="A619" s="23"/>
      <c r="B619" s="24"/>
      <c r="C619" s="25"/>
      <c r="D619" s="24"/>
      <c r="E619" s="21" t="str">
        <f aca="false">IF(OR(B619="",N(N619)=0,N619=1000),IF(B619="","","Check"),INDEX(Rules!$B:$B,N619))</f>
        <v/>
      </c>
      <c r="F619" s="21" t="str">
        <f aca="false">IF(OR(B619="",N(N619)=0,N619=1000),"",INDEX(Rules!$C:$C,N619))</f>
        <v/>
      </c>
      <c r="G619" s="24"/>
      <c r="H619" s="24"/>
      <c r="I619" s="20" t="str">
        <f aca="false">IF(B619="","",IF(G619&lt;&gt;"",G619,E619))</f>
        <v/>
      </c>
      <c r="J619" s="21" t="str">
        <f aca="false">IF(B619="","",IF(H619&lt;&gt;"",H619,F619))</f>
        <v/>
      </c>
      <c r="K619" s="26" t="str">
        <f aca="false">IF(A619="","",DATE(YEAR(A619),MONTH(A619),1))</f>
        <v/>
      </c>
      <c r="L619" s="21" t="str">
        <f aca="false">IF(J619="",IF(B619="","",IF(N(C619)&gt;=0,"Income","Expense")),IFERROR(INDEX(Lists!$B$2:$B$30,MATCH(J619,Lists!$A$2:$A$30,0)),""))</f>
        <v/>
      </c>
      <c r="M619" s="24"/>
      <c r="N619" s="27" t="str">
        <f aca="false">IF(B619="","",IFERROR(1000-SUMPRODUCT(MAX(ISNUMBER(SEARCH(Rules!$A$5:$A$204,B619))*(Rules!$A$5:$A$204&lt;&gt;"")*(1000-ROW(Rules!$A$5:$A$204)))),""))</f>
        <v/>
      </c>
    </row>
    <row r="620" customFormat="false" ht="15" hidden="false" customHeight="false" outlineLevel="0" collapsed="false">
      <c r="A620" s="23"/>
      <c r="B620" s="24"/>
      <c r="C620" s="25"/>
      <c r="D620" s="24"/>
      <c r="E620" s="21" t="str">
        <f aca="false">IF(OR(B620="",N(N620)=0,N620=1000),IF(B620="","","Check"),INDEX(Rules!$B:$B,N620))</f>
        <v/>
      </c>
      <c r="F620" s="21" t="str">
        <f aca="false">IF(OR(B620="",N(N620)=0,N620=1000),"",INDEX(Rules!$C:$C,N620))</f>
        <v/>
      </c>
      <c r="G620" s="24"/>
      <c r="H620" s="24"/>
      <c r="I620" s="20" t="str">
        <f aca="false">IF(B620="","",IF(G620&lt;&gt;"",G620,E620))</f>
        <v/>
      </c>
      <c r="J620" s="21" t="str">
        <f aca="false">IF(B620="","",IF(H620&lt;&gt;"",H620,F620))</f>
        <v/>
      </c>
      <c r="K620" s="26" t="str">
        <f aca="false">IF(A620="","",DATE(YEAR(A620),MONTH(A620),1))</f>
        <v/>
      </c>
      <c r="L620" s="21" t="str">
        <f aca="false">IF(J620="",IF(B620="","",IF(N(C620)&gt;=0,"Income","Expense")),IFERROR(INDEX(Lists!$B$2:$B$30,MATCH(J620,Lists!$A$2:$A$30,0)),""))</f>
        <v/>
      </c>
      <c r="M620" s="24"/>
      <c r="N620" s="27" t="str">
        <f aca="false">IF(B620="","",IFERROR(1000-SUMPRODUCT(MAX(ISNUMBER(SEARCH(Rules!$A$5:$A$204,B620))*(Rules!$A$5:$A$204&lt;&gt;"")*(1000-ROW(Rules!$A$5:$A$204)))),""))</f>
        <v/>
      </c>
    </row>
    <row r="621" customFormat="false" ht="15" hidden="false" customHeight="false" outlineLevel="0" collapsed="false">
      <c r="A621" s="23"/>
      <c r="B621" s="24"/>
      <c r="C621" s="25"/>
      <c r="D621" s="24"/>
      <c r="E621" s="21" t="str">
        <f aca="false">IF(OR(B621="",N(N621)=0,N621=1000),IF(B621="","","Check"),INDEX(Rules!$B:$B,N621))</f>
        <v/>
      </c>
      <c r="F621" s="21" t="str">
        <f aca="false">IF(OR(B621="",N(N621)=0,N621=1000),"",INDEX(Rules!$C:$C,N621))</f>
        <v/>
      </c>
      <c r="G621" s="24"/>
      <c r="H621" s="24"/>
      <c r="I621" s="20" t="str">
        <f aca="false">IF(B621="","",IF(G621&lt;&gt;"",G621,E621))</f>
        <v/>
      </c>
      <c r="J621" s="21" t="str">
        <f aca="false">IF(B621="","",IF(H621&lt;&gt;"",H621,F621))</f>
        <v/>
      </c>
      <c r="K621" s="26" t="str">
        <f aca="false">IF(A621="","",DATE(YEAR(A621),MONTH(A621),1))</f>
        <v/>
      </c>
      <c r="L621" s="21" t="str">
        <f aca="false">IF(J621="",IF(B621="","",IF(N(C621)&gt;=0,"Income","Expense")),IFERROR(INDEX(Lists!$B$2:$B$30,MATCH(J621,Lists!$A$2:$A$30,0)),""))</f>
        <v/>
      </c>
      <c r="M621" s="24"/>
      <c r="N621" s="27" t="str">
        <f aca="false">IF(B621="","",IFERROR(1000-SUMPRODUCT(MAX(ISNUMBER(SEARCH(Rules!$A$5:$A$204,B621))*(Rules!$A$5:$A$204&lt;&gt;"")*(1000-ROW(Rules!$A$5:$A$204)))),""))</f>
        <v/>
      </c>
    </row>
    <row r="622" customFormat="false" ht="15" hidden="false" customHeight="false" outlineLevel="0" collapsed="false">
      <c r="A622" s="23"/>
      <c r="B622" s="24"/>
      <c r="C622" s="25"/>
      <c r="D622" s="24"/>
      <c r="E622" s="21" t="str">
        <f aca="false">IF(OR(B622="",N(N622)=0,N622=1000),IF(B622="","","Check"),INDEX(Rules!$B:$B,N622))</f>
        <v/>
      </c>
      <c r="F622" s="21" t="str">
        <f aca="false">IF(OR(B622="",N(N622)=0,N622=1000),"",INDEX(Rules!$C:$C,N622))</f>
        <v/>
      </c>
      <c r="G622" s="24"/>
      <c r="H622" s="24"/>
      <c r="I622" s="20" t="str">
        <f aca="false">IF(B622="","",IF(G622&lt;&gt;"",G622,E622))</f>
        <v/>
      </c>
      <c r="J622" s="21" t="str">
        <f aca="false">IF(B622="","",IF(H622&lt;&gt;"",H622,F622))</f>
        <v/>
      </c>
      <c r="K622" s="26" t="str">
        <f aca="false">IF(A622="","",DATE(YEAR(A622),MONTH(A622),1))</f>
        <v/>
      </c>
      <c r="L622" s="21" t="str">
        <f aca="false">IF(J622="",IF(B622="","",IF(N(C622)&gt;=0,"Income","Expense")),IFERROR(INDEX(Lists!$B$2:$B$30,MATCH(J622,Lists!$A$2:$A$30,0)),""))</f>
        <v/>
      </c>
      <c r="M622" s="24"/>
      <c r="N622" s="27" t="str">
        <f aca="false">IF(B622="","",IFERROR(1000-SUMPRODUCT(MAX(ISNUMBER(SEARCH(Rules!$A$5:$A$204,B622))*(Rules!$A$5:$A$204&lt;&gt;"")*(1000-ROW(Rules!$A$5:$A$204)))),""))</f>
        <v/>
      </c>
    </row>
    <row r="623" customFormat="false" ht="15" hidden="false" customHeight="false" outlineLevel="0" collapsed="false">
      <c r="A623" s="23"/>
      <c r="B623" s="24"/>
      <c r="C623" s="25"/>
      <c r="D623" s="24"/>
      <c r="E623" s="21" t="str">
        <f aca="false">IF(OR(B623="",N(N623)=0,N623=1000),IF(B623="","","Check"),INDEX(Rules!$B:$B,N623))</f>
        <v/>
      </c>
      <c r="F623" s="21" t="str">
        <f aca="false">IF(OR(B623="",N(N623)=0,N623=1000),"",INDEX(Rules!$C:$C,N623))</f>
        <v/>
      </c>
      <c r="G623" s="24"/>
      <c r="H623" s="24"/>
      <c r="I623" s="20" t="str">
        <f aca="false">IF(B623="","",IF(G623&lt;&gt;"",G623,E623))</f>
        <v/>
      </c>
      <c r="J623" s="21" t="str">
        <f aca="false">IF(B623="","",IF(H623&lt;&gt;"",H623,F623))</f>
        <v/>
      </c>
      <c r="K623" s="26" t="str">
        <f aca="false">IF(A623="","",DATE(YEAR(A623),MONTH(A623),1))</f>
        <v/>
      </c>
      <c r="L623" s="21" t="str">
        <f aca="false">IF(J623="",IF(B623="","",IF(N(C623)&gt;=0,"Income","Expense")),IFERROR(INDEX(Lists!$B$2:$B$30,MATCH(J623,Lists!$A$2:$A$30,0)),""))</f>
        <v/>
      </c>
      <c r="M623" s="24"/>
      <c r="N623" s="27" t="str">
        <f aca="false">IF(B623="","",IFERROR(1000-SUMPRODUCT(MAX(ISNUMBER(SEARCH(Rules!$A$5:$A$204,B623))*(Rules!$A$5:$A$204&lt;&gt;"")*(1000-ROW(Rules!$A$5:$A$204)))),""))</f>
        <v/>
      </c>
    </row>
    <row r="624" customFormat="false" ht="15" hidden="false" customHeight="false" outlineLevel="0" collapsed="false">
      <c r="A624" s="23"/>
      <c r="B624" s="24"/>
      <c r="C624" s="25"/>
      <c r="D624" s="24"/>
      <c r="E624" s="21" t="str">
        <f aca="false">IF(OR(B624="",N(N624)=0,N624=1000),IF(B624="","","Check"),INDEX(Rules!$B:$B,N624))</f>
        <v/>
      </c>
      <c r="F624" s="21" t="str">
        <f aca="false">IF(OR(B624="",N(N624)=0,N624=1000),"",INDEX(Rules!$C:$C,N624))</f>
        <v/>
      </c>
      <c r="G624" s="24"/>
      <c r="H624" s="24"/>
      <c r="I624" s="20" t="str">
        <f aca="false">IF(B624="","",IF(G624&lt;&gt;"",G624,E624))</f>
        <v/>
      </c>
      <c r="J624" s="21" t="str">
        <f aca="false">IF(B624="","",IF(H624&lt;&gt;"",H624,F624))</f>
        <v/>
      </c>
      <c r="K624" s="26" t="str">
        <f aca="false">IF(A624="","",DATE(YEAR(A624),MONTH(A624),1))</f>
        <v/>
      </c>
      <c r="L624" s="21" t="str">
        <f aca="false">IF(J624="",IF(B624="","",IF(N(C624)&gt;=0,"Income","Expense")),IFERROR(INDEX(Lists!$B$2:$B$30,MATCH(J624,Lists!$A$2:$A$30,0)),""))</f>
        <v/>
      </c>
      <c r="M624" s="24"/>
      <c r="N624" s="27" t="str">
        <f aca="false">IF(B624="","",IFERROR(1000-SUMPRODUCT(MAX(ISNUMBER(SEARCH(Rules!$A$5:$A$204,B624))*(Rules!$A$5:$A$204&lt;&gt;"")*(1000-ROW(Rules!$A$5:$A$204)))),""))</f>
        <v/>
      </c>
    </row>
    <row r="625" customFormat="false" ht="15" hidden="false" customHeight="false" outlineLevel="0" collapsed="false">
      <c r="A625" s="23"/>
      <c r="B625" s="24"/>
      <c r="C625" s="25"/>
      <c r="D625" s="24"/>
      <c r="E625" s="21" t="str">
        <f aca="false">IF(OR(B625="",N(N625)=0,N625=1000),IF(B625="","","Check"),INDEX(Rules!$B:$B,N625))</f>
        <v/>
      </c>
      <c r="F625" s="21" t="str">
        <f aca="false">IF(OR(B625="",N(N625)=0,N625=1000),"",INDEX(Rules!$C:$C,N625))</f>
        <v/>
      </c>
      <c r="G625" s="24"/>
      <c r="H625" s="24"/>
      <c r="I625" s="20" t="str">
        <f aca="false">IF(B625="","",IF(G625&lt;&gt;"",G625,E625))</f>
        <v/>
      </c>
      <c r="J625" s="21" t="str">
        <f aca="false">IF(B625="","",IF(H625&lt;&gt;"",H625,F625))</f>
        <v/>
      </c>
      <c r="K625" s="26" t="str">
        <f aca="false">IF(A625="","",DATE(YEAR(A625),MONTH(A625),1))</f>
        <v/>
      </c>
      <c r="L625" s="21" t="str">
        <f aca="false">IF(J625="",IF(B625="","",IF(N(C625)&gt;=0,"Income","Expense")),IFERROR(INDEX(Lists!$B$2:$B$30,MATCH(J625,Lists!$A$2:$A$30,0)),""))</f>
        <v/>
      </c>
      <c r="M625" s="24"/>
      <c r="N625" s="27" t="str">
        <f aca="false">IF(B625="","",IFERROR(1000-SUMPRODUCT(MAX(ISNUMBER(SEARCH(Rules!$A$5:$A$204,B625))*(Rules!$A$5:$A$204&lt;&gt;"")*(1000-ROW(Rules!$A$5:$A$204)))),""))</f>
        <v/>
      </c>
    </row>
    <row r="626" customFormat="false" ht="15" hidden="false" customHeight="false" outlineLevel="0" collapsed="false">
      <c r="A626" s="23"/>
      <c r="B626" s="24"/>
      <c r="C626" s="25"/>
      <c r="D626" s="24"/>
      <c r="E626" s="21" t="str">
        <f aca="false">IF(OR(B626="",N(N626)=0,N626=1000),IF(B626="","","Check"),INDEX(Rules!$B:$B,N626))</f>
        <v/>
      </c>
      <c r="F626" s="21" t="str">
        <f aca="false">IF(OR(B626="",N(N626)=0,N626=1000),"",INDEX(Rules!$C:$C,N626))</f>
        <v/>
      </c>
      <c r="G626" s="24"/>
      <c r="H626" s="24"/>
      <c r="I626" s="20" t="str">
        <f aca="false">IF(B626="","",IF(G626&lt;&gt;"",G626,E626))</f>
        <v/>
      </c>
      <c r="J626" s="21" t="str">
        <f aca="false">IF(B626="","",IF(H626&lt;&gt;"",H626,F626))</f>
        <v/>
      </c>
      <c r="K626" s="26" t="str">
        <f aca="false">IF(A626="","",DATE(YEAR(A626),MONTH(A626),1))</f>
        <v/>
      </c>
      <c r="L626" s="21" t="str">
        <f aca="false">IF(J626="",IF(B626="","",IF(N(C626)&gt;=0,"Income","Expense")),IFERROR(INDEX(Lists!$B$2:$B$30,MATCH(J626,Lists!$A$2:$A$30,0)),""))</f>
        <v/>
      </c>
      <c r="M626" s="24"/>
      <c r="N626" s="27" t="str">
        <f aca="false">IF(B626="","",IFERROR(1000-SUMPRODUCT(MAX(ISNUMBER(SEARCH(Rules!$A$5:$A$204,B626))*(Rules!$A$5:$A$204&lt;&gt;"")*(1000-ROW(Rules!$A$5:$A$204)))),""))</f>
        <v/>
      </c>
    </row>
    <row r="627" customFormat="false" ht="15" hidden="false" customHeight="false" outlineLevel="0" collapsed="false">
      <c r="A627" s="23"/>
      <c r="B627" s="24"/>
      <c r="C627" s="25"/>
      <c r="D627" s="24"/>
      <c r="E627" s="21" t="str">
        <f aca="false">IF(OR(B627="",N(N627)=0,N627=1000),IF(B627="","","Check"),INDEX(Rules!$B:$B,N627))</f>
        <v/>
      </c>
      <c r="F627" s="21" t="str">
        <f aca="false">IF(OR(B627="",N(N627)=0,N627=1000),"",INDEX(Rules!$C:$C,N627))</f>
        <v/>
      </c>
      <c r="G627" s="24"/>
      <c r="H627" s="24"/>
      <c r="I627" s="20" t="str">
        <f aca="false">IF(B627="","",IF(G627&lt;&gt;"",G627,E627))</f>
        <v/>
      </c>
      <c r="J627" s="21" t="str">
        <f aca="false">IF(B627="","",IF(H627&lt;&gt;"",H627,F627))</f>
        <v/>
      </c>
      <c r="K627" s="26" t="str">
        <f aca="false">IF(A627="","",DATE(YEAR(A627),MONTH(A627),1))</f>
        <v/>
      </c>
      <c r="L627" s="21" t="str">
        <f aca="false">IF(J627="",IF(B627="","",IF(N(C627)&gt;=0,"Income","Expense")),IFERROR(INDEX(Lists!$B$2:$B$30,MATCH(J627,Lists!$A$2:$A$30,0)),""))</f>
        <v/>
      </c>
      <c r="M627" s="24"/>
      <c r="N627" s="27" t="str">
        <f aca="false">IF(B627="","",IFERROR(1000-SUMPRODUCT(MAX(ISNUMBER(SEARCH(Rules!$A$5:$A$204,B627))*(Rules!$A$5:$A$204&lt;&gt;"")*(1000-ROW(Rules!$A$5:$A$204)))),""))</f>
        <v/>
      </c>
    </row>
    <row r="628" customFormat="false" ht="15" hidden="false" customHeight="false" outlineLevel="0" collapsed="false">
      <c r="A628" s="23"/>
      <c r="B628" s="24"/>
      <c r="C628" s="25"/>
      <c r="D628" s="24"/>
      <c r="E628" s="21" t="str">
        <f aca="false">IF(OR(B628="",N(N628)=0,N628=1000),IF(B628="","","Check"),INDEX(Rules!$B:$B,N628))</f>
        <v/>
      </c>
      <c r="F628" s="21" t="str">
        <f aca="false">IF(OR(B628="",N(N628)=0,N628=1000),"",INDEX(Rules!$C:$C,N628))</f>
        <v/>
      </c>
      <c r="G628" s="24"/>
      <c r="H628" s="24"/>
      <c r="I628" s="20" t="str">
        <f aca="false">IF(B628="","",IF(G628&lt;&gt;"",G628,E628))</f>
        <v/>
      </c>
      <c r="J628" s="21" t="str">
        <f aca="false">IF(B628="","",IF(H628&lt;&gt;"",H628,F628))</f>
        <v/>
      </c>
      <c r="K628" s="26" t="str">
        <f aca="false">IF(A628="","",DATE(YEAR(A628),MONTH(A628),1))</f>
        <v/>
      </c>
      <c r="L628" s="21" t="str">
        <f aca="false">IF(J628="",IF(B628="","",IF(N(C628)&gt;=0,"Income","Expense")),IFERROR(INDEX(Lists!$B$2:$B$30,MATCH(J628,Lists!$A$2:$A$30,0)),""))</f>
        <v/>
      </c>
      <c r="M628" s="24"/>
      <c r="N628" s="27" t="str">
        <f aca="false">IF(B628="","",IFERROR(1000-SUMPRODUCT(MAX(ISNUMBER(SEARCH(Rules!$A$5:$A$204,B628))*(Rules!$A$5:$A$204&lt;&gt;"")*(1000-ROW(Rules!$A$5:$A$204)))),""))</f>
        <v/>
      </c>
    </row>
    <row r="629" customFormat="false" ht="15" hidden="false" customHeight="false" outlineLevel="0" collapsed="false">
      <c r="A629" s="23"/>
      <c r="B629" s="24"/>
      <c r="C629" s="25"/>
      <c r="D629" s="24"/>
      <c r="E629" s="21" t="str">
        <f aca="false">IF(OR(B629="",N(N629)=0,N629=1000),IF(B629="","","Check"),INDEX(Rules!$B:$B,N629))</f>
        <v/>
      </c>
      <c r="F629" s="21" t="str">
        <f aca="false">IF(OR(B629="",N(N629)=0,N629=1000),"",INDEX(Rules!$C:$C,N629))</f>
        <v/>
      </c>
      <c r="G629" s="24"/>
      <c r="H629" s="24"/>
      <c r="I629" s="20" t="str">
        <f aca="false">IF(B629="","",IF(G629&lt;&gt;"",G629,E629))</f>
        <v/>
      </c>
      <c r="J629" s="21" t="str">
        <f aca="false">IF(B629="","",IF(H629&lt;&gt;"",H629,F629))</f>
        <v/>
      </c>
      <c r="K629" s="26" t="str">
        <f aca="false">IF(A629="","",DATE(YEAR(A629),MONTH(A629),1))</f>
        <v/>
      </c>
      <c r="L629" s="21" t="str">
        <f aca="false">IF(J629="",IF(B629="","",IF(N(C629)&gt;=0,"Income","Expense")),IFERROR(INDEX(Lists!$B$2:$B$30,MATCH(J629,Lists!$A$2:$A$30,0)),""))</f>
        <v/>
      </c>
      <c r="M629" s="24"/>
      <c r="N629" s="27" t="str">
        <f aca="false">IF(B629="","",IFERROR(1000-SUMPRODUCT(MAX(ISNUMBER(SEARCH(Rules!$A$5:$A$204,B629))*(Rules!$A$5:$A$204&lt;&gt;"")*(1000-ROW(Rules!$A$5:$A$204)))),""))</f>
        <v/>
      </c>
    </row>
    <row r="630" customFormat="false" ht="15" hidden="false" customHeight="false" outlineLevel="0" collapsed="false">
      <c r="A630" s="23"/>
      <c r="B630" s="24"/>
      <c r="C630" s="25"/>
      <c r="D630" s="24"/>
      <c r="E630" s="21" t="str">
        <f aca="false">IF(OR(B630="",N(N630)=0,N630=1000),IF(B630="","","Check"),INDEX(Rules!$B:$B,N630))</f>
        <v/>
      </c>
      <c r="F630" s="21" t="str">
        <f aca="false">IF(OR(B630="",N(N630)=0,N630=1000),"",INDEX(Rules!$C:$C,N630))</f>
        <v/>
      </c>
      <c r="G630" s="24"/>
      <c r="H630" s="24"/>
      <c r="I630" s="20" t="str">
        <f aca="false">IF(B630="","",IF(G630&lt;&gt;"",G630,E630))</f>
        <v/>
      </c>
      <c r="J630" s="21" t="str">
        <f aca="false">IF(B630="","",IF(H630&lt;&gt;"",H630,F630))</f>
        <v/>
      </c>
      <c r="K630" s="26" t="str">
        <f aca="false">IF(A630="","",DATE(YEAR(A630),MONTH(A630),1))</f>
        <v/>
      </c>
      <c r="L630" s="21" t="str">
        <f aca="false">IF(J630="",IF(B630="","",IF(N(C630)&gt;=0,"Income","Expense")),IFERROR(INDEX(Lists!$B$2:$B$30,MATCH(J630,Lists!$A$2:$A$30,0)),""))</f>
        <v/>
      </c>
      <c r="M630" s="24"/>
      <c r="N630" s="27" t="str">
        <f aca="false">IF(B630="","",IFERROR(1000-SUMPRODUCT(MAX(ISNUMBER(SEARCH(Rules!$A$5:$A$204,B630))*(Rules!$A$5:$A$204&lt;&gt;"")*(1000-ROW(Rules!$A$5:$A$204)))),""))</f>
        <v/>
      </c>
    </row>
    <row r="631" customFormat="false" ht="15" hidden="false" customHeight="false" outlineLevel="0" collapsed="false">
      <c r="A631" s="23"/>
      <c r="B631" s="24"/>
      <c r="C631" s="25"/>
      <c r="D631" s="24"/>
      <c r="E631" s="21" t="str">
        <f aca="false">IF(OR(B631="",N(N631)=0,N631=1000),IF(B631="","","Check"),INDEX(Rules!$B:$B,N631))</f>
        <v/>
      </c>
      <c r="F631" s="21" t="str">
        <f aca="false">IF(OR(B631="",N(N631)=0,N631=1000),"",INDEX(Rules!$C:$C,N631))</f>
        <v/>
      </c>
      <c r="G631" s="24"/>
      <c r="H631" s="24"/>
      <c r="I631" s="20" t="str">
        <f aca="false">IF(B631="","",IF(G631&lt;&gt;"",G631,E631))</f>
        <v/>
      </c>
      <c r="J631" s="21" t="str">
        <f aca="false">IF(B631="","",IF(H631&lt;&gt;"",H631,F631))</f>
        <v/>
      </c>
      <c r="K631" s="26" t="str">
        <f aca="false">IF(A631="","",DATE(YEAR(A631),MONTH(A631),1))</f>
        <v/>
      </c>
      <c r="L631" s="21" t="str">
        <f aca="false">IF(J631="",IF(B631="","",IF(N(C631)&gt;=0,"Income","Expense")),IFERROR(INDEX(Lists!$B$2:$B$30,MATCH(J631,Lists!$A$2:$A$30,0)),""))</f>
        <v/>
      </c>
      <c r="M631" s="24"/>
      <c r="N631" s="27" t="str">
        <f aca="false">IF(B631="","",IFERROR(1000-SUMPRODUCT(MAX(ISNUMBER(SEARCH(Rules!$A$5:$A$204,B631))*(Rules!$A$5:$A$204&lt;&gt;"")*(1000-ROW(Rules!$A$5:$A$204)))),""))</f>
        <v/>
      </c>
    </row>
    <row r="632" customFormat="false" ht="15" hidden="false" customHeight="false" outlineLevel="0" collapsed="false">
      <c r="A632" s="23"/>
      <c r="B632" s="24"/>
      <c r="C632" s="25"/>
      <c r="D632" s="24"/>
      <c r="E632" s="21" t="str">
        <f aca="false">IF(OR(B632="",N(N632)=0,N632=1000),IF(B632="","","Check"),INDEX(Rules!$B:$B,N632))</f>
        <v/>
      </c>
      <c r="F632" s="21" t="str">
        <f aca="false">IF(OR(B632="",N(N632)=0,N632=1000),"",INDEX(Rules!$C:$C,N632))</f>
        <v/>
      </c>
      <c r="G632" s="24"/>
      <c r="H632" s="24"/>
      <c r="I632" s="20" t="str">
        <f aca="false">IF(B632="","",IF(G632&lt;&gt;"",G632,E632))</f>
        <v/>
      </c>
      <c r="J632" s="21" t="str">
        <f aca="false">IF(B632="","",IF(H632&lt;&gt;"",H632,F632))</f>
        <v/>
      </c>
      <c r="K632" s="26" t="str">
        <f aca="false">IF(A632="","",DATE(YEAR(A632),MONTH(A632),1))</f>
        <v/>
      </c>
      <c r="L632" s="21" t="str">
        <f aca="false">IF(J632="",IF(B632="","",IF(N(C632)&gt;=0,"Income","Expense")),IFERROR(INDEX(Lists!$B$2:$B$30,MATCH(J632,Lists!$A$2:$A$30,0)),""))</f>
        <v/>
      </c>
      <c r="M632" s="24"/>
      <c r="N632" s="27" t="str">
        <f aca="false">IF(B632="","",IFERROR(1000-SUMPRODUCT(MAX(ISNUMBER(SEARCH(Rules!$A$5:$A$204,B632))*(Rules!$A$5:$A$204&lt;&gt;"")*(1000-ROW(Rules!$A$5:$A$204)))),""))</f>
        <v/>
      </c>
    </row>
    <row r="633" customFormat="false" ht="15" hidden="false" customHeight="false" outlineLevel="0" collapsed="false">
      <c r="A633" s="23"/>
      <c r="B633" s="24"/>
      <c r="C633" s="25"/>
      <c r="D633" s="24"/>
      <c r="E633" s="21" t="str">
        <f aca="false">IF(OR(B633="",N(N633)=0,N633=1000),IF(B633="","","Check"),INDEX(Rules!$B:$B,N633))</f>
        <v/>
      </c>
      <c r="F633" s="21" t="str">
        <f aca="false">IF(OR(B633="",N(N633)=0,N633=1000),"",INDEX(Rules!$C:$C,N633))</f>
        <v/>
      </c>
      <c r="G633" s="24"/>
      <c r="H633" s="24"/>
      <c r="I633" s="20" t="str">
        <f aca="false">IF(B633="","",IF(G633&lt;&gt;"",G633,E633))</f>
        <v/>
      </c>
      <c r="J633" s="21" t="str">
        <f aca="false">IF(B633="","",IF(H633&lt;&gt;"",H633,F633))</f>
        <v/>
      </c>
      <c r="K633" s="26" t="str">
        <f aca="false">IF(A633="","",DATE(YEAR(A633),MONTH(A633),1))</f>
        <v/>
      </c>
      <c r="L633" s="21" t="str">
        <f aca="false">IF(J633="",IF(B633="","",IF(N(C633)&gt;=0,"Income","Expense")),IFERROR(INDEX(Lists!$B$2:$B$30,MATCH(J633,Lists!$A$2:$A$30,0)),""))</f>
        <v/>
      </c>
      <c r="M633" s="24"/>
      <c r="N633" s="27" t="str">
        <f aca="false">IF(B633="","",IFERROR(1000-SUMPRODUCT(MAX(ISNUMBER(SEARCH(Rules!$A$5:$A$204,B633))*(Rules!$A$5:$A$204&lt;&gt;"")*(1000-ROW(Rules!$A$5:$A$204)))),""))</f>
        <v/>
      </c>
    </row>
    <row r="634" customFormat="false" ht="15" hidden="false" customHeight="false" outlineLevel="0" collapsed="false">
      <c r="A634" s="23"/>
      <c r="B634" s="24"/>
      <c r="C634" s="25"/>
      <c r="D634" s="24"/>
      <c r="E634" s="21" t="str">
        <f aca="false">IF(OR(B634="",N(N634)=0,N634=1000),IF(B634="","","Check"),INDEX(Rules!$B:$B,N634))</f>
        <v/>
      </c>
      <c r="F634" s="21" t="str">
        <f aca="false">IF(OR(B634="",N(N634)=0,N634=1000),"",INDEX(Rules!$C:$C,N634))</f>
        <v/>
      </c>
      <c r="G634" s="24"/>
      <c r="H634" s="24"/>
      <c r="I634" s="20" t="str">
        <f aca="false">IF(B634="","",IF(G634&lt;&gt;"",G634,E634))</f>
        <v/>
      </c>
      <c r="J634" s="21" t="str">
        <f aca="false">IF(B634="","",IF(H634&lt;&gt;"",H634,F634))</f>
        <v/>
      </c>
      <c r="K634" s="26" t="str">
        <f aca="false">IF(A634="","",DATE(YEAR(A634),MONTH(A634),1))</f>
        <v/>
      </c>
      <c r="L634" s="21" t="str">
        <f aca="false">IF(J634="",IF(B634="","",IF(N(C634)&gt;=0,"Income","Expense")),IFERROR(INDEX(Lists!$B$2:$B$30,MATCH(J634,Lists!$A$2:$A$30,0)),""))</f>
        <v/>
      </c>
      <c r="M634" s="24"/>
      <c r="N634" s="27" t="str">
        <f aca="false">IF(B634="","",IFERROR(1000-SUMPRODUCT(MAX(ISNUMBER(SEARCH(Rules!$A$5:$A$204,B634))*(Rules!$A$5:$A$204&lt;&gt;"")*(1000-ROW(Rules!$A$5:$A$204)))),""))</f>
        <v/>
      </c>
    </row>
    <row r="635" customFormat="false" ht="15" hidden="false" customHeight="false" outlineLevel="0" collapsed="false">
      <c r="A635" s="23"/>
      <c r="B635" s="24"/>
      <c r="C635" s="25"/>
      <c r="D635" s="24"/>
      <c r="E635" s="21" t="str">
        <f aca="false">IF(OR(B635="",N(N635)=0,N635=1000),IF(B635="","","Check"),INDEX(Rules!$B:$B,N635))</f>
        <v/>
      </c>
      <c r="F635" s="21" t="str">
        <f aca="false">IF(OR(B635="",N(N635)=0,N635=1000),"",INDEX(Rules!$C:$C,N635))</f>
        <v/>
      </c>
      <c r="G635" s="24"/>
      <c r="H635" s="24"/>
      <c r="I635" s="20" t="str">
        <f aca="false">IF(B635="","",IF(G635&lt;&gt;"",G635,E635))</f>
        <v/>
      </c>
      <c r="J635" s="21" t="str">
        <f aca="false">IF(B635="","",IF(H635&lt;&gt;"",H635,F635))</f>
        <v/>
      </c>
      <c r="K635" s="26" t="str">
        <f aca="false">IF(A635="","",DATE(YEAR(A635),MONTH(A635),1))</f>
        <v/>
      </c>
      <c r="L635" s="21" t="str">
        <f aca="false">IF(J635="",IF(B635="","",IF(N(C635)&gt;=0,"Income","Expense")),IFERROR(INDEX(Lists!$B$2:$B$30,MATCH(J635,Lists!$A$2:$A$30,0)),""))</f>
        <v/>
      </c>
      <c r="M635" s="24"/>
      <c r="N635" s="27" t="str">
        <f aca="false">IF(B635="","",IFERROR(1000-SUMPRODUCT(MAX(ISNUMBER(SEARCH(Rules!$A$5:$A$204,B635))*(Rules!$A$5:$A$204&lt;&gt;"")*(1000-ROW(Rules!$A$5:$A$204)))),""))</f>
        <v/>
      </c>
    </row>
    <row r="636" customFormat="false" ht="15" hidden="false" customHeight="false" outlineLevel="0" collapsed="false">
      <c r="A636" s="23"/>
      <c r="B636" s="24"/>
      <c r="C636" s="25"/>
      <c r="D636" s="24"/>
      <c r="E636" s="21" t="str">
        <f aca="false">IF(OR(B636="",N(N636)=0,N636=1000),IF(B636="","","Check"),INDEX(Rules!$B:$B,N636))</f>
        <v/>
      </c>
      <c r="F636" s="21" t="str">
        <f aca="false">IF(OR(B636="",N(N636)=0,N636=1000),"",INDEX(Rules!$C:$C,N636))</f>
        <v/>
      </c>
      <c r="G636" s="24"/>
      <c r="H636" s="24"/>
      <c r="I636" s="20" t="str">
        <f aca="false">IF(B636="","",IF(G636&lt;&gt;"",G636,E636))</f>
        <v/>
      </c>
      <c r="J636" s="21" t="str">
        <f aca="false">IF(B636="","",IF(H636&lt;&gt;"",H636,F636))</f>
        <v/>
      </c>
      <c r="K636" s="26" t="str">
        <f aca="false">IF(A636="","",DATE(YEAR(A636),MONTH(A636),1))</f>
        <v/>
      </c>
      <c r="L636" s="21" t="str">
        <f aca="false">IF(J636="",IF(B636="","",IF(N(C636)&gt;=0,"Income","Expense")),IFERROR(INDEX(Lists!$B$2:$B$30,MATCH(J636,Lists!$A$2:$A$30,0)),""))</f>
        <v/>
      </c>
      <c r="M636" s="24"/>
      <c r="N636" s="27" t="str">
        <f aca="false">IF(B636="","",IFERROR(1000-SUMPRODUCT(MAX(ISNUMBER(SEARCH(Rules!$A$5:$A$204,B636))*(Rules!$A$5:$A$204&lt;&gt;"")*(1000-ROW(Rules!$A$5:$A$204)))),""))</f>
        <v/>
      </c>
    </row>
    <row r="637" customFormat="false" ht="15" hidden="false" customHeight="false" outlineLevel="0" collapsed="false">
      <c r="A637" s="23"/>
      <c r="B637" s="24"/>
      <c r="C637" s="25"/>
      <c r="D637" s="24"/>
      <c r="E637" s="21" t="str">
        <f aca="false">IF(OR(B637="",N(N637)=0,N637=1000),IF(B637="","","Check"),INDEX(Rules!$B:$B,N637))</f>
        <v/>
      </c>
      <c r="F637" s="21" t="str">
        <f aca="false">IF(OR(B637="",N(N637)=0,N637=1000),"",INDEX(Rules!$C:$C,N637))</f>
        <v/>
      </c>
      <c r="G637" s="24"/>
      <c r="H637" s="24"/>
      <c r="I637" s="20" t="str">
        <f aca="false">IF(B637="","",IF(G637&lt;&gt;"",G637,E637))</f>
        <v/>
      </c>
      <c r="J637" s="21" t="str">
        <f aca="false">IF(B637="","",IF(H637&lt;&gt;"",H637,F637))</f>
        <v/>
      </c>
      <c r="K637" s="26" t="str">
        <f aca="false">IF(A637="","",DATE(YEAR(A637),MONTH(A637),1))</f>
        <v/>
      </c>
      <c r="L637" s="21" t="str">
        <f aca="false">IF(J637="",IF(B637="","",IF(N(C637)&gt;=0,"Income","Expense")),IFERROR(INDEX(Lists!$B$2:$B$30,MATCH(J637,Lists!$A$2:$A$30,0)),""))</f>
        <v/>
      </c>
      <c r="M637" s="24"/>
      <c r="N637" s="27" t="str">
        <f aca="false">IF(B637="","",IFERROR(1000-SUMPRODUCT(MAX(ISNUMBER(SEARCH(Rules!$A$5:$A$204,B637))*(Rules!$A$5:$A$204&lt;&gt;"")*(1000-ROW(Rules!$A$5:$A$204)))),""))</f>
        <v/>
      </c>
    </row>
    <row r="638" customFormat="false" ht="15" hidden="false" customHeight="false" outlineLevel="0" collapsed="false">
      <c r="A638" s="23"/>
      <c r="B638" s="24"/>
      <c r="C638" s="25"/>
      <c r="D638" s="24"/>
      <c r="E638" s="21" t="str">
        <f aca="false">IF(OR(B638="",N(N638)=0,N638=1000),IF(B638="","","Check"),INDEX(Rules!$B:$B,N638))</f>
        <v/>
      </c>
      <c r="F638" s="21" t="str">
        <f aca="false">IF(OR(B638="",N(N638)=0,N638=1000),"",INDEX(Rules!$C:$C,N638))</f>
        <v/>
      </c>
      <c r="G638" s="24"/>
      <c r="H638" s="24"/>
      <c r="I638" s="20" t="str">
        <f aca="false">IF(B638="","",IF(G638&lt;&gt;"",G638,E638))</f>
        <v/>
      </c>
      <c r="J638" s="21" t="str">
        <f aca="false">IF(B638="","",IF(H638&lt;&gt;"",H638,F638))</f>
        <v/>
      </c>
      <c r="K638" s="26" t="str">
        <f aca="false">IF(A638="","",DATE(YEAR(A638),MONTH(A638),1))</f>
        <v/>
      </c>
      <c r="L638" s="21" t="str">
        <f aca="false">IF(J638="",IF(B638="","",IF(N(C638)&gt;=0,"Income","Expense")),IFERROR(INDEX(Lists!$B$2:$B$30,MATCH(J638,Lists!$A$2:$A$30,0)),""))</f>
        <v/>
      </c>
      <c r="M638" s="24"/>
      <c r="N638" s="27" t="str">
        <f aca="false">IF(B638="","",IFERROR(1000-SUMPRODUCT(MAX(ISNUMBER(SEARCH(Rules!$A$5:$A$204,B638))*(Rules!$A$5:$A$204&lt;&gt;"")*(1000-ROW(Rules!$A$5:$A$204)))),""))</f>
        <v/>
      </c>
    </row>
    <row r="639" customFormat="false" ht="15" hidden="false" customHeight="false" outlineLevel="0" collapsed="false">
      <c r="A639" s="23"/>
      <c r="B639" s="24"/>
      <c r="C639" s="25"/>
      <c r="D639" s="24"/>
      <c r="E639" s="21" t="str">
        <f aca="false">IF(OR(B639="",N(N639)=0,N639=1000),IF(B639="","","Check"),INDEX(Rules!$B:$B,N639))</f>
        <v/>
      </c>
      <c r="F639" s="21" t="str">
        <f aca="false">IF(OR(B639="",N(N639)=0,N639=1000),"",INDEX(Rules!$C:$C,N639))</f>
        <v/>
      </c>
      <c r="G639" s="24"/>
      <c r="H639" s="24"/>
      <c r="I639" s="20" t="str">
        <f aca="false">IF(B639="","",IF(G639&lt;&gt;"",G639,E639))</f>
        <v/>
      </c>
      <c r="J639" s="21" t="str">
        <f aca="false">IF(B639="","",IF(H639&lt;&gt;"",H639,F639))</f>
        <v/>
      </c>
      <c r="K639" s="26" t="str">
        <f aca="false">IF(A639="","",DATE(YEAR(A639),MONTH(A639),1))</f>
        <v/>
      </c>
      <c r="L639" s="21" t="str">
        <f aca="false">IF(J639="",IF(B639="","",IF(N(C639)&gt;=0,"Income","Expense")),IFERROR(INDEX(Lists!$B$2:$B$30,MATCH(J639,Lists!$A$2:$A$30,0)),""))</f>
        <v/>
      </c>
      <c r="M639" s="24"/>
      <c r="N639" s="27" t="str">
        <f aca="false">IF(B639="","",IFERROR(1000-SUMPRODUCT(MAX(ISNUMBER(SEARCH(Rules!$A$5:$A$204,B639))*(Rules!$A$5:$A$204&lt;&gt;"")*(1000-ROW(Rules!$A$5:$A$204)))),""))</f>
        <v/>
      </c>
    </row>
    <row r="640" customFormat="false" ht="15" hidden="false" customHeight="false" outlineLevel="0" collapsed="false">
      <c r="A640" s="23"/>
      <c r="B640" s="24"/>
      <c r="C640" s="25"/>
      <c r="D640" s="24"/>
      <c r="E640" s="21" t="str">
        <f aca="false">IF(OR(B640="",N(N640)=0,N640=1000),IF(B640="","","Check"),INDEX(Rules!$B:$B,N640))</f>
        <v/>
      </c>
      <c r="F640" s="21" t="str">
        <f aca="false">IF(OR(B640="",N(N640)=0,N640=1000),"",INDEX(Rules!$C:$C,N640))</f>
        <v/>
      </c>
      <c r="G640" s="24"/>
      <c r="H640" s="24"/>
      <c r="I640" s="20" t="str">
        <f aca="false">IF(B640="","",IF(G640&lt;&gt;"",G640,E640))</f>
        <v/>
      </c>
      <c r="J640" s="21" t="str">
        <f aca="false">IF(B640="","",IF(H640&lt;&gt;"",H640,F640))</f>
        <v/>
      </c>
      <c r="K640" s="26" t="str">
        <f aca="false">IF(A640="","",DATE(YEAR(A640),MONTH(A640),1))</f>
        <v/>
      </c>
      <c r="L640" s="21" t="str">
        <f aca="false">IF(J640="",IF(B640="","",IF(N(C640)&gt;=0,"Income","Expense")),IFERROR(INDEX(Lists!$B$2:$B$30,MATCH(J640,Lists!$A$2:$A$30,0)),""))</f>
        <v/>
      </c>
      <c r="M640" s="24"/>
      <c r="N640" s="27" t="str">
        <f aca="false">IF(B640="","",IFERROR(1000-SUMPRODUCT(MAX(ISNUMBER(SEARCH(Rules!$A$5:$A$204,B640))*(Rules!$A$5:$A$204&lt;&gt;"")*(1000-ROW(Rules!$A$5:$A$204)))),""))</f>
        <v/>
      </c>
    </row>
    <row r="641" customFormat="false" ht="15" hidden="false" customHeight="false" outlineLevel="0" collapsed="false">
      <c r="A641" s="23"/>
      <c r="B641" s="24"/>
      <c r="C641" s="25"/>
      <c r="D641" s="24"/>
      <c r="E641" s="21" t="str">
        <f aca="false">IF(OR(B641="",N(N641)=0,N641=1000),IF(B641="","","Check"),INDEX(Rules!$B:$B,N641))</f>
        <v/>
      </c>
      <c r="F641" s="21" t="str">
        <f aca="false">IF(OR(B641="",N(N641)=0,N641=1000),"",INDEX(Rules!$C:$C,N641))</f>
        <v/>
      </c>
      <c r="G641" s="24"/>
      <c r="H641" s="24"/>
      <c r="I641" s="20" t="str">
        <f aca="false">IF(B641="","",IF(G641&lt;&gt;"",G641,E641))</f>
        <v/>
      </c>
      <c r="J641" s="21" t="str">
        <f aca="false">IF(B641="","",IF(H641&lt;&gt;"",H641,F641))</f>
        <v/>
      </c>
      <c r="K641" s="26" t="str">
        <f aca="false">IF(A641="","",DATE(YEAR(A641),MONTH(A641),1))</f>
        <v/>
      </c>
      <c r="L641" s="21" t="str">
        <f aca="false">IF(J641="",IF(B641="","",IF(N(C641)&gt;=0,"Income","Expense")),IFERROR(INDEX(Lists!$B$2:$B$30,MATCH(J641,Lists!$A$2:$A$30,0)),""))</f>
        <v/>
      </c>
      <c r="M641" s="24"/>
      <c r="N641" s="27" t="str">
        <f aca="false">IF(B641="","",IFERROR(1000-SUMPRODUCT(MAX(ISNUMBER(SEARCH(Rules!$A$5:$A$204,B641))*(Rules!$A$5:$A$204&lt;&gt;"")*(1000-ROW(Rules!$A$5:$A$204)))),""))</f>
        <v/>
      </c>
    </row>
    <row r="642" customFormat="false" ht="15" hidden="false" customHeight="false" outlineLevel="0" collapsed="false">
      <c r="A642" s="23"/>
      <c r="B642" s="24"/>
      <c r="C642" s="25"/>
      <c r="D642" s="24"/>
      <c r="E642" s="21" t="str">
        <f aca="false">IF(OR(B642="",N(N642)=0,N642=1000),IF(B642="","","Check"),INDEX(Rules!$B:$B,N642))</f>
        <v/>
      </c>
      <c r="F642" s="21" t="str">
        <f aca="false">IF(OR(B642="",N(N642)=0,N642=1000),"",INDEX(Rules!$C:$C,N642))</f>
        <v/>
      </c>
      <c r="G642" s="24"/>
      <c r="H642" s="24"/>
      <c r="I642" s="20" t="str">
        <f aca="false">IF(B642="","",IF(G642&lt;&gt;"",G642,E642))</f>
        <v/>
      </c>
      <c r="J642" s="21" t="str">
        <f aca="false">IF(B642="","",IF(H642&lt;&gt;"",H642,F642))</f>
        <v/>
      </c>
      <c r="K642" s="26" t="str">
        <f aca="false">IF(A642="","",DATE(YEAR(A642),MONTH(A642),1))</f>
        <v/>
      </c>
      <c r="L642" s="21" t="str">
        <f aca="false">IF(J642="",IF(B642="","",IF(N(C642)&gt;=0,"Income","Expense")),IFERROR(INDEX(Lists!$B$2:$B$30,MATCH(J642,Lists!$A$2:$A$30,0)),""))</f>
        <v/>
      </c>
      <c r="M642" s="24"/>
      <c r="N642" s="27" t="str">
        <f aca="false">IF(B642="","",IFERROR(1000-SUMPRODUCT(MAX(ISNUMBER(SEARCH(Rules!$A$5:$A$204,B642))*(Rules!$A$5:$A$204&lt;&gt;"")*(1000-ROW(Rules!$A$5:$A$204)))),""))</f>
        <v/>
      </c>
    </row>
    <row r="643" customFormat="false" ht="15" hidden="false" customHeight="false" outlineLevel="0" collapsed="false">
      <c r="A643" s="23"/>
      <c r="B643" s="24"/>
      <c r="C643" s="25"/>
      <c r="D643" s="24"/>
      <c r="E643" s="21" t="str">
        <f aca="false">IF(OR(B643="",N(N643)=0,N643=1000),IF(B643="","","Check"),INDEX(Rules!$B:$B,N643))</f>
        <v/>
      </c>
      <c r="F643" s="21" t="str">
        <f aca="false">IF(OR(B643="",N(N643)=0,N643=1000),"",INDEX(Rules!$C:$C,N643))</f>
        <v/>
      </c>
      <c r="G643" s="24"/>
      <c r="H643" s="24"/>
      <c r="I643" s="20" t="str">
        <f aca="false">IF(B643="","",IF(G643&lt;&gt;"",G643,E643))</f>
        <v/>
      </c>
      <c r="J643" s="21" t="str">
        <f aca="false">IF(B643="","",IF(H643&lt;&gt;"",H643,F643))</f>
        <v/>
      </c>
      <c r="K643" s="26" t="str">
        <f aca="false">IF(A643="","",DATE(YEAR(A643),MONTH(A643),1))</f>
        <v/>
      </c>
      <c r="L643" s="21" t="str">
        <f aca="false">IF(J643="",IF(B643="","",IF(N(C643)&gt;=0,"Income","Expense")),IFERROR(INDEX(Lists!$B$2:$B$30,MATCH(J643,Lists!$A$2:$A$30,0)),""))</f>
        <v/>
      </c>
      <c r="M643" s="24"/>
      <c r="N643" s="27" t="str">
        <f aca="false">IF(B643="","",IFERROR(1000-SUMPRODUCT(MAX(ISNUMBER(SEARCH(Rules!$A$5:$A$204,B643))*(Rules!$A$5:$A$204&lt;&gt;"")*(1000-ROW(Rules!$A$5:$A$204)))),""))</f>
        <v/>
      </c>
    </row>
    <row r="644" customFormat="false" ht="15" hidden="false" customHeight="false" outlineLevel="0" collapsed="false">
      <c r="A644" s="23"/>
      <c r="B644" s="24"/>
      <c r="C644" s="25"/>
      <c r="D644" s="24"/>
      <c r="E644" s="21" t="str">
        <f aca="false">IF(OR(B644="",N(N644)=0,N644=1000),IF(B644="","","Check"),INDEX(Rules!$B:$B,N644))</f>
        <v/>
      </c>
      <c r="F644" s="21" t="str">
        <f aca="false">IF(OR(B644="",N(N644)=0,N644=1000),"",INDEX(Rules!$C:$C,N644))</f>
        <v/>
      </c>
      <c r="G644" s="24"/>
      <c r="H644" s="24"/>
      <c r="I644" s="20" t="str">
        <f aca="false">IF(B644="","",IF(G644&lt;&gt;"",G644,E644))</f>
        <v/>
      </c>
      <c r="J644" s="21" t="str">
        <f aca="false">IF(B644="","",IF(H644&lt;&gt;"",H644,F644))</f>
        <v/>
      </c>
      <c r="K644" s="26" t="str">
        <f aca="false">IF(A644="","",DATE(YEAR(A644),MONTH(A644),1))</f>
        <v/>
      </c>
      <c r="L644" s="21" t="str">
        <f aca="false">IF(J644="",IF(B644="","",IF(N(C644)&gt;=0,"Income","Expense")),IFERROR(INDEX(Lists!$B$2:$B$30,MATCH(J644,Lists!$A$2:$A$30,0)),""))</f>
        <v/>
      </c>
      <c r="M644" s="24"/>
      <c r="N644" s="27" t="str">
        <f aca="false">IF(B644="","",IFERROR(1000-SUMPRODUCT(MAX(ISNUMBER(SEARCH(Rules!$A$5:$A$204,B644))*(Rules!$A$5:$A$204&lt;&gt;"")*(1000-ROW(Rules!$A$5:$A$204)))),""))</f>
        <v/>
      </c>
    </row>
    <row r="645" customFormat="false" ht="15" hidden="false" customHeight="false" outlineLevel="0" collapsed="false">
      <c r="A645" s="23"/>
      <c r="B645" s="24"/>
      <c r="C645" s="25"/>
      <c r="D645" s="24"/>
      <c r="E645" s="21" t="str">
        <f aca="false">IF(OR(B645="",N(N645)=0,N645=1000),IF(B645="","","Check"),INDEX(Rules!$B:$B,N645))</f>
        <v/>
      </c>
      <c r="F645" s="21" t="str">
        <f aca="false">IF(OR(B645="",N(N645)=0,N645=1000),"",INDEX(Rules!$C:$C,N645))</f>
        <v/>
      </c>
      <c r="G645" s="24"/>
      <c r="H645" s="24"/>
      <c r="I645" s="20" t="str">
        <f aca="false">IF(B645="","",IF(G645&lt;&gt;"",G645,E645))</f>
        <v/>
      </c>
      <c r="J645" s="21" t="str">
        <f aca="false">IF(B645="","",IF(H645&lt;&gt;"",H645,F645))</f>
        <v/>
      </c>
      <c r="K645" s="26" t="str">
        <f aca="false">IF(A645="","",DATE(YEAR(A645),MONTH(A645),1))</f>
        <v/>
      </c>
      <c r="L645" s="21" t="str">
        <f aca="false">IF(J645="",IF(B645="","",IF(N(C645)&gt;=0,"Income","Expense")),IFERROR(INDEX(Lists!$B$2:$B$30,MATCH(J645,Lists!$A$2:$A$30,0)),""))</f>
        <v/>
      </c>
      <c r="M645" s="24"/>
      <c r="N645" s="27" t="str">
        <f aca="false">IF(B645="","",IFERROR(1000-SUMPRODUCT(MAX(ISNUMBER(SEARCH(Rules!$A$5:$A$204,B645))*(Rules!$A$5:$A$204&lt;&gt;"")*(1000-ROW(Rules!$A$5:$A$204)))),""))</f>
        <v/>
      </c>
    </row>
    <row r="646" customFormat="false" ht="15" hidden="false" customHeight="false" outlineLevel="0" collapsed="false">
      <c r="A646" s="23"/>
      <c r="B646" s="24"/>
      <c r="C646" s="25"/>
      <c r="D646" s="24"/>
      <c r="E646" s="21" t="str">
        <f aca="false">IF(OR(B646="",N(N646)=0,N646=1000),IF(B646="","","Check"),INDEX(Rules!$B:$B,N646))</f>
        <v/>
      </c>
      <c r="F646" s="21" t="str">
        <f aca="false">IF(OR(B646="",N(N646)=0,N646=1000),"",INDEX(Rules!$C:$C,N646))</f>
        <v/>
      </c>
      <c r="G646" s="24"/>
      <c r="H646" s="24"/>
      <c r="I646" s="20" t="str">
        <f aca="false">IF(B646="","",IF(G646&lt;&gt;"",G646,E646))</f>
        <v/>
      </c>
      <c r="J646" s="21" t="str">
        <f aca="false">IF(B646="","",IF(H646&lt;&gt;"",H646,F646))</f>
        <v/>
      </c>
      <c r="K646" s="26" t="str">
        <f aca="false">IF(A646="","",DATE(YEAR(A646),MONTH(A646),1))</f>
        <v/>
      </c>
      <c r="L646" s="21" t="str">
        <f aca="false">IF(J646="",IF(B646="","",IF(N(C646)&gt;=0,"Income","Expense")),IFERROR(INDEX(Lists!$B$2:$B$30,MATCH(J646,Lists!$A$2:$A$30,0)),""))</f>
        <v/>
      </c>
      <c r="M646" s="24"/>
      <c r="N646" s="27" t="str">
        <f aca="false">IF(B646="","",IFERROR(1000-SUMPRODUCT(MAX(ISNUMBER(SEARCH(Rules!$A$5:$A$204,B646))*(Rules!$A$5:$A$204&lt;&gt;"")*(1000-ROW(Rules!$A$5:$A$204)))),""))</f>
        <v/>
      </c>
    </row>
    <row r="647" customFormat="false" ht="15" hidden="false" customHeight="false" outlineLevel="0" collapsed="false">
      <c r="A647" s="23"/>
      <c r="B647" s="24"/>
      <c r="C647" s="25"/>
      <c r="D647" s="24"/>
      <c r="E647" s="21" t="str">
        <f aca="false">IF(OR(B647="",N(N647)=0,N647=1000),IF(B647="","","Check"),INDEX(Rules!$B:$B,N647))</f>
        <v/>
      </c>
      <c r="F647" s="21" t="str">
        <f aca="false">IF(OR(B647="",N(N647)=0,N647=1000),"",INDEX(Rules!$C:$C,N647))</f>
        <v/>
      </c>
      <c r="G647" s="24"/>
      <c r="H647" s="24"/>
      <c r="I647" s="20" t="str">
        <f aca="false">IF(B647="","",IF(G647&lt;&gt;"",G647,E647))</f>
        <v/>
      </c>
      <c r="J647" s="21" t="str">
        <f aca="false">IF(B647="","",IF(H647&lt;&gt;"",H647,F647))</f>
        <v/>
      </c>
      <c r="K647" s="26" t="str">
        <f aca="false">IF(A647="","",DATE(YEAR(A647),MONTH(A647),1))</f>
        <v/>
      </c>
      <c r="L647" s="21" t="str">
        <f aca="false">IF(J647="",IF(B647="","",IF(N(C647)&gt;=0,"Income","Expense")),IFERROR(INDEX(Lists!$B$2:$B$30,MATCH(J647,Lists!$A$2:$A$30,0)),""))</f>
        <v/>
      </c>
      <c r="M647" s="24"/>
      <c r="N647" s="27" t="str">
        <f aca="false">IF(B647="","",IFERROR(1000-SUMPRODUCT(MAX(ISNUMBER(SEARCH(Rules!$A$5:$A$204,B647))*(Rules!$A$5:$A$204&lt;&gt;"")*(1000-ROW(Rules!$A$5:$A$204)))),""))</f>
        <v/>
      </c>
    </row>
    <row r="648" customFormat="false" ht="15" hidden="false" customHeight="false" outlineLevel="0" collapsed="false">
      <c r="A648" s="23"/>
      <c r="B648" s="24"/>
      <c r="C648" s="25"/>
      <c r="D648" s="24"/>
      <c r="E648" s="21" t="str">
        <f aca="false">IF(OR(B648="",N(N648)=0,N648=1000),IF(B648="","","Check"),INDEX(Rules!$B:$B,N648))</f>
        <v/>
      </c>
      <c r="F648" s="21" t="str">
        <f aca="false">IF(OR(B648="",N(N648)=0,N648=1000),"",INDEX(Rules!$C:$C,N648))</f>
        <v/>
      </c>
      <c r="G648" s="24"/>
      <c r="H648" s="24"/>
      <c r="I648" s="20" t="str">
        <f aca="false">IF(B648="","",IF(G648&lt;&gt;"",G648,E648))</f>
        <v/>
      </c>
      <c r="J648" s="21" t="str">
        <f aca="false">IF(B648="","",IF(H648&lt;&gt;"",H648,F648))</f>
        <v/>
      </c>
      <c r="K648" s="26" t="str">
        <f aca="false">IF(A648="","",DATE(YEAR(A648),MONTH(A648),1))</f>
        <v/>
      </c>
      <c r="L648" s="21" t="str">
        <f aca="false">IF(J648="",IF(B648="","",IF(N(C648)&gt;=0,"Income","Expense")),IFERROR(INDEX(Lists!$B$2:$B$30,MATCH(J648,Lists!$A$2:$A$30,0)),""))</f>
        <v/>
      </c>
      <c r="M648" s="24"/>
      <c r="N648" s="27" t="str">
        <f aca="false">IF(B648="","",IFERROR(1000-SUMPRODUCT(MAX(ISNUMBER(SEARCH(Rules!$A$5:$A$204,B648))*(Rules!$A$5:$A$204&lt;&gt;"")*(1000-ROW(Rules!$A$5:$A$204)))),""))</f>
        <v/>
      </c>
    </row>
    <row r="649" customFormat="false" ht="15" hidden="false" customHeight="false" outlineLevel="0" collapsed="false">
      <c r="A649" s="23"/>
      <c r="B649" s="24"/>
      <c r="C649" s="25"/>
      <c r="D649" s="24"/>
      <c r="E649" s="21" t="str">
        <f aca="false">IF(OR(B649="",N(N649)=0,N649=1000),IF(B649="","","Check"),INDEX(Rules!$B:$B,N649))</f>
        <v/>
      </c>
      <c r="F649" s="21" t="str">
        <f aca="false">IF(OR(B649="",N(N649)=0,N649=1000),"",INDEX(Rules!$C:$C,N649))</f>
        <v/>
      </c>
      <c r="G649" s="24"/>
      <c r="H649" s="24"/>
      <c r="I649" s="20" t="str">
        <f aca="false">IF(B649="","",IF(G649&lt;&gt;"",G649,E649))</f>
        <v/>
      </c>
      <c r="J649" s="21" t="str">
        <f aca="false">IF(B649="","",IF(H649&lt;&gt;"",H649,F649))</f>
        <v/>
      </c>
      <c r="K649" s="26" t="str">
        <f aca="false">IF(A649="","",DATE(YEAR(A649),MONTH(A649),1))</f>
        <v/>
      </c>
      <c r="L649" s="21" t="str">
        <f aca="false">IF(J649="",IF(B649="","",IF(N(C649)&gt;=0,"Income","Expense")),IFERROR(INDEX(Lists!$B$2:$B$30,MATCH(J649,Lists!$A$2:$A$30,0)),""))</f>
        <v/>
      </c>
      <c r="M649" s="24"/>
      <c r="N649" s="27" t="str">
        <f aca="false">IF(B649="","",IFERROR(1000-SUMPRODUCT(MAX(ISNUMBER(SEARCH(Rules!$A$5:$A$204,B649))*(Rules!$A$5:$A$204&lt;&gt;"")*(1000-ROW(Rules!$A$5:$A$204)))),""))</f>
        <v/>
      </c>
    </row>
    <row r="650" customFormat="false" ht="15" hidden="false" customHeight="false" outlineLevel="0" collapsed="false">
      <c r="A650" s="23"/>
      <c r="B650" s="24"/>
      <c r="C650" s="25"/>
      <c r="D650" s="24"/>
      <c r="E650" s="21" t="str">
        <f aca="false">IF(OR(B650="",N(N650)=0,N650=1000),IF(B650="","","Check"),INDEX(Rules!$B:$B,N650))</f>
        <v/>
      </c>
      <c r="F650" s="21" t="str">
        <f aca="false">IF(OR(B650="",N(N650)=0,N650=1000),"",INDEX(Rules!$C:$C,N650))</f>
        <v/>
      </c>
      <c r="G650" s="24"/>
      <c r="H650" s="24"/>
      <c r="I650" s="20" t="str">
        <f aca="false">IF(B650="","",IF(G650&lt;&gt;"",G650,E650))</f>
        <v/>
      </c>
      <c r="J650" s="21" t="str">
        <f aca="false">IF(B650="","",IF(H650&lt;&gt;"",H650,F650))</f>
        <v/>
      </c>
      <c r="K650" s="26" t="str">
        <f aca="false">IF(A650="","",DATE(YEAR(A650),MONTH(A650),1))</f>
        <v/>
      </c>
      <c r="L650" s="21" t="str">
        <f aca="false">IF(J650="",IF(B650="","",IF(N(C650)&gt;=0,"Income","Expense")),IFERROR(INDEX(Lists!$B$2:$B$30,MATCH(J650,Lists!$A$2:$A$30,0)),""))</f>
        <v/>
      </c>
      <c r="M650" s="24"/>
      <c r="N650" s="27" t="str">
        <f aca="false">IF(B650="","",IFERROR(1000-SUMPRODUCT(MAX(ISNUMBER(SEARCH(Rules!$A$5:$A$204,B650))*(Rules!$A$5:$A$204&lt;&gt;"")*(1000-ROW(Rules!$A$5:$A$204)))),""))</f>
        <v/>
      </c>
    </row>
    <row r="651" customFormat="false" ht="15" hidden="false" customHeight="false" outlineLevel="0" collapsed="false">
      <c r="A651" s="23"/>
      <c r="B651" s="24"/>
      <c r="C651" s="25"/>
      <c r="D651" s="24"/>
      <c r="E651" s="21" t="str">
        <f aca="false">IF(OR(B651="",N(N651)=0,N651=1000),IF(B651="","","Check"),INDEX(Rules!$B:$B,N651))</f>
        <v/>
      </c>
      <c r="F651" s="21" t="str">
        <f aca="false">IF(OR(B651="",N(N651)=0,N651=1000),"",INDEX(Rules!$C:$C,N651))</f>
        <v/>
      </c>
      <c r="G651" s="24"/>
      <c r="H651" s="24"/>
      <c r="I651" s="20" t="str">
        <f aca="false">IF(B651="","",IF(G651&lt;&gt;"",G651,E651))</f>
        <v/>
      </c>
      <c r="J651" s="21" t="str">
        <f aca="false">IF(B651="","",IF(H651&lt;&gt;"",H651,F651))</f>
        <v/>
      </c>
      <c r="K651" s="26" t="str">
        <f aca="false">IF(A651="","",DATE(YEAR(A651),MONTH(A651),1))</f>
        <v/>
      </c>
      <c r="L651" s="21" t="str">
        <f aca="false">IF(J651="",IF(B651="","",IF(N(C651)&gt;=0,"Income","Expense")),IFERROR(INDEX(Lists!$B$2:$B$30,MATCH(J651,Lists!$A$2:$A$30,0)),""))</f>
        <v/>
      </c>
      <c r="M651" s="24"/>
      <c r="N651" s="27" t="str">
        <f aca="false">IF(B651="","",IFERROR(1000-SUMPRODUCT(MAX(ISNUMBER(SEARCH(Rules!$A$5:$A$204,B651))*(Rules!$A$5:$A$204&lt;&gt;"")*(1000-ROW(Rules!$A$5:$A$204)))),""))</f>
        <v/>
      </c>
    </row>
    <row r="652" customFormat="false" ht="15" hidden="false" customHeight="false" outlineLevel="0" collapsed="false">
      <c r="A652" s="23"/>
      <c r="B652" s="24"/>
      <c r="C652" s="25"/>
      <c r="D652" s="24"/>
      <c r="E652" s="21" t="str">
        <f aca="false">IF(OR(B652="",N(N652)=0,N652=1000),IF(B652="","","Check"),INDEX(Rules!$B:$B,N652))</f>
        <v/>
      </c>
      <c r="F652" s="21" t="str">
        <f aca="false">IF(OR(B652="",N(N652)=0,N652=1000),"",INDEX(Rules!$C:$C,N652))</f>
        <v/>
      </c>
      <c r="G652" s="24"/>
      <c r="H652" s="24"/>
      <c r="I652" s="20" t="str">
        <f aca="false">IF(B652="","",IF(G652&lt;&gt;"",G652,E652))</f>
        <v/>
      </c>
      <c r="J652" s="21" t="str">
        <f aca="false">IF(B652="","",IF(H652&lt;&gt;"",H652,F652))</f>
        <v/>
      </c>
      <c r="K652" s="26" t="str">
        <f aca="false">IF(A652="","",DATE(YEAR(A652),MONTH(A652),1))</f>
        <v/>
      </c>
      <c r="L652" s="21" t="str">
        <f aca="false">IF(J652="",IF(B652="","",IF(N(C652)&gt;=0,"Income","Expense")),IFERROR(INDEX(Lists!$B$2:$B$30,MATCH(J652,Lists!$A$2:$A$30,0)),""))</f>
        <v/>
      </c>
      <c r="M652" s="24"/>
      <c r="N652" s="27" t="str">
        <f aca="false">IF(B652="","",IFERROR(1000-SUMPRODUCT(MAX(ISNUMBER(SEARCH(Rules!$A$5:$A$204,B652))*(Rules!$A$5:$A$204&lt;&gt;"")*(1000-ROW(Rules!$A$5:$A$204)))),""))</f>
        <v/>
      </c>
    </row>
    <row r="653" customFormat="false" ht="15" hidden="false" customHeight="false" outlineLevel="0" collapsed="false">
      <c r="A653" s="23"/>
      <c r="B653" s="24"/>
      <c r="C653" s="25"/>
      <c r="D653" s="24"/>
      <c r="E653" s="21" t="str">
        <f aca="false">IF(OR(B653="",N(N653)=0,N653=1000),IF(B653="","","Check"),INDEX(Rules!$B:$B,N653))</f>
        <v/>
      </c>
      <c r="F653" s="21" t="str">
        <f aca="false">IF(OR(B653="",N(N653)=0,N653=1000),"",INDEX(Rules!$C:$C,N653))</f>
        <v/>
      </c>
      <c r="G653" s="24"/>
      <c r="H653" s="24"/>
      <c r="I653" s="20" t="str">
        <f aca="false">IF(B653="","",IF(G653&lt;&gt;"",G653,E653))</f>
        <v/>
      </c>
      <c r="J653" s="21" t="str">
        <f aca="false">IF(B653="","",IF(H653&lt;&gt;"",H653,F653))</f>
        <v/>
      </c>
      <c r="K653" s="26" t="str">
        <f aca="false">IF(A653="","",DATE(YEAR(A653),MONTH(A653),1))</f>
        <v/>
      </c>
      <c r="L653" s="21" t="str">
        <f aca="false">IF(J653="",IF(B653="","",IF(N(C653)&gt;=0,"Income","Expense")),IFERROR(INDEX(Lists!$B$2:$B$30,MATCH(J653,Lists!$A$2:$A$30,0)),""))</f>
        <v/>
      </c>
      <c r="M653" s="24"/>
      <c r="N653" s="27" t="str">
        <f aca="false">IF(B653="","",IFERROR(1000-SUMPRODUCT(MAX(ISNUMBER(SEARCH(Rules!$A$5:$A$204,B653))*(Rules!$A$5:$A$204&lt;&gt;"")*(1000-ROW(Rules!$A$5:$A$204)))),""))</f>
        <v/>
      </c>
    </row>
    <row r="654" customFormat="false" ht="15" hidden="false" customHeight="false" outlineLevel="0" collapsed="false">
      <c r="A654" s="23"/>
      <c r="B654" s="24"/>
      <c r="C654" s="25"/>
      <c r="D654" s="24"/>
      <c r="E654" s="21" t="str">
        <f aca="false">IF(OR(B654="",N(N654)=0,N654=1000),IF(B654="","","Check"),INDEX(Rules!$B:$B,N654))</f>
        <v/>
      </c>
      <c r="F654" s="21" t="str">
        <f aca="false">IF(OR(B654="",N(N654)=0,N654=1000),"",INDEX(Rules!$C:$C,N654))</f>
        <v/>
      </c>
      <c r="G654" s="24"/>
      <c r="H654" s="24"/>
      <c r="I654" s="20" t="str">
        <f aca="false">IF(B654="","",IF(G654&lt;&gt;"",G654,E654))</f>
        <v/>
      </c>
      <c r="J654" s="21" t="str">
        <f aca="false">IF(B654="","",IF(H654&lt;&gt;"",H654,F654))</f>
        <v/>
      </c>
      <c r="K654" s="26" t="str">
        <f aca="false">IF(A654="","",DATE(YEAR(A654),MONTH(A654),1))</f>
        <v/>
      </c>
      <c r="L654" s="21" t="str">
        <f aca="false">IF(J654="",IF(B654="","",IF(N(C654)&gt;=0,"Income","Expense")),IFERROR(INDEX(Lists!$B$2:$B$30,MATCH(J654,Lists!$A$2:$A$30,0)),""))</f>
        <v/>
      </c>
      <c r="M654" s="24"/>
      <c r="N654" s="27" t="str">
        <f aca="false">IF(B654="","",IFERROR(1000-SUMPRODUCT(MAX(ISNUMBER(SEARCH(Rules!$A$5:$A$204,B654))*(Rules!$A$5:$A$204&lt;&gt;"")*(1000-ROW(Rules!$A$5:$A$204)))),""))</f>
        <v/>
      </c>
    </row>
    <row r="655" customFormat="false" ht="15" hidden="false" customHeight="false" outlineLevel="0" collapsed="false">
      <c r="A655" s="23"/>
      <c r="B655" s="24"/>
      <c r="C655" s="25"/>
      <c r="D655" s="24"/>
      <c r="E655" s="21" t="str">
        <f aca="false">IF(OR(B655="",N(N655)=0,N655=1000),IF(B655="","","Check"),INDEX(Rules!$B:$B,N655))</f>
        <v/>
      </c>
      <c r="F655" s="21" t="str">
        <f aca="false">IF(OR(B655="",N(N655)=0,N655=1000),"",INDEX(Rules!$C:$C,N655))</f>
        <v/>
      </c>
      <c r="G655" s="24"/>
      <c r="H655" s="24"/>
      <c r="I655" s="20" t="str">
        <f aca="false">IF(B655="","",IF(G655&lt;&gt;"",G655,E655))</f>
        <v/>
      </c>
      <c r="J655" s="21" t="str">
        <f aca="false">IF(B655="","",IF(H655&lt;&gt;"",H655,F655))</f>
        <v/>
      </c>
      <c r="K655" s="26" t="str">
        <f aca="false">IF(A655="","",DATE(YEAR(A655),MONTH(A655),1))</f>
        <v/>
      </c>
      <c r="L655" s="21" t="str">
        <f aca="false">IF(J655="",IF(B655="","",IF(N(C655)&gt;=0,"Income","Expense")),IFERROR(INDEX(Lists!$B$2:$B$30,MATCH(J655,Lists!$A$2:$A$30,0)),""))</f>
        <v/>
      </c>
      <c r="M655" s="24"/>
      <c r="N655" s="27" t="str">
        <f aca="false">IF(B655="","",IFERROR(1000-SUMPRODUCT(MAX(ISNUMBER(SEARCH(Rules!$A$5:$A$204,B655))*(Rules!$A$5:$A$204&lt;&gt;"")*(1000-ROW(Rules!$A$5:$A$204)))),""))</f>
        <v/>
      </c>
    </row>
    <row r="656" customFormat="false" ht="15" hidden="false" customHeight="false" outlineLevel="0" collapsed="false">
      <c r="A656" s="23"/>
      <c r="B656" s="24"/>
      <c r="C656" s="25"/>
      <c r="D656" s="24"/>
      <c r="E656" s="21" t="str">
        <f aca="false">IF(OR(B656="",N(N656)=0,N656=1000),IF(B656="","","Check"),INDEX(Rules!$B:$B,N656))</f>
        <v/>
      </c>
      <c r="F656" s="21" t="str">
        <f aca="false">IF(OR(B656="",N(N656)=0,N656=1000),"",INDEX(Rules!$C:$C,N656))</f>
        <v/>
      </c>
      <c r="G656" s="24"/>
      <c r="H656" s="24"/>
      <c r="I656" s="20" t="str">
        <f aca="false">IF(B656="","",IF(G656&lt;&gt;"",G656,E656))</f>
        <v/>
      </c>
      <c r="J656" s="21" t="str">
        <f aca="false">IF(B656="","",IF(H656&lt;&gt;"",H656,F656))</f>
        <v/>
      </c>
      <c r="K656" s="26" t="str">
        <f aca="false">IF(A656="","",DATE(YEAR(A656),MONTH(A656),1))</f>
        <v/>
      </c>
      <c r="L656" s="21" t="str">
        <f aca="false">IF(J656="",IF(B656="","",IF(N(C656)&gt;=0,"Income","Expense")),IFERROR(INDEX(Lists!$B$2:$B$30,MATCH(J656,Lists!$A$2:$A$30,0)),""))</f>
        <v/>
      </c>
      <c r="M656" s="24"/>
      <c r="N656" s="27" t="str">
        <f aca="false">IF(B656="","",IFERROR(1000-SUMPRODUCT(MAX(ISNUMBER(SEARCH(Rules!$A$5:$A$204,B656))*(Rules!$A$5:$A$204&lt;&gt;"")*(1000-ROW(Rules!$A$5:$A$204)))),""))</f>
        <v/>
      </c>
    </row>
    <row r="657" customFormat="false" ht="15" hidden="false" customHeight="false" outlineLevel="0" collapsed="false">
      <c r="A657" s="23"/>
      <c r="B657" s="24"/>
      <c r="C657" s="25"/>
      <c r="D657" s="24"/>
      <c r="E657" s="21" t="str">
        <f aca="false">IF(OR(B657="",N(N657)=0,N657=1000),IF(B657="","","Check"),INDEX(Rules!$B:$B,N657))</f>
        <v/>
      </c>
      <c r="F657" s="21" t="str">
        <f aca="false">IF(OR(B657="",N(N657)=0,N657=1000),"",INDEX(Rules!$C:$C,N657))</f>
        <v/>
      </c>
      <c r="G657" s="24"/>
      <c r="H657" s="24"/>
      <c r="I657" s="20" t="str">
        <f aca="false">IF(B657="","",IF(G657&lt;&gt;"",G657,E657))</f>
        <v/>
      </c>
      <c r="J657" s="21" t="str">
        <f aca="false">IF(B657="","",IF(H657&lt;&gt;"",H657,F657))</f>
        <v/>
      </c>
      <c r="K657" s="26" t="str">
        <f aca="false">IF(A657="","",DATE(YEAR(A657),MONTH(A657),1))</f>
        <v/>
      </c>
      <c r="L657" s="21" t="str">
        <f aca="false">IF(J657="",IF(B657="","",IF(N(C657)&gt;=0,"Income","Expense")),IFERROR(INDEX(Lists!$B$2:$B$30,MATCH(J657,Lists!$A$2:$A$30,0)),""))</f>
        <v/>
      </c>
      <c r="M657" s="24"/>
      <c r="N657" s="27" t="str">
        <f aca="false">IF(B657="","",IFERROR(1000-SUMPRODUCT(MAX(ISNUMBER(SEARCH(Rules!$A$5:$A$204,B657))*(Rules!$A$5:$A$204&lt;&gt;"")*(1000-ROW(Rules!$A$5:$A$204)))),""))</f>
        <v/>
      </c>
    </row>
    <row r="658" customFormat="false" ht="15" hidden="false" customHeight="false" outlineLevel="0" collapsed="false">
      <c r="A658" s="23"/>
      <c r="B658" s="24"/>
      <c r="C658" s="25"/>
      <c r="D658" s="24"/>
      <c r="E658" s="21" t="str">
        <f aca="false">IF(OR(B658="",N(N658)=0,N658=1000),IF(B658="","","Check"),INDEX(Rules!$B:$B,N658))</f>
        <v/>
      </c>
      <c r="F658" s="21" t="str">
        <f aca="false">IF(OR(B658="",N(N658)=0,N658=1000),"",INDEX(Rules!$C:$C,N658))</f>
        <v/>
      </c>
      <c r="G658" s="24"/>
      <c r="H658" s="24"/>
      <c r="I658" s="20" t="str">
        <f aca="false">IF(B658="","",IF(G658&lt;&gt;"",G658,E658))</f>
        <v/>
      </c>
      <c r="J658" s="21" t="str">
        <f aca="false">IF(B658="","",IF(H658&lt;&gt;"",H658,F658))</f>
        <v/>
      </c>
      <c r="K658" s="26" t="str">
        <f aca="false">IF(A658="","",DATE(YEAR(A658),MONTH(A658),1))</f>
        <v/>
      </c>
      <c r="L658" s="21" t="str">
        <f aca="false">IF(J658="",IF(B658="","",IF(N(C658)&gt;=0,"Income","Expense")),IFERROR(INDEX(Lists!$B$2:$B$30,MATCH(J658,Lists!$A$2:$A$30,0)),""))</f>
        <v/>
      </c>
      <c r="M658" s="24"/>
      <c r="N658" s="27" t="str">
        <f aca="false">IF(B658="","",IFERROR(1000-SUMPRODUCT(MAX(ISNUMBER(SEARCH(Rules!$A$5:$A$204,B658))*(Rules!$A$5:$A$204&lt;&gt;"")*(1000-ROW(Rules!$A$5:$A$204)))),""))</f>
        <v/>
      </c>
    </row>
    <row r="659" customFormat="false" ht="15" hidden="false" customHeight="false" outlineLevel="0" collapsed="false">
      <c r="A659" s="23"/>
      <c r="B659" s="24"/>
      <c r="C659" s="25"/>
      <c r="D659" s="24"/>
      <c r="E659" s="21" t="str">
        <f aca="false">IF(OR(B659="",N(N659)=0,N659=1000),IF(B659="","","Check"),INDEX(Rules!$B:$B,N659))</f>
        <v/>
      </c>
      <c r="F659" s="21" t="str">
        <f aca="false">IF(OR(B659="",N(N659)=0,N659=1000),"",INDEX(Rules!$C:$C,N659))</f>
        <v/>
      </c>
      <c r="G659" s="24"/>
      <c r="H659" s="24"/>
      <c r="I659" s="20" t="str">
        <f aca="false">IF(B659="","",IF(G659&lt;&gt;"",G659,E659))</f>
        <v/>
      </c>
      <c r="J659" s="21" t="str">
        <f aca="false">IF(B659="","",IF(H659&lt;&gt;"",H659,F659))</f>
        <v/>
      </c>
      <c r="K659" s="26" t="str">
        <f aca="false">IF(A659="","",DATE(YEAR(A659),MONTH(A659),1))</f>
        <v/>
      </c>
      <c r="L659" s="21" t="str">
        <f aca="false">IF(J659="",IF(B659="","",IF(N(C659)&gt;=0,"Income","Expense")),IFERROR(INDEX(Lists!$B$2:$B$30,MATCH(J659,Lists!$A$2:$A$30,0)),""))</f>
        <v/>
      </c>
      <c r="M659" s="24"/>
      <c r="N659" s="27" t="str">
        <f aca="false">IF(B659="","",IFERROR(1000-SUMPRODUCT(MAX(ISNUMBER(SEARCH(Rules!$A$5:$A$204,B659))*(Rules!$A$5:$A$204&lt;&gt;"")*(1000-ROW(Rules!$A$5:$A$204)))),""))</f>
        <v/>
      </c>
    </row>
    <row r="660" customFormat="false" ht="15" hidden="false" customHeight="false" outlineLevel="0" collapsed="false">
      <c r="A660" s="23"/>
      <c r="B660" s="24"/>
      <c r="C660" s="25"/>
      <c r="D660" s="24"/>
      <c r="E660" s="21" t="str">
        <f aca="false">IF(OR(B660="",N(N660)=0,N660=1000),IF(B660="","","Check"),INDEX(Rules!$B:$B,N660))</f>
        <v/>
      </c>
      <c r="F660" s="21" t="str">
        <f aca="false">IF(OR(B660="",N(N660)=0,N660=1000),"",INDEX(Rules!$C:$C,N660))</f>
        <v/>
      </c>
      <c r="G660" s="24"/>
      <c r="H660" s="24"/>
      <c r="I660" s="20" t="str">
        <f aca="false">IF(B660="","",IF(G660&lt;&gt;"",G660,E660))</f>
        <v/>
      </c>
      <c r="J660" s="21" t="str">
        <f aca="false">IF(B660="","",IF(H660&lt;&gt;"",H660,F660))</f>
        <v/>
      </c>
      <c r="K660" s="26" t="str">
        <f aca="false">IF(A660="","",DATE(YEAR(A660),MONTH(A660),1))</f>
        <v/>
      </c>
      <c r="L660" s="21" t="str">
        <f aca="false">IF(J660="",IF(B660="","",IF(N(C660)&gt;=0,"Income","Expense")),IFERROR(INDEX(Lists!$B$2:$B$30,MATCH(J660,Lists!$A$2:$A$30,0)),""))</f>
        <v/>
      </c>
      <c r="M660" s="24"/>
      <c r="N660" s="27" t="str">
        <f aca="false">IF(B660="","",IFERROR(1000-SUMPRODUCT(MAX(ISNUMBER(SEARCH(Rules!$A$5:$A$204,B660))*(Rules!$A$5:$A$204&lt;&gt;"")*(1000-ROW(Rules!$A$5:$A$204)))),""))</f>
        <v/>
      </c>
    </row>
    <row r="661" customFormat="false" ht="15" hidden="false" customHeight="false" outlineLevel="0" collapsed="false">
      <c r="A661" s="23"/>
      <c r="B661" s="24"/>
      <c r="C661" s="25"/>
      <c r="D661" s="24"/>
      <c r="E661" s="21" t="str">
        <f aca="false">IF(OR(B661="",N(N661)=0,N661=1000),IF(B661="","","Check"),INDEX(Rules!$B:$B,N661))</f>
        <v/>
      </c>
      <c r="F661" s="21" t="str">
        <f aca="false">IF(OR(B661="",N(N661)=0,N661=1000),"",INDEX(Rules!$C:$C,N661))</f>
        <v/>
      </c>
      <c r="G661" s="24"/>
      <c r="H661" s="24"/>
      <c r="I661" s="20" t="str">
        <f aca="false">IF(B661="","",IF(G661&lt;&gt;"",G661,E661))</f>
        <v/>
      </c>
      <c r="J661" s="21" t="str">
        <f aca="false">IF(B661="","",IF(H661&lt;&gt;"",H661,F661))</f>
        <v/>
      </c>
      <c r="K661" s="26" t="str">
        <f aca="false">IF(A661="","",DATE(YEAR(A661),MONTH(A661),1))</f>
        <v/>
      </c>
      <c r="L661" s="21" t="str">
        <f aca="false">IF(J661="",IF(B661="","",IF(N(C661)&gt;=0,"Income","Expense")),IFERROR(INDEX(Lists!$B$2:$B$30,MATCH(J661,Lists!$A$2:$A$30,0)),""))</f>
        <v/>
      </c>
      <c r="M661" s="24"/>
      <c r="N661" s="27" t="str">
        <f aca="false">IF(B661="","",IFERROR(1000-SUMPRODUCT(MAX(ISNUMBER(SEARCH(Rules!$A$5:$A$204,B661))*(Rules!$A$5:$A$204&lt;&gt;"")*(1000-ROW(Rules!$A$5:$A$204)))),""))</f>
        <v/>
      </c>
    </row>
    <row r="662" customFormat="false" ht="15" hidden="false" customHeight="false" outlineLevel="0" collapsed="false">
      <c r="A662" s="23"/>
      <c r="B662" s="24"/>
      <c r="C662" s="25"/>
      <c r="D662" s="24"/>
      <c r="E662" s="21" t="str">
        <f aca="false">IF(OR(B662="",N(N662)=0,N662=1000),IF(B662="","","Check"),INDEX(Rules!$B:$B,N662))</f>
        <v/>
      </c>
      <c r="F662" s="21" t="str">
        <f aca="false">IF(OR(B662="",N(N662)=0,N662=1000),"",INDEX(Rules!$C:$C,N662))</f>
        <v/>
      </c>
      <c r="G662" s="24"/>
      <c r="H662" s="24"/>
      <c r="I662" s="20" t="str">
        <f aca="false">IF(B662="","",IF(G662&lt;&gt;"",G662,E662))</f>
        <v/>
      </c>
      <c r="J662" s="21" t="str">
        <f aca="false">IF(B662="","",IF(H662&lt;&gt;"",H662,F662))</f>
        <v/>
      </c>
      <c r="K662" s="26" t="str">
        <f aca="false">IF(A662="","",DATE(YEAR(A662),MONTH(A662),1))</f>
        <v/>
      </c>
      <c r="L662" s="21" t="str">
        <f aca="false">IF(J662="",IF(B662="","",IF(N(C662)&gt;=0,"Income","Expense")),IFERROR(INDEX(Lists!$B$2:$B$30,MATCH(J662,Lists!$A$2:$A$30,0)),""))</f>
        <v/>
      </c>
      <c r="M662" s="24"/>
      <c r="N662" s="27" t="str">
        <f aca="false">IF(B662="","",IFERROR(1000-SUMPRODUCT(MAX(ISNUMBER(SEARCH(Rules!$A$5:$A$204,B662))*(Rules!$A$5:$A$204&lt;&gt;"")*(1000-ROW(Rules!$A$5:$A$204)))),""))</f>
        <v/>
      </c>
    </row>
    <row r="663" customFormat="false" ht="15" hidden="false" customHeight="false" outlineLevel="0" collapsed="false">
      <c r="A663" s="23"/>
      <c r="B663" s="24"/>
      <c r="C663" s="25"/>
      <c r="D663" s="24"/>
      <c r="E663" s="21" t="str">
        <f aca="false">IF(OR(B663="",N(N663)=0,N663=1000),IF(B663="","","Check"),INDEX(Rules!$B:$B,N663))</f>
        <v/>
      </c>
      <c r="F663" s="21" t="str">
        <f aca="false">IF(OR(B663="",N(N663)=0,N663=1000),"",INDEX(Rules!$C:$C,N663))</f>
        <v/>
      </c>
      <c r="G663" s="24"/>
      <c r="H663" s="24"/>
      <c r="I663" s="20" t="str">
        <f aca="false">IF(B663="","",IF(G663&lt;&gt;"",G663,E663))</f>
        <v/>
      </c>
      <c r="J663" s="21" t="str">
        <f aca="false">IF(B663="","",IF(H663&lt;&gt;"",H663,F663))</f>
        <v/>
      </c>
      <c r="K663" s="26" t="str">
        <f aca="false">IF(A663="","",DATE(YEAR(A663),MONTH(A663),1))</f>
        <v/>
      </c>
      <c r="L663" s="21" t="str">
        <f aca="false">IF(J663="",IF(B663="","",IF(N(C663)&gt;=0,"Income","Expense")),IFERROR(INDEX(Lists!$B$2:$B$30,MATCH(J663,Lists!$A$2:$A$30,0)),""))</f>
        <v/>
      </c>
      <c r="M663" s="24"/>
      <c r="N663" s="27" t="str">
        <f aca="false">IF(B663="","",IFERROR(1000-SUMPRODUCT(MAX(ISNUMBER(SEARCH(Rules!$A$5:$A$204,B663))*(Rules!$A$5:$A$204&lt;&gt;"")*(1000-ROW(Rules!$A$5:$A$204)))),""))</f>
        <v/>
      </c>
    </row>
    <row r="664" customFormat="false" ht="15" hidden="false" customHeight="false" outlineLevel="0" collapsed="false">
      <c r="A664" s="23"/>
      <c r="B664" s="24"/>
      <c r="C664" s="25"/>
      <c r="D664" s="24"/>
      <c r="E664" s="21" t="str">
        <f aca="false">IF(OR(B664="",N(N664)=0,N664=1000),IF(B664="","","Check"),INDEX(Rules!$B:$B,N664))</f>
        <v/>
      </c>
      <c r="F664" s="21" t="str">
        <f aca="false">IF(OR(B664="",N(N664)=0,N664=1000),"",INDEX(Rules!$C:$C,N664))</f>
        <v/>
      </c>
      <c r="G664" s="24"/>
      <c r="H664" s="24"/>
      <c r="I664" s="20" t="str">
        <f aca="false">IF(B664="","",IF(G664&lt;&gt;"",G664,E664))</f>
        <v/>
      </c>
      <c r="J664" s="21" t="str">
        <f aca="false">IF(B664="","",IF(H664&lt;&gt;"",H664,F664))</f>
        <v/>
      </c>
      <c r="K664" s="26" t="str">
        <f aca="false">IF(A664="","",DATE(YEAR(A664),MONTH(A664),1))</f>
        <v/>
      </c>
      <c r="L664" s="21" t="str">
        <f aca="false">IF(J664="",IF(B664="","",IF(N(C664)&gt;=0,"Income","Expense")),IFERROR(INDEX(Lists!$B$2:$B$30,MATCH(J664,Lists!$A$2:$A$30,0)),""))</f>
        <v/>
      </c>
      <c r="M664" s="24"/>
      <c r="N664" s="27" t="str">
        <f aca="false">IF(B664="","",IFERROR(1000-SUMPRODUCT(MAX(ISNUMBER(SEARCH(Rules!$A$5:$A$204,B664))*(Rules!$A$5:$A$204&lt;&gt;"")*(1000-ROW(Rules!$A$5:$A$204)))),""))</f>
        <v/>
      </c>
    </row>
    <row r="665" customFormat="false" ht="15" hidden="false" customHeight="false" outlineLevel="0" collapsed="false">
      <c r="A665" s="23"/>
      <c r="B665" s="24"/>
      <c r="C665" s="25"/>
      <c r="D665" s="24"/>
      <c r="E665" s="21" t="str">
        <f aca="false">IF(OR(B665="",N(N665)=0,N665=1000),IF(B665="","","Check"),INDEX(Rules!$B:$B,N665))</f>
        <v/>
      </c>
      <c r="F665" s="21" t="str">
        <f aca="false">IF(OR(B665="",N(N665)=0,N665=1000),"",INDEX(Rules!$C:$C,N665))</f>
        <v/>
      </c>
      <c r="G665" s="24"/>
      <c r="H665" s="24"/>
      <c r="I665" s="20" t="str">
        <f aca="false">IF(B665="","",IF(G665&lt;&gt;"",G665,E665))</f>
        <v/>
      </c>
      <c r="J665" s="21" t="str">
        <f aca="false">IF(B665="","",IF(H665&lt;&gt;"",H665,F665))</f>
        <v/>
      </c>
      <c r="K665" s="26" t="str">
        <f aca="false">IF(A665="","",DATE(YEAR(A665),MONTH(A665),1))</f>
        <v/>
      </c>
      <c r="L665" s="21" t="str">
        <f aca="false">IF(J665="",IF(B665="","",IF(N(C665)&gt;=0,"Income","Expense")),IFERROR(INDEX(Lists!$B$2:$B$30,MATCH(J665,Lists!$A$2:$A$30,0)),""))</f>
        <v/>
      </c>
      <c r="M665" s="24"/>
      <c r="N665" s="27" t="str">
        <f aca="false">IF(B665="","",IFERROR(1000-SUMPRODUCT(MAX(ISNUMBER(SEARCH(Rules!$A$5:$A$204,B665))*(Rules!$A$5:$A$204&lt;&gt;"")*(1000-ROW(Rules!$A$5:$A$204)))),""))</f>
        <v/>
      </c>
    </row>
    <row r="666" customFormat="false" ht="15" hidden="false" customHeight="false" outlineLevel="0" collapsed="false">
      <c r="A666" s="23"/>
      <c r="B666" s="24"/>
      <c r="C666" s="25"/>
      <c r="D666" s="24"/>
      <c r="E666" s="21" t="str">
        <f aca="false">IF(OR(B666="",N(N666)=0,N666=1000),IF(B666="","","Check"),INDEX(Rules!$B:$B,N666))</f>
        <v/>
      </c>
      <c r="F666" s="21" t="str">
        <f aca="false">IF(OR(B666="",N(N666)=0,N666=1000),"",INDEX(Rules!$C:$C,N666))</f>
        <v/>
      </c>
      <c r="G666" s="24"/>
      <c r="H666" s="24"/>
      <c r="I666" s="20" t="str">
        <f aca="false">IF(B666="","",IF(G666&lt;&gt;"",G666,E666))</f>
        <v/>
      </c>
      <c r="J666" s="21" t="str">
        <f aca="false">IF(B666="","",IF(H666&lt;&gt;"",H666,F666))</f>
        <v/>
      </c>
      <c r="K666" s="26" t="str">
        <f aca="false">IF(A666="","",DATE(YEAR(A666),MONTH(A666),1))</f>
        <v/>
      </c>
      <c r="L666" s="21" t="str">
        <f aca="false">IF(J666="",IF(B666="","",IF(N(C666)&gt;=0,"Income","Expense")),IFERROR(INDEX(Lists!$B$2:$B$30,MATCH(J666,Lists!$A$2:$A$30,0)),""))</f>
        <v/>
      </c>
      <c r="M666" s="24"/>
      <c r="N666" s="27" t="str">
        <f aca="false">IF(B666="","",IFERROR(1000-SUMPRODUCT(MAX(ISNUMBER(SEARCH(Rules!$A$5:$A$204,B666))*(Rules!$A$5:$A$204&lt;&gt;"")*(1000-ROW(Rules!$A$5:$A$204)))),""))</f>
        <v/>
      </c>
    </row>
    <row r="667" customFormat="false" ht="15" hidden="false" customHeight="false" outlineLevel="0" collapsed="false">
      <c r="A667" s="23"/>
      <c r="B667" s="24"/>
      <c r="C667" s="25"/>
      <c r="D667" s="24"/>
      <c r="E667" s="21" t="str">
        <f aca="false">IF(OR(B667="",N(N667)=0,N667=1000),IF(B667="","","Check"),INDEX(Rules!$B:$B,N667))</f>
        <v/>
      </c>
      <c r="F667" s="21" t="str">
        <f aca="false">IF(OR(B667="",N(N667)=0,N667=1000),"",INDEX(Rules!$C:$C,N667))</f>
        <v/>
      </c>
      <c r="G667" s="24"/>
      <c r="H667" s="24"/>
      <c r="I667" s="20" t="str">
        <f aca="false">IF(B667="","",IF(G667&lt;&gt;"",G667,E667))</f>
        <v/>
      </c>
      <c r="J667" s="21" t="str">
        <f aca="false">IF(B667="","",IF(H667&lt;&gt;"",H667,F667))</f>
        <v/>
      </c>
      <c r="K667" s="26" t="str">
        <f aca="false">IF(A667="","",DATE(YEAR(A667),MONTH(A667),1))</f>
        <v/>
      </c>
      <c r="L667" s="21" t="str">
        <f aca="false">IF(J667="",IF(B667="","",IF(N(C667)&gt;=0,"Income","Expense")),IFERROR(INDEX(Lists!$B$2:$B$30,MATCH(J667,Lists!$A$2:$A$30,0)),""))</f>
        <v/>
      </c>
      <c r="M667" s="24"/>
      <c r="N667" s="27" t="str">
        <f aca="false">IF(B667="","",IFERROR(1000-SUMPRODUCT(MAX(ISNUMBER(SEARCH(Rules!$A$5:$A$204,B667))*(Rules!$A$5:$A$204&lt;&gt;"")*(1000-ROW(Rules!$A$5:$A$204)))),""))</f>
        <v/>
      </c>
    </row>
    <row r="668" customFormat="false" ht="15" hidden="false" customHeight="false" outlineLevel="0" collapsed="false">
      <c r="A668" s="23"/>
      <c r="B668" s="24"/>
      <c r="C668" s="25"/>
      <c r="D668" s="24"/>
      <c r="E668" s="21" t="str">
        <f aca="false">IF(OR(B668="",N(N668)=0,N668=1000),IF(B668="","","Check"),INDEX(Rules!$B:$B,N668))</f>
        <v/>
      </c>
      <c r="F668" s="21" t="str">
        <f aca="false">IF(OR(B668="",N(N668)=0,N668=1000),"",INDEX(Rules!$C:$C,N668))</f>
        <v/>
      </c>
      <c r="G668" s="24"/>
      <c r="H668" s="24"/>
      <c r="I668" s="20" t="str">
        <f aca="false">IF(B668="","",IF(G668&lt;&gt;"",G668,E668))</f>
        <v/>
      </c>
      <c r="J668" s="21" t="str">
        <f aca="false">IF(B668="","",IF(H668&lt;&gt;"",H668,F668))</f>
        <v/>
      </c>
      <c r="K668" s="26" t="str">
        <f aca="false">IF(A668="","",DATE(YEAR(A668),MONTH(A668),1))</f>
        <v/>
      </c>
      <c r="L668" s="21" t="str">
        <f aca="false">IF(J668="",IF(B668="","",IF(N(C668)&gt;=0,"Income","Expense")),IFERROR(INDEX(Lists!$B$2:$B$30,MATCH(J668,Lists!$A$2:$A$30,0)),""))</f>
        <v/>
      </c>
      <c r="M668" s="24"/>
      <c r="N668" s="27" t="str">
        <f aca="false">IF(B668="","",IFERROR(1000-SUMPRODUCT(MAX(ISNUMBER(SEARCH(Rules!$A$5:$A$204,B668))*(Rules!$A$5:$A$204&lt;&gt;"")*(1000-ROW(Rules!$A$5:$A$204)))),""))</f>
        <v/>
      </c>
    </row>
    <row r="669" customFormat="false" ht="15" hidden="false" customHeight="false" outlineLevel="0" collapsed="false">
      <c r="A669" s="23"/>
      <c r="B669" s="24"/>
      <c r="C669" s="25"/>
      <c r="D669" s="24"/>
      <c r="E669" s="21" t="str">
        <f aca="false">IF(OR(B669="",N(N669)=0,N669=1000),IF(B669="","","Check"),INDEX(Rules!$B:$B,N669))</f>
        <v/>
      </c>
      <c r="F669" s="21" t="str">
        <f aca="false">IF(OR(B669="",N(N669)=0,N669=1000),"",INDEX(Rules!$C:$C,N669))</f>
        <v/>
      </c>
      <c r="G669" s="24"/>
      <c r="H669" s="24"/>
      <c r="I669" s="20" t="str">
        <f aca="false">IF(B669="","",IF(G669&lt;&gt;"",G669,E669))</f>
        <v/>
      </c>
      <c r="J669" s="21" t="str">
        <f aca="false">IF(B669="","",IF(H669&lt;&gt;"",H669,F669))</f>
        <v/>
      </c>
      <c r="K669" s="26" t="str">
        <f aca="false">IF(A669="","",DATE(YEAR(A669),MONTH(A669),1))</f>
        <v/>
      </c>
      <c r="L669" s="21" t="str">
        <f aca="false">IF(J669="",IF(B669="","",IF(N(C669)&gt;=0,"Income","Expense")),IFERROR(INDEX(Lists!$B$2:$B$30,MATCH(J669,Lists!$A$2:$A$30,0)),""))</f>
        <v/>
      </c>
      <c r="M669" s="24"/>
      <c r="N669" s="27" t="str">
        <f aca="false">IF(B669="","",IFERROR(1000-SUMPRODUCT(MAX(ISNUMBER(SEARCH(Rules!$A$5:$A$204,B669))*(Rules!$A$5:$A$204&lt;&gt;"")*(1000-ROW(Rules!$A$5:$A$204)))),""))</f>
        <v/>
      </c>
    </row>
    <row r="670" customFormat="false" ht="15" hidden="false" customHeight="false" outlineLevel="0" collapsed="false">
      <c r="A670" s="23"/>
      <c r="B670" s="24"/>
      <c r="C670" s="25"/>
      <c r="D670" s="24"/>
      <c r="E670" s="21" t="str">
        <f aca="false">IF(OR(B670="",N(N670)=0,N670=1000),IF(B670="","","Check"),INDEX(Rules!$B:$B,N670))</f>
        <v/>
      </c>
      <c r="F670" s="21" t="str">
        <f aca="false">IF(OR(B670="",N(N670)=0,N670=1000),"",INDEX(Rules!$C:$C,N670))</f>
        <v/>
      </c>
      <c r="G670" s="24"/>
      <c r="H670" s="24"/>
      <c r="I670" s="20" t="str">
        <f aca="false">IF(B670="","",IF(G670&lt;&gt;"",G670,E670))</f>
        <v/>
      </c>
      <c r="J670" s="21" t="str">
        <f aca="false">IF(B670="","",IF(H670&lt;&gt;"",H670,F670))</f>
        <v/>
      </c>
      <c r="K670" s="26" t="str">
        <f aca="false">IF(A670="","",DATE(YEAR(A670),MONTH(A670),1))</f>
        <v/>
      </c>
      <c r="L670" s="21" t="str">
        <f aca="false">IF(J670="",IF(B670="","",IF(N(C670)&gt;=0,"Income","Expense")),IFERROR(INDEX(Lists!$B$2:$B$30,MATCH(J670,Lists!$A$2:$A$30,0)),""))</f>
        <v/>
      </c>
      <c r="M670" s="24"/>
      <c r="N670" s="27" t="str">
        <f aca="false">IF(B670="","",IFERROR(1000-SUMPRODUCT(MAX(ISNUMBER(SEARCH(Rules!$A$5:$A$204,B670))*(Rules!$A$5:$A$204&lt;&gt;"")*(1000-ROW(Rules!$A$5:$A$204)))),""))</f>
        <v/>
      </c>
    </row>
    <row r="671" customFormat="false" ht="15" hidden="false" customHeight="false" outlineLevel="0" collapsed="false">
      <c r="A671" s="23"/>
      <c r="B671" s="24"/>
      <c r="C671" s="25"/>
      <c r="D671" s="24"/>
      <c r="E671" s="21" t="str">
        <f aca="false">IF(OR(B671="",N(N671)=0,N671=1000),IF(B671="","","Check"),INDEX(Rules!$B:$B,N671))</f>
        <v/>
      </c>
      <c r="F671" s="21" t="str">
        <f aca="false">IF(OR(B671="",N(N671)=0,N671=1000),"",INDEX(Rules!$C:$C,N671))</f>
        <v/>
      </c>
      <c r="G671" s="24"/>
      <c r="H671" s="24"/>
      <c r="I671" s="20" t="str">
        <f aca="false">IF(B671="","",IF(G671&lt;&gt;"",G671,E671))</f>
        <v/>
      </c>
      <c r="J671" s="21" t="str">
        <f aca="false">IF(B671="","",IF(H671&lt;&gt;"",H671,F671))</f>
        <v/>
      </c>
      <c r="K671" s="26" t="str">
        <f aca="false">IF(A671="","",DATE(YEAR(A671),MONTH(A671),1))</f>
        <v/>
      </c>
      <c r="L671" s="21" t="str">
        <f aca="false">IF(J671="",IF(B671="","",IF(N(C671)&gt;=0,"Income","Expense")),IFERROR(INDEX(Lists!$B$2:$B$30,MATCH(J671,Lists!$A$2:$A$30,0)),""))</f>
        <v/>
      </c>
      <c r="M671" s="24"/>
      <c r="N671" s="27" t="str">
        <f aca="false">IF(B671="","",IFERROR(1000-SUMPRODUCT(MAX(ISNUMBER(SEARCH(Rules!$A$5:$A$204,B671))*(Rules!$A$5:$A$204&lt;&gt;"")*(1000-ROW(Rules!$A$5:$A$204)))),""))</f>
        <v/>
      </c>
    </row>
    <row r="672" customFormat="false" ht="15" hidden="false" customHeight="false" outlineLevel="0" collapsed="false">
      <c r="A672" s="23"/>
      <c r="B672" s="24"/>
      <c r="C672" s="25"/>
      <c r="D672" s="24"/>
      <c r="E672" s="21" t="str">
        <f aca="false">IF(OR(B672="",N(N672)=0,N672=1000),IF(B672="","","Check"),INDEX(Rules!$B:$B,N672))</f>
        <v/>
      </c>
      <c r="F672" s="21" t="str">
        <f aca="false">IF(OR(B672="",N(N672)=0,N672=1000),"",INDEX(Rules!$C:$C,N672))</f>
        <v/>
      </c>
      <c r="G672" s="24"/>
      <c r="H672" s="24"/>
      <c r="I672" s="20" t="str">
        <f aca="false">IF(B672="","",IF(G672&lt;&gt;"",G672,E672))</f>
        <v/>
      </c>
      <c r="J672" s="21" t="str">
        <f aca="false">IF(B672="","",IF(H672&lt;&gt;"",H672,F672))</f>
        <v/>
      </c>
      <c r="K672" s="26" t="str">
        <f aca="false">IF(A672="","",DATE(YEAR(A672),MONTH(A672),1))</f>
        <v/>
      </c>
      <c r="L672" s="21" t="str">
        <f aca="false">IF(J672="",IF(B672="","",IF(N(C672)&gt;=0,"Income","Expense")),IFERROR(INDEX(Lists!$B$2:$B$30,MATCH(J672,Lists!$A$2:$A$30,0)),""))</f>
        <v/>
      </c>
      <c r="M672" s="24"/>
      <c r="N672" s="27" t="str">
        <f aca="false">IF(B672="","",IFERROR(1000-SUMPRODUCT(MAX(ISNUMBER(SEARCH(Rules!$A$5:$A$204,B672))*(Rules!$A$5:$A$204&lt;&gt;"")*(1000-ROW(Rules!$A$5:$A$204)))),""))</f>
        <v/>
      </c>
    </row>
    <row r="673" customFormat="false" ht="15" hidden="false" customHeight="false" outlineLevel="0" collapsed="false">
      <c r="A673" s="23"/>
      <c r="B673" s="24"/>
      <c r="C673" s="25"/>
      <c r="D673" s="24"/>
      <c r="E673" s="21" t="str">
        <f aca="false">IF(OR(B673="",N(N673)=0,N673=1000),IF(B673="","","Check"),INDEX(Rules!$B:$B,N673))</f>
        <v/>
      </c>
      <c r="F673" s="21" t="str">
        <f aca="false">IF(OR(B673="",N(N673)=0,N673=1000),"",INDEX(Rules!$C:$C,N673))</f>
        <v/>
      </c>
      <c r="G673" s="24"/>
      <c r="H673" s="24"/>
      <c r="I673" s="20" t="str">
        <f aca="false">IF(B673="","",IF(G673&lt;&gt;"",G673,E673))</f>
        <v/>
      </c>
      <c r="J673" s="21" t="str">
        <f aca="false">IF(B673="","",IF(H673&lt;&gt;"",H673,F673))</f>
        <v/>
      </c>
      <c r="K673" s="26" t="str">
        <f aca="false">IF(A673="","",DATE(YEAR(A673),MONTH(A673),1))</f>
        <v/>
      </c>
      <c r="L673" s="21" t="str">
        <f aca="false">IF(J673="",IF(B673="","",IF(N(C673)&gt;=0,"Income","Expense")),IFERROR(INDEX(Lists!$B$2:$B$30,MATCH(J673,Lists!$A$2:$A$30,0)),""))</f>
        <v/>
      </c>
      <c r="M673" s="24"/>
      <c r="N673" s="27" t="str">
        <f aca="false">IF(B673="","",IFERROR(1000-SUMPRODUCT(MAX(ISNUMBER(SEARCH(Rules!$A$5:$A$204,B673))*(Rules!$A$5:$A$204&lt;&gt;"")*(1000-ROW(Rules!$A$5:$A$204)))),""))</f>
        <v/>
      </c>
    </row>
    <row r="674" customFormat="false" ht="15" hidden="false" customHeight="false" outlineLevel="0" collapsed="false">
      <c r="A674" s="23"/>
      <c r="B674" s="24"/>
      <c r="C674" s="25"/>
      <c r="D674" s="24"/>
      <c r="E674" s="21" t="str">
        <f aca="false">IF(OR(B674="",N(N674)=0,N674=1000),IF(B674="","","Check"),INDEX(Rules!$B:$B,N674))</f>
        <v/>
      </c>
      <c r="F674" s="21" t="str">
        <f aca="false">IF(OR(B674="",N(N674)=0,N674=1000),"",INDEX(Rules!$C:$C,N674))</f>
        <v/>
      </c>
      <c r="G674" s="24"/>
      <c r="H674" s="24"/>
      <c r="I674" s="20" t="str">
        <f aca="false">IF(B674="","",IF(G674&lt;&gt;"",G674,E674))</f>
        <v/>
      </c>
      <c r="J674" s="21" t="str">
        <f aca="false">IF(B674="","",IF(H674&lt;&gt;"",H674,F674))</f>
        <v/>
      </c>
      <c r="K674" s="26" t="str">
        <f aca="false">IF(A674="","",DATE(YEAR(A674),MONTH(A674),1))</f>
        <v/>
      </c>
      <c r="L674" s="21" t="str">
        <f aca="false">IF(J674="",IF(B674="","",IF(N(C674)&gt;=0,"Income","Expense")),IFERROR(INDEX(Lists!$B$2:$B$30,MATCH(J674,Lists!$A$2:$A$30,0)),""))</f>
        <v/>
      </c>
      <c r="M674" s="24"/>
      <c r="N674" s="27" t="str">
        <f aca="false">IF(B674="","",IFERROR(1000-SUMPRODUCT(MAX(ISNUMBER(SEARCH(Rules!$A$5:$A$204,B674))*(Rules!$A$5:$A$204&lt;&gt;"")*(1000-ROW(Rules!$A$5:$A$204)))),""))</f>
        <v/>
      </c>
    </row>
    <row r="675" customFormat="false" ht="15" hidden="false" customHeight="false" outlineLevel="0" collapsed="false">
      <c r="A675" s="23"/>
      <c r="B675" s="24"/>
      <c r="C675" s="25"/>
      <c r="D675" s="24"/>
      <c r="E675" s="21" t="str">
        <f aca="false">IF(OR(B675="",N(N675)=0,N675=1000),IF(B675="","","Check"),INDEX(Rules!$B:$B,N675))</f>
        <v/>
      </c>
      <c r="F675" s="21" t="str">
        <f aca="false">IF(OR(B675="",N(N675)=0,N675=1000),"",INDEX(Rules!$C:$C,N675))</f>
        <v/>
      </c>
      <c r="G675" s="24"/>
      <c r="H675" s="24"/>
      <c r="I675" s="20" t="str">
        <f aca="false">IF(B675="","",IF(G675&lt;&gt;"",G675,E675))</f>
        <v/>
      </c>
      <c r="J675" s="21" t="str">
        <f aca="false">IF(B675="","",IF(H675&lt;&gt;"",H675,F675))</f>
        <v/>
      </c>
      <c r="K675" s="26" t="str">
        <f aca="false">IF(A675="","",DATE(YEAR(A675),MONTH(A675),1))</f>
        <v/>
      </c>
      <c r="L675" s="21" t="str">
        <f aca="false">IF(J675="",IF(B675="","",IF(N(C675)&gt;=0,"Income","Expense")),IFERROR(INDEX(Lists!$B$2:$B$30,MATCH(J675,Lists!$A$2:$A$30,0)),""))</f>
        <v/>
      </c>
      <c r="M675" s="24"/>
      <c r="N675" s="27" t="str">
        <f aca="false">IF(B675="","",IFERROR(1000-SUMPRODUCT(MAX(ISNUMBER(SEARCH(Rules!$A$5:$A$204,B675))*(Rules!$A$5:$A$204&lt;&gt;"")*(1000-ROW(Rules!$A$5:$A$204)))),""))</f>
        <v/>
      </c>
    </row>
    <row r="676" customFormat="false" ht="15" hidden="false" customHeight="false" outlineLevel="0" collapsed="false">
      <c r="A676" s="23"/>
      <c r="B676" s="24"/>
      <c r="C676" s="25"/>
      <c r="D676" s="24"/>
      <c r="E676" s="21" t="str">
        <f aca="false">IF(OR(B676="",N(N676)=0,N676=1000),IF(B676="","","Check"),INDEX(Rules!$B:$B,N676))</f>
        <v/>
      </c>
      <c r="F676" s="21" t="str">
        <f aca="false">IF(OR(B676="",N(N676)=0,N676=1000),"",INDEX(Rules!$C:$C,N676))</f>
        <v/>
      </c>
      <c r="G676" s="24"/>
      <c r="H676" s="24"/>
      <c r="I676" s="20" t="str">
        <f aca="false">IF(B676="","",IF(G676&lt;&gt;"",G676,E676))</f>
        <v/>
      </c>
      <c r="J676" s="21" t="str">
        <f aca="false">IF(B676="","",IF(H676&lt;&gt;"",H676,F676))</f>
        <v/>
      </c>
      <c r="K676" s="26" t="str">
        <f aca="false">IF(A676="","",DATE(YEAR(A676),MONTH(A676),1))</f>
        <v/>
      </c>
      <c r="L676" s="21" t="str">
        <f aca="false">IF(J676="",IF(B676="","",IF(N(C676)&gt;=0,"Income","Expense")),IFERROR(INDEX(Lists!$B$2:$B$30,MATCH(J676,Lists!$A$2:$A$30,0)),""))</f>
        <v/>
      </c>
      <c r="M676" s="24"/>
      <c r="N676" s="27" t="str">
        <f aca="false">IF(B676="","",IFERROR(1000-SUMPRODUCT(MAX(ISNUMBER(SEARCH(Rules!$A$5:$A$204,B676))*(Rules!$A$5:$A$204&lt;&gt;"")*(1000-ROW(Rules!$A$5:$A$204)))),""))</f>
        <v/>
      </c>
    </row>
    <row r="677" customFormat="false" ht="15" hidden="false" customHeight="false" outlineLevel="0" collapsed="false">
      <c r="A677" s="23"/>
      <c r="B677" s="24"/>
      <c r="C677" s="25"/>
      <c r="D677" s="24"/>
      <c r="E677" s="21" t="str">
        <f aca="false">IF(OR(B677="",N(N677)=0,N677=1000),IF(B677="","","Check"),INDEX(Rules!$B:$B,N677))</f>
        <v/>
      </c>
      <c r="F677" s="21" t="str">
        <f aca="false">IF(OR(B677="",N(N677)=0,N677=1000),"",INDEX(Rules!$C:$C,N677))</f>
        <v/>
      </c>
      <c r="G677" s="24"/>
      <c r="H677" s="24"/>
      <c r="I677" s="20" t="str">
        <f aca="false">IF(B677="","",IF(G677&lt;&gt;"",G677,E677))</f>
        <v/>
      </c>
      <c r="J677" s="21" t="str">
        <f aca="false">IF(B677="","",IF(H677&lt;&gt;"",H677,F677))</f>
        <v/>
      </c>
      <c r="K677" s="26" t="str">
        <f aca="false">IF(A677="","",DATE(YEAR(A677),MONTH(A677),1))</f>
        <v/>
      </c>
      <c r="L677" s="21" t="str">
        <f aca="false">IF(J677="",IF(B677="","",IF(N(C677)&gt;=0,"Income","Expense")),IFERROR(INDEX(Lists!$B$2:$B$30,MATCH(J677,Lists!$A$2:$A$30,0)),""))</f>
        <v/>
      </c>
      <c r="M677" s="24"/>
      <c r="N677" s="27" t="str">
        <f aca="false">IF(B677="","",IFERROR(1000-SUMPRODUCT(MAX(ISNUMBER(SEARCH(Rules!$A$5:$A$204,B677))*(Rules!$A$5:$A$204&lt;&gt;"")*(1000-ROW(Rules!$A$5:$A$204)))),""))</f>
        <v/>
      </c>
    </row>
    <row r="678" customFormat="false" ht="15" hidden="false" customHeight="false" outlineLevel="0" collapsed="false">
      <c r="A678" s="23"/>
      <c r="B678" s="24"/>
      <c r="C678" s="25"/>
      <c r="D678" s="24"/>
      <c r="E678" s="21" t="str">
        <f aca="false">IF(OR(B678="",N(N678)=0,N678=1000),IF(B678="","","Check"),INDEX(Rules!$B:$B,N678))</f>
        <v/>
      </c>
      <c r="F678" s="21" t="str">
        <f aca="false">IF(OR(B678="",N(N678)=0,N678=1000),"",INDEX(Rules!$C:$C,N678))</f>
        <v/>
      </c>
      <c r="G678" s="24"/>
      <c r="H678" s="24"/>
      <c r="I678" s="20" t="str">
        <f aca="false">IF(B678="","",IF(G678&lt;&gt;"",G678,E678))</f>
        <v/>
      </c>
      <c r="J678" s="21" t="str">
        <f aca="false">IF(B678="","",IF(H678&lt;&gt;"",H678,F678))</f>
        <v/>
      </c>
      <c r="K678" s="26" t="str">
        <f aca="false">IF(A678="","",DATE(YEAR(A678),MONTH(A678),1))</f>
        <v/>
      </c>
      <c r="L678" s="21" t="str">
        <f aca="false">IF(J678="",IF(B678="","",IF(N(C678)&gt;=0,"Income","Expense")),IFERROR(INDEX(Lists!$B$2:$B$30,MATCH(J678,Lists!$A$2:$A$30,0)),""))</f>
        <v/>
      </c>
      <c r="M678" s="24"/>
      <c r="N678" s="27" t="str">
        <f aca="false">IF(B678="","",IFERROR(1000-SUMPRODUCT(MAX(ISNUMBER(SEARCH(Rules!$A$5:$A$204,B678))*(Rules!$A$5:$A$204&lt;&gt;"")*(1000-ROW(Rules!$A$5:$A$204)))),""))</f>
        <v/>
      </c>
    </row>
    <row r="679" customFormat="false" ht="15" hidden="false" customHeight="false" outlineLevel="0" collapsed="false">
      <c r="A679" s="23"/>
      <c r="B679" s="24"/>
      <c r="C679" s="25"/>
      <c r="D679" s="24"/>
      <c r="E679" s="21" t="str">
        <f aca="false">IF(OR(B679="",N(N679)=0,N679=1000),IF(B679="","","Check"),INDEX(Rules!$B:$B,N679))</f>
        <v/>
      </c>
      <c r="F679" s="21" t="str">
        <f aca="false">IF(OR(B679="",N(N679)=0,N679=1000),"",INDEX(Rules!$C:$C,N679))</f>
        <v/>
      </c>
      <c r="G679" s="24"/>
      <c r="H679" s="24"/>
      <c r="I679" s="20" t="str">
        <f aca="false">IF(B679="","",IF(G679&lt;&gt;"",G679,E679))</f>
        <v/>
      </c>
      <c r="J679" s="21" t="str">
        <f aca="false">IF(B679="","",IF(H679&lt;&gt;"",H679,F679))</f>
        <v/>
      </c>
      <c r="K679" s="26" t="str">
        <f aca="false">IF(A679="","",DATE(YEAR(A679),MONTH(A679),1))</f>
        <v/>
      </c>
      <c r="L679" s="21" t="str">
        <f aca="false">IF(J679="",IF(B679="","",IF(N(C679)&gt;=0,"Income","Expense")),IFERROR(INDEX(Lists!$B$2:$B$30,MATCH(J679,Lists!$A$2:$A$30,0)),""))</f>
        <v/>
      </c>
      <c r="M679" s="24"/>
      <c r="N679" s="27" t="str">
        <f aca="false">IF(B679="","",IFERROR(1000-SUMPRODUCT(MAX(ISNUMBER(SEARCH(Rules!$A$5:$A$204,B679))*(Rules!$A$5:$A$204&lt;&gt;"")*(1000-ROW(Rules!$A$5:$A$204)))),""))</f>
        <v/>
      </c>
    </row>
    <row r="680" customFormat="false" ht="15" hidden="false" customHeight="false" outlineLevel="0" collapsed="false">
      <c r="A680" s="23"/>
      <c r="B680" s="24"/>
      <c r="C680" s="25"/>
      <c r="D680" s="24"/>
      <c r="E680" s="21" t="str">
        <f aca="false">IF(OR(B680="",N(N680)=0,N680=1000),IF(B680="","","Check"),INDEX(Rules!$B:$B,N680))</f>
        <v/>
      </c>
      <c r="F680" s="21" t="str">
        <f aca="false">IF(OR(B680="",N(N680)=0,N680=1000),"",INDEX(Rules!$C:$C,N680))</f>
        <v/>
      </c>
      <c r="G680" s="24"/>
      <c r="H680" s="24"/>
      <c r="I680" s="20" t="str">
        <f aca="false">IF(B680="","",IF(G680&lt;&gt;"",G680,E680))</f>
        <v/>
      </c>
      <c r="J680" s="21" t="str">
        <f aca="false">IF(B680="","",IF(H680&lt;&gt;"",H680,F680))</f>
        <v/>
      </c>
      <c r="K680" s="26" t="str">
        <f aca="false">IF(A680="","",DATE(YEAR(A680),MONTH(A680),1))</f>
        <v/>
      </c>
      <c r="L680" s="21" t="str">
        <f aca="false">IF(J680="",IF(B680="","",IF(N(C680)&gt;=0,"Income","Expense")),IFERROR(INDEX(Lists!$B$2:$B$30,MATCH(J680,Lists!$A$2:$A$30,0)),""))</f>
        <v/>
      </c>
      <c r="M680" s="24"/>
      <c r="N680" s="27" t="str">
        <f aca="false">IF(B680="","",IFERROR(1000-SUMPRODUCT(MAX(ISNUMBER(SEARCH(Rules!$A$5:$A$204,B680))*(Rules!$A$5:$A$204&lt;&gt;"")*(1000-ROW(Rules!$A$5:$A$204)))),""))</f>
        <v/>
      </c>
    </row>
    <row r="681" customFormat="false" ht="15" hidden="false" customHeight="false" outlineLevel="0" collapsed="false">
      <c r="A681" s="23"/>
      <c r="B681" s="24"/>
      <c r="C681" s="25"/>
      <c r="D681" s="24"/>
      <c r="E681" s="21" t="str">
        <f aca="false">IF(OR(B681="",N(N681)=0,N681=1000),IF(B681="","","Check"),INDEX(Rules!$B:$B,N681))</f>
        <v/>
      </c>
      <c r="F681" s="21" t="str">
        <f aca="false">IF(OR(B681="",N(N681)=0,N681=1000),"",INDEX(Rules!$C:$C,N681))</f>
        <v/>
      </c>
      <c r="G681" s="24"/>
      <c r="H681" s="24"/>
      <c r="I681" s="20" t="str">
        <f aca="false">IF(B681="","",IF(G681&lt;&gt;"",G681,E681))</f>
        <v/>
      </c>
      <c r="J681" s="21" t="str">
        <f aca="false">IF(B681="","",IF(H681&lt;&gt;"",H681,F681))</f>
        <v/>
      </c>
      <c r="K681" s="26" t="str">
        <f aca="false">IF(A681="","",DATE(YEAR(A681),MONTH(A681),1))</f>
        <v/>
      </c>
      <c r="L681" s="21" t="str">
        <f aca="false">IF(J681="",IF(B681="","",IF(N(C681)&gt;=0,"Income","Expense")),IFERROR(INDEX(Lists!$B$2:$B$30,MATCH(J681,Lists!$A$2:$A$30,0)),""))</f>
        <v/>
      </c>
      <c r="M681" s="24"/>
      <c r="N681" s="27" t="str">
        <f aca="false">IF(B681="","",IFERROR(1000-SUMPRODUCT(MAX(ISNUMBER(SEARCH(Rules!$A$5:$A$204,B681))*(Rules!$A$5:$A$204&lt;&gt;"")*(1000-ROW(Rules!$A$5:$A$204)))),""))</f>
        <v/>
      </c>
    </row>
    <row r="682" customFormat="false" ht="15" hidden="false" customHeight="false" outlineLevel="0" collapsed="false">
      <c r="A682" s="23"/>
      <c r="B682" s="24"/>
      <c r="C682" s="25"/>
      <c r="D682" s="24"/>
      <c r="E682" s="21" t="str">
        <f aca="false">IF(OR(B682="",N(N682)=0,N682=1000),IF(B682="","","Check"),INDEX(Rules!$B:$B,N682))</f>
        <v/>
      </c>
      <c r="F682" s="21" t="str">
        <f aca="false">IF(OR(B682="",N(N682)=0,N682=1000),"",INDEX(Rules!$C:$C,N682))</f>
        <v/>
      </c>
      <c r="G682" s="24"/>
      <c r="H682" s="24"/>
      <c r="I682" s="20" t="str">
        <f aca="false">IF(B682="","",IF(G682&lt;&gt;"",G682,E682))</f>
        <v/>
      </c>
      <c r="J682" s="21" t="str">
        <f aca="false">IF(B682="","",IF(H682&lt;&gt;"",H682,F682))</f>
        <v/>
      </c>
      <c r="K682" s="26" t="str">
        <f aca="false">IF(A682="","",DATE(YEAR(A682),MONTH(A682),1))</f>
        <v/>
      </c>
      <c r="L682" s="21" t="str">
        <f aca="false">IF(J682="",IF(B682="","",IF(N(C682)&gt;=0,"Income","Expense")),IFERROR(INDEX(Lists!$B$2:$B$30,MATCH(J682,Lists!$A$2:$A$30,0)),""))</f>
        <v/>
      </c>
      <c r="M682" s="24"/>
      <c r="N682" s="27" t="str">
        <f aca="false">IF(B682="","",IFERROR(1000-SUMPRODUCT(MAX(ISNUMBER(SEARCH(Rules!$A$5:$A$204,B682))*(Rules!$A$5:$A$204&lt;&gt;"")*(1000-ROW(Rules!$A$5:$A$204)))),""))</f>
        <v/>
      </c>
    </row>
    <row r="683" customFormat="false" ht="15" hidden="false" customHeight="false" outlineLevel="0" collapsed="false">
      <c r="A683" s="23"/>
      <c r="B683" s="24"/>
      <c r="C683" s="25"/>
      <c r="D683" s="24"/>
      <c r="E683" s="21" t="str">
        <f aca="false">IF(OR(B683="",N(N683)=0,N683=1000),IF(B683="","","Check"),INDEX(Rules!$B:$B,N683))</f>
        <v/>
      </c>
      <c r="F683" s="21" t="str">
        <f aca="false">IF(OR(B683="",N(N683)=0,N683=1000),"",INDEX(Rules!$C:$C,N683))</f>
        <v/>
      </c>
      <c r="G683" s="24"/>
      <c r="H683" s="24"/>
      <c r="I683" s="20" t="str">
        <f aca="false">IF(B683="","",IF(G683&lt;&gt;"",G683,E683))</f>
        <v/>
      </c>
      <c r="J683" s="21" t="str">
        <f aca="false">IF(B683="","",IF(H683&lt;&gt;"",H683,F683))</f>
        <v/>
      </c>
      <c r="K683" s="26" t="str">
        <f aca="false">IF(A683="","",DATE(YEAR(A683),MONTH(A683),1))</f>
        <v/>
      </c>
      <c r="L683" s="21" t="str">
        <f aca="false">IF(J683="",IF(B683="","",IF(N(C683)&gt;=0,"Income","Expense")),IFERROR(INDEX(Lists!$B$2:$B$30,MATCH(J683,Lists!$A$2:$A$30,0)),""))</f>
        <v/>
      </c>
      <c r="M683" s="24"/>
      <c r="N683" s="27" t="str">
        <f aca="false">IF(B683="","",IFERROR(1000-SUMPRODUCT(MAX(ISNUMBER(SEARCH(Rules!$A$5:$A$204,B683))*(Rules!$A$5:$A$204&lt;&gt;"")*(1000-ROW(Rules!$A$5:$A$204)))),""))</f>
        <v/>
      </c>
    </row>
    <row r="684" customFormat="false" ht="15" hidden="false" customHeight="false" outlineLevel="0" collapsed="false">
      <c r="A684" s="23"/>
      <c r="B684" s="24"/>
      <c r="C684" s="25"/>
      <c r="D684" s="24"/>
      <c r="E684" s="21" t="str">
        <f aca="false">IF(OR(B684="",N(N684)=0,N684=1000),IF(B684="","","Check"),INDEX(Rules!$B:$B,N684))</f>
        <v/>
      </c>
      <c r="F684" s="21" t="str">
        <f aca="false">IF(OR(B684="",N(N684)=0,N684=1000),"",INDEX(Rules!$C:$C,N684))</f>
        <v/>
      </c>
      <c r="G684" s="24"/>
      <c r="H684" s="24"/>
      <c r="I684" s="20" t="str">
        <f aca="false">IF(B684="","",IF(G684&lt;&gt;"",G684,E684))</f>
        <v/>
      </c>
      <c r="J684" s="21" t="str">
        <f aca="false">IF(B684="","",IF(H684&lt;&gt;"",H684,F684))</f>
        <v/>
      </c>
      <c r="K684" s="26" t="str">
        <f aca="false">IF(A684="","",DATE(YEAR(A684),MONTH(A684),1))</f>
        <v/>
      </c>
      <c r="L684" s="21" t="str">
        <f aca="false">IF(J684="",IF(B684="","",IF(N(C684)&gt;=0,"Income","Expense")),IFERROR(INDEX(Lists!$B$2:$B$30,MATCH(J684,Lists!$A$2:$A$30,0)),""))</f>
        <v/>
      </c>
      <c r="M684" s="24"/>
      <c r="N684" s="27" t="str">
        <f aca="false">IF(B684="","",IFERROR(1000-SUMPRODUCT(MAX(ISNUMBER(SEARCH(Rules!$A$5:$A$204,B684))*(Rules!$A$5:$A$204&lt;&gt;"")*(1000-ROW(Rules!$A$5:$A$204)))),""))</f>
        <v/>
      </c>
    </row>
    <row r="685" customFormat="false" ht="15" hidden="false" customHeight="false" outlineLevel="0" collapsed="false">
      <c r="A685" s="23"/>
      <c r="B685" s="24"/>
      <c r="C685" s="25"/>
      <c r="D685" s="24"/>
      <c r="E685" s="21" t="str">
        <f aca="false">IF(OR(B685="",N(N685)=0,N685=1000),IF(B685="","","Check"),INDEX(Rules!$B:$B,N685))</f>
        <v/>
      </c>
      <c r="F685" s="21" t="str">
        <f aca="false">IF(OR(B685="",N(N685)=0,N685=1000),"",INDEX(Rules!$C:$C,N685))</f>
        <v/>
      </c>
      <c r="G685" s="24"/>
      <c r="H685" s="24"/>
      <c r="I685" s="20" t="str">
        <f aca="false">IF(B685="","",IF(G685&lt;&gt;"",G685,E685))</f>
        <v/>
      </c>
      <c r="J685" s="21" t="str">
        <f aca="false">IF(B685="","",IF(H685&lt;&gt;"",H685,F685))</f>
        <v/>
      </c>
      <c r="K685" s="26" t="str">
        <f aca="false">IF(A685="","",DATE(YEAR(A685),MONTH(A685),1))</f>
        <v/>
      </c>
      <c r="L685" s="21" t="str">
        <f aca="false">IF(J685="",IF(B685="","",IF(N(C685)&gt;=0,"Income","Expense")),IFERROR(INDEX(Lists!$B$2:$B$30,MATCH(J685,Lists!$A$2:$A$30,0)),""))</f>
        <v/>
      </c>
      <c r="M685" s="24"/>
      <c r="N685" s="27" t="str">
        <f aca="false">IF(B685="","",IFERROR(1000-SUMPRODUCT(MAX(ISNUMBER(SEARCH(Rules!$A$5:$A$204,B685))*(Rules!$A$5:$A$204&lt;&gt;"")*(1000-ROW(Rules!$A$5:$A$204)))),""))</f>
        <v/>
      </c>
    </row>
    <row r="686" customFormat="false" ht="15" hidden="false" customHeight="false" outlineLevel="0" collapsed="false">
      <c r="A686" s="23"/>
      <c r="B686" s="24"/>
      <c r="C686" s="25"/>
      <c r="D686" s="24"/>
      <c r="E686" s="21" t="str">
        <f aca="false">IF(OR(B686="",N(N686)=0,N686=1000),IF(B686="","","Check"),INDEX(Rules!$B:$B,N686))</f>
        <v/>
      </c>
      <c r="F686" s="21" t="str">
        <f aca="false">IF(OR(B686="",N(N686)=0,N686=1000),"",INDEX(Rules!$C:$C,N686))</f>
        <v/>
      </c>
      <c r="G686" s="24"/>
      <c r="H686" s="24"/>
      <c r="I686" s="20" t="str">
        <f aca="false">IF(B686="","",IF(G686&lt;&gt;"",G686,E686))</f>
        <v/>
      </c>
      <c r="J686" s="21" t="str">
        <f aca="false">IF(B686="","",IF(H686&lt;&gt;"",H686,F686))</f>
        <v/>
      </c>
      <c r="K686" s="26" t="str">
        <f aca="false">IF(A686="","",DATE(YEAR(A686),MONTH(A686),1))</f>
        <v/>
      </c>
      <c r="L686" s="21" t="str">
        <f aca="false">IF(J686="",IF(B686="","",IF(N(C686)&gt;=0,"Income","Expense")),IFERROR(INDEX(Lists!$B$2:$B$30,MATCH(J686,Lists!$A$2:$A$30,0)),""))</f>
        <v/>
      </c>
      <c r="M686" s="24"/>
      <c r="N686" s="27" t="str">
        <f aca="false">IF(B686="","",IFERROR(1000-SUMPRODUCT(MAX(ISNUMBER(SEARCH(Rules!$A$5:$A$204,B686))*(Rules!$A$5:$A$204&lt;&gt;"")*(1000-ROW(Rules!$A$5:$A$204)))),""))</f>
        <v/>
      </c>
    </row>
    <row r="687" customFormat="false" ht="15" hidden="false" customHeight="false" outlineLevel="0" collapsed="false">
      <c r="A687" s="23"/>
      <c r="B687" s="24"/>
      <c r="C687" s="25"/>
      <c r="D687" s="24"/>
      <c r="E687" s="21" t="str">
        <f aca="false">IF(OR(B687="",N(N687)=0,N687=1000),IF(B687="","","Check"),INDEX(Rules!$B:$B,N687))</f>
        <v/>
      </c>
      <c r="F687" s="21" t="str">
        <f aca="false">IF(OR(B687="",N(N687)=0,N687=1000),"",INDEX(Rules!$C:$C,N687))</f>
        <v/>
      </c>
      <c r="G687" s="24"/>
      <c r="H687" s="24"/>
      <c r="I687" s="20" t="str">
        <f aca="false">IF(B687="","",IF(G687&lt;&gt;"",G687,E687))</f>
        <v/>
      </c>
      <c r="J687" s="21" t="str">
        <f aca="false">IF(B687="","",IF(H687&lt;&gt;"",H687,F687))</f>
        <v/>
      </c>
      <c r="K687" s="26" t="str">
        <f aca="false">IF(A687="","",DATE(YEAR(A687),MONTH(A687),1))</f>
        <v/>
      </c>
      <c r="L687" s="21" t="str">
        <f aca="false">IF(J687="",IF(B687="","",IF(N(C687)&gt;=0,"Income","Expense")),IFERROR(INDEX(Lists!$B$2:$B$30,MATCH(J687,Lists!$A$2:$A$30,0)),""))</f>
        <v/>
      </c>
      <c r="M687" s="24"/>
      <c r="N687" s="27" t="str">
        <f aca="false">IF(B687="","",IFERROR(1000-SUMPRODUCT(MAX(ISNUMBER(SEARCH(Rules!$A$5:$A$204,B687))*(Rules!$A$5:$A$204&lt;&gt;"")*(1000-ROW(Rules!$A$5:$A$204)))),""))</f>
        <v/>
      </c>
    </row>
    <row r="688" customFormat="false" ht="15" hidden="false" customHeight="false" outlineLevel="0" collapsed="false">
      <c r="A688" s="23"/>
      <c r="B688" s="24"/>
      <c r="C688" s="25"/>
      <c r="D688" s="24"/>
      <c r="E688" s="21" t="str">
        <f aca="false">IF(OR(B688="",N(N688)=0,N688=1000),IF(B688="","","Check"),INDEX(Rules!$B:$B,N688))</f>
        <v/>
      </c>
      <c r="F688" s="21" t="str">
        <f aca="false">IF(OR(B688="",N(N688)=0,N688=1000),"",INDEX(Rules!$C:$C,N688))</f>
        <v/>
      </c>
      <c r="G688" s="24"/>
      <c r="H688" s="24"/>
      <c r="I688" s="20" t="str">
        <f aca="false">IF(B688="","",IF(G688&lt;&gt;"",G688,E688))</f>
        <v/>
      </c>
      <c r="J688" s="21" t="str">
        <f aca="false">IF(B688="","",IF(H688&lt;&gt;"",H688,F688))</f>
        <v/>
      </c>
      <c r="K688" s="26" t="str">
        <f aca="false">IF(A688="","",DATE(YEAR(A688),MONTH(A688),1))</f>
        <v/>
      </c>
      <c r="L688" s="21" t="str">
        <f aca="false">IF(J688="",IF(B688="","",IF(N(C688)&gt;=0,"Income","Expense")),IFERROR(INDEX(Lists!$B$2:$B$30,MATCH(J688,Lists!$A$2:$A$30,0)),""))</f>
        <v/>
      </c>
      <c r="M688" s="24"/>
      <c r="N688" s="27" t="str">
        <f aca="false">IF(B688="","",IFERROR(1000-SUMPRODUCT(MAX(ISNUMBER(SEARCH(Rules!$A$5:$A$204,B688))*(Rules!$A$5:$A$204&lt;&gt;"")*(1000-ROW(Rules!$A$5:$A$204)))),""))</f>
        <v/>
      </c>
    </row>
    <row r="689" customFormat="false" ht="15" hidden="false" customHeight="false" outlineLevel="0" collapsed="false">
      <c r="A689" s="23"/>
      <c r="B689" s="24"/>
      <c r="C689" s="25"/>
      <c r="D689" s="24"/>
      <c r="E689" s="21" t="str">
        <f aca="false">IF(OR(B689="",N(N689)=0,N689=1000),IF(B689="","","Check"),INDEX(Rules!$B:$B,N689))</f>
        <v/>
      </c>
      <c r="F689" s="21" t="str">
        <f aca="false">IF(OR(B689="",N(N689)=0,N689=1000),"",INDEX(Rules!$C:$C,N689))</f>
        <v/>
      </c>
      <c r="G689" s="24"/>
      <c r="H689" s="24"/>
      <c r="I689" s="20" t="str">
        <f aca="false">IF(B689="","",IF(G689&lt;&gt;"",G689,E689))</f>
        <v/>
      </c>
      <c r="J689" s="21" t="str">
        <f aca="false">IF(B689="","",IF(H689&lt;&gt;"",H689,F689))</f>
        <v/>
      </c>
      <c r="K689" s="26" t="str">
        <f aca="false">IF(A689="","",DATE(YEAR(A689),MONTH(A689),1))</f>
        <v/>
      </c>
      <c r="L689" s="21" t="str">
        <f aca="false">IF(J689="",IF(B689="","",IF(N(C689)&gt;=0,"Income","Expense")),IFERROR(INDEX(Lists!$B$2:$B$30,MATCH(J689,Lists!$A$2:$A$30,0)),""))</f>
        <v/>
      </c>
      <c r="M689" s="24"/>
      <c r="N689" s="27" t="str">
        <f aca="false">IF(B689="","",IFERROR(1000-SUMPRODUCT(MAX(ISNUMBER(SEARCH(Rules!$A$5:$A$204,B689))*(Rules!$A$5:$A$204&lt;&gt;"")*(1000-ROW(Rules!$A$5:$A$204)))),""))</f>
        <v/>
      </c>
    </row>
    <row r="690" customFormat="false" ht="15" hidden="false" customHeight="false" outlineLevel="0" collapsed="false">
      <c r="A690" s="23"/>
      <c r="B690" s="24"/>
      <c r="C690" s="25"/>
      <c r="D690" s="24"/>
      <c r="E690" s="21" t="str">
        <f aca="false">IF(OR(B690="",N(N690)=0,N690=1000),IF(B690="","","Check"),INDEX(Rules!$B:$B,N690))</f>
        <v/>
      </c>
      <c r="F690" s="21" t="str">
        <f aca="false">IF(OR(B690="",N(N690)=0,N690=1000),"",INDEX(Rules!$C:$C,N690))</f>
        <v/>
      </c>
      <c r="G690" s="24"/>
      <c r="H690" s="24"/>
      <c r="I690" s="20" t="str">
        <f aca="false">IF(B690="","",IF(G690&lt;&gt;"",G690,E690))</f>
        <v/>
      </c>
      <c r="J690" s="21" t="str">
        <f aca="false">IF(B690="","",IF(H690&lt;&gt;"",H690,F690))</f>
        <v/>
      </c>
      <c r="K690" s="26" t="str">
        <f aca="false">IF(A690="","",DATE(YEAR(A690),MONTH(A690),1))</f>
        <v/>
      </c>
      <c r="L690" s="21" t="str">
        <f aca="false">IF(J690="",IF(B690="","",IF(N(C690)&gt;=0,"Income","Expense")),IFERROR(INDEX(Lists!$B$2:$B$30,MATCH(J690,Lists!$A$2:$A$30,0)),""))</f>
        <v/>
      </c>
      <c r="M690" s="24"/>
      <c r="N690" s="27" t="str">
        <f aca="false">IF(B690="","",IFERROR(1000-SUMPRODUCT(MAX(ISNUMBER(SEARCH(Rules!$A$5:$A$204,B690))*(Rules!$A$5:$A$204&lt;&gt;"")*(1000-ROW(Rules!$A$5:$A$204)))),""))</f>
        <v/>
      </c>
    </row>
    <row r="691" customFormat="false" ht="15" hidden="false" customHeight="false" outlineLevel="0" collapsed="false">
      <c r="A691" s="23"/>
      <c r="B691" s="24"/>
      <c r="C691" s="25"/>
      <c r="D691" s="24"/>
      <c r="E691" s="21" t="str">
        <f aca="false">IF(OR(B691="",N(N691)=0,N691=1000),IF(B691="","","Check"),INDEX(Rules!$B:$B,N691))</f>
        <v/>
      </c>
      <c r="F691" s="21" t="str">
        <f aca="false">IF(OR(B691="",N(N691)=0,N691=1000),"",INDEX(Rules!$C:$C,N691))</f>
        <v/>
      </c>
      <c r="G691" s="24"/>
      <c r="H691" s="24"/>
      <c r="I691" s="20" t="str">
        <f aca="false">IF(B691="","",IF(G691&lt;&gt;"",G691,E691))</f>
        <v/>
      </c>
      <c r="J691" s="21" t="str">
        <f aca="false">IF(B691="","",IF(H691&lt;&gt;"",H691,F691))</f>
        <v/>
      </c>
      <c r="K691" s="26" t="str">
        <f aca="false">IF(A691="","",DATE(YEAR(A691),MONTH(A691),1))</f>
        <v/>
      </c>
      <c r="L691" s="21" t="str">
        <f aca="false">IF(J691="",IF(B691="","",IF(N(C691)&gt;=0,"Income","Expense")),IFERROR(INDEX(Lists!$B$2:$B$30,MATCH(J691,Lists!$A$2:$A$30,0)),""))</f>
        <v/>
      </c>
      <c r="M691" s="24"/>
      <c r="N691" s="27" t="str">
        <f aca="false">IF(B691="","",IFERROR(1000-SUMPRODUCT(MAX(ISNUMBER(SEARCH(Rules!$A$5:$A$204,B691))*(Rules!$A$5:$A$204&lt;&gt;"")*(1000-ROW(Rules!$A$5:$A$204)))),""))</f>
        <v/>
      </c>
    </row>
    <row r="692" customFormat="false" ht="15" hidden="false" customHeight="false" outlineLevel="0" collapsed="false">
      <c r="A692" s="23"/>
      <c r="B692" s="24"/>
      <c r="C692" s="25"/>
      <c r="D692" s="24"/>
      <c r="E692" s="21" t="str">
        <f aca="false">IF(OR(B692="",N(N692)=0,N692=1000),IF(B692="","","Check"),INDEX(Rules!$B:$B,N692))</f>
        <v/>
      </c>
      <c r="F692" s="21" t="str">
        <f aca="false">IF(OR(B692="",N(N692)=0,N692=1000),"",INDEX(Rules!$C:$C,N692))</f>
        <v/>
      </c>
      <c r="G692" s="24"/>
      <c r="H692" s="24"/>
      <c r="I692" s="20" t="str">
        <f aca="false">IF(B692="","",IF(G692&lt;&gt;"",G692,E692))</f>
        <v/>
      </c>
      <c r="J692" s="21" t="str">
        <f aca="false">IF(B692="","",IF(H692&lt;&gt;"",H692,F692))</f>
        <v/>
      </c>
      <c r="K692" s="26" t="str">
        <f aca="false">IF(A692="","",DATE(YEAR(A692),MONTH(A692),1))</f>
        <v/>
      </c>
      <c r="L692" s="21" t="str">
        <f aca="false">IF(J692="",IF(B692="","",IF(N(C692)&gt;=0,"Income","Expense")),IFERROR(INDEX(Lists!$B$2:$B$30,MATCH(J692,Lists!$A$2:$A$30,0)),""))</f>
        <v/>
      </c>
      <c r="M692" s="24"/>
      <c r="N692" s="27" t="str">
        <f aca="false">IF(B692="","",IFERROR(1000-SUMPRODUCT(MAX(ISNUMBER(SEARCH(Rules!$A$5:$A$204,B692))*(Rules!$A$5:$A$204&lt;&gt;"")*(1000-ROW(Rules!$A$5:$A$204)))),""))</f>
        <v/>
      </c>
    </row>
    <row r="693" customFormat="false" ht="15" hidden="false" customHeight="false" outlineLevel="0" collapsed="false">
      <c r="A693" s="23"/>
      <c r="B693" s="24"/>
      <c r="C693" s="25"/>
      <c r="D693" s="24"/>
      <c r="E693" s="21" t="str">
        <f aca="false">IF(OR(B693="",N(N693)=0,N693=1000),IF(B693="","","Check"),INDEX(Rules!$B:$B,N693))</f>
        <v/>
      </c>
      <c r="F693" s="21" t="str">
        <f aca="false">IF(OR(B693="",N(N693)=0,N693=1000),"",INDEX(Rules!$C:$C,N693))</f>
        <v/>
      </c>
      <c r="G693" s="24"/>
      <c r="H693" s="24"/>
      <c r="I693" s="20" t="str">
        <f aca="false">IF(B693="","",IF(G693&lt;&gt;"",G693,E693))</f>
        <v/>
      </c>
      <c r="J693" s="21" t="str">
        <f aca="false">IF(B693="","",IF(H693&lt;&gt;"",H693,F693))</f>
        <v/>
      </c>
      <c r="K693" s="26" t="str">
        <f aca="false">IF(A693="","",DATE(YEAR(A693),MONTH(A693),1))</f>
        <v/>
      </c>
      <c r="L693" s="21" t="str">
        <f aca="false">IF(J693="",IF(B693="","",IF(N(C693)&gt;=0,"Income","Expense")),IFERROR(INDEX(Lists!$B$2:$B$30,MATCH(J693,Lists!$A$2:$A$30,0)),""))</f>
        <v/>
      </c>
      <c r="M693" s="24"/>
      <c r="N693" s="27" t="str">
        <f aca="false">IF(B693="","",IFERROR(1000-SUMPRODUCT(MAX(ISNUMBER(SEARCH(Rules!$A$5:$A$204,B693))*(Rules!$A$5:$A$204&lt;&gt;"")*(1000-ROW(Rules!$A$5:$A$204)))),""))</f>
        <v/>
      </c>
    </row>
    <row r="694" customFormat="false" ht="15" hidden="false" customHeight="false" outlineLevel="0" collapsed="false">
      <c r="A694" s="23"/>
      <c r="B694" s="24"/>
      <c r="C694" s="25"/>
      <c r="D694" s="24"/>
      <c r="E694" s="21" t="str">
        <f aca="false">IF(OR(B694="",N(N694)=0,N694=1000),IF(B694="","","Check"),INDEX(Rules!$B:$B,N694))</f>
        <v/>
      </c>
      <c r="F694" s="21" t="str">
        <f aca="false">IF(OR(B694="",N(N694)=0,N694=1000),"",INDEX(Rules!$C:$C,N694))</f>
        <v/>
      </c>
      <c r="G694" s="24"/>
      <c r="H694" s="24"/>
      <c r="I694" s="20" t="str">
        <f aca="false">IF(B694="","",IF(G694&lt;&gt;"",G694,E694))</f>
        <v/>
      </c>
      <c r="J694" s="21" t="str">
        <f aca="false">IF(B694="","",IF(H694&lt;&gt;"",H694,F694))</f>
        <v/>
      </c>
      <c r="K694" s="26" t="str">
        <f aca="false">IF(A694="","",DATE(YEAR(A694),MONTH(A694),1))</f>
        <v/>
      </c>
      <c r="L694" s="21" t="str">
        <f aca="false">IF(J694="",IF(B694="","",IF(N(C694)&gt;=0,"Income","Expense")),IFERROR(INDEX(Lists!$B$2:$B$30,MATCH(J694,Lists!$A$2:$A$30,0)),""))</f>
        <v/>
      </c>
      <c r="M694" s="24"/>
      <c r="N694" s="27" t="str">
        <f aca="false">IF(B694="","",IFERROR(1000-SUMPRODUCT(MAX(ISNUMBER(SEARCH(Rules!$A$5:$A$204,B694))*(Rules!$A$5:$A$204&lt;&gt;"")*(1000-ROW(Rules!$A$5:$A$204)))),""))</f>
        <v/>
      </c>
    </row>
    <row r="695" customFormat="false" ht="15" hidden="false" customHeight="false" outlineLevel="0" collapsed="false">
      <c r="A695" s="23"/>
      <c r="B695" s="24"/>
      <c r="C695" s="25"/>
      <c r="D695" s="24"/>
      <c r="E695" s="21" t="str">
        <f aca="false">IF(OR(B695="",N(N695)=0,N695=1000),IF(B695="","","Check"),INDEX(Rules!$B:$B,N695))</f>
        <v/>
      </c>
      <c r="F695" s="21" t="str">
        <f aca="false">IF(OR(B695="",N(N695)=0,N695=1000),"",INDEX(Rules!$C:$C,N695))</f>
        <v/>
      </c>
      <c r="G695" s="24"/>
      <c r="H695" s="24"/>
      <c r="I695" s="20" t="str">
        <f aca="false">IF(B695="","",IF(G695&lt;&gt;"",G695,E695))</f>
        <v/>
      </c>
      <c r="J695" s="21" t="str">
        <f aca="false">IF(B695="","",IF(H695&lt;&gt;"",H695,F695))</f>
        <v/>
      </c>
      <c r="K695" s="26" t="str">
        <f aca="false">IF(A695="","",DATE(YEAR(A695),MONTH(A695),1))</f>
        <v/>
      </c>
      <c r="L695" s="21" t="str">
        <f aca="false">IF(J695="",IF(B695="","",IF(N(C695)&gt;=0,"Income","Expense")),IFERROR(INDEX(Lists!$B$2:$B$30,MATCH(J695,Lists!$A$2:$A$30,0)),""))</f>
        <v/>
      </c>
      <c r="M695" s="24"/>
      <c r="N695" s="27" t="str">
        <f aca="false">IF(B695="","",IFERROR(1000-SUMPRODUCT(MAX(ISNUMBER(SEARCH(Rules!$A$5:$A$204,B695))*(Rules!$A$5:$A$204&lt;&gt;"")*(1000-ROW(Rules!$A$5:$A$204)))),""))</f>
        <v/>
      </c>
    </row>
    <row r="696" customFormat="false" ht="15" hidden="false" customHeight="false" outlineLevel="0" collapsed="false">
      <c r="A696" s="23"/>
      <c r="B696" s="24"/>
      <c r="C696" s="25"/>
      <c r="D696" s="24"/>
      <c r="E696" s="21" t="str">
        <f aca="false">IF(OR(B696="",N(N696)=0,N696=1000),IF(B696="","","Check"),INDEX(Rules!$B:$B,N696))</f>
        <v/>
      </c>
      <c r="F696" s="21" t="str">
        <f aca="false">IF(OR(B696="",N(N696)=0,N696=1000),"",INDEX(Rules!$C:$C,N696))</f>
        <v/>
      </c>
      <c r="G696" s="24"/>
      <c r="H696" s="24"/>
      <c r="I696" s="20" t="str">
        <f aca="false">IF(B696="","",IF(G696&lt;&gt;"",G696,E696))</f>
        <v/>
      </c>
      <c r="J696" s="21" t="str">
        <f aca="false">IF(B696="","",IF(H696&lt;&gt;"",H696,F696))</f>
        <v/>
      </c>
      <c r="K696" s="26" t="str">
        <f aca="false">IF(A696="","",DATE(YEAR(A696),MONTH(A696),1))</f>
        <v/>
      </c>
      <c r="L696" s="21" t="str">
        <f aca="false">IF(J696="",IF(B696="","",IF(N(C696)&gt;=0,"Income","Expense")),IFERROR(INDEX(Lists!$B$2:$B$30,MATCH(J696,Lists!$A$2:$A$30,0)),""))</f>
        <v/>
      </c>
      <c r="M696" s="24"/>
      <c r="N696" s="27" t="str">
        <f aca="false">IF(B696="","",IFERROR(1000-SUMPRODUCT(MAX(ISNUMBER(SEARCH(Rules!$A$5:$A$204,B696))*(Rules!$A$5:$A$204&lt;&gt;"")*(1000-ROW(Rules!$A$5:$A$204)))),""))</f>
        <v/>
      </c>
    </row>
    <row r="697" customFormat="false" ht="15" hidden="false" customHeight="false" outlineLevel="0" collapsed="false">
      <c r="A697" s="23"/>
      <c r="B697" s="24"/>
      <c r="C697" s="25"/>
      <c r="D697" s="24"/>
      <c r="E697" s="21" t="str">
        <f aca="false">IF(OR(B697="",N(N697)=0,N697=1000),IF(B697="","","Check"),INDEX(Rules!$B:$B,N697))</f>
        <v/>
      </c>
      <c r="F697" s="21" t="str">
        <f aca="false">IF(OR(B697="",N(N697)=0,N697=1000),"",INDEX(Rules!$C:$C,N697))</f>
        <v/>
      </c>
      <c r="G697" s="24"/>
      <c r="H697" s="24"/>
      <c r="I697" s="20" t="str">
        <f aca="false">IF(B697="","",IF(G697&lt;&gt;"",G697,E697))</f>
        <v/>
      </c>
      <c r="J697" s="21" t="str">
        <f aca="false">IF(B697="","",IF(H697&lt;&gt;"",H697,F697))</f>
        <v/>
      </c>
      <c r="K697" s="26" t="str">
        <f aca="false">IF(A697="","",DATE(YEAR(A697),MONTH(A697),1))</f>
        <v/>
      </c>
      <c r="L697" s="21" t="str">
        <f aca="false">IF(J697="",IF(B697="","",IF(N(C697)&gt;=0,"Income","Expense")),IFERROR(INDEX(Lists!$B$2:$B$30,MATCH(J697,Lists!$A$2:$A$30,0)),""))</f>
        <v/>
      </c>
      <c r="M697" s="24"/>
      <c r="N697" s="27" t="str">
        <f aca="false">IF(B697="","",IFERROR(1000-SUMPRODUCT(MAX(ISNUMBER(SEARCH(Rules!$A$5:$A$204,B697))*(Rules!$A$5:$A$204&lt;&gt;"")*(1000-ROW(Rules!$A$5:$A$204)))),""))</f>
        <v/>
      </c>
    </row>
    <row r="698" customFormat="false" ht="15" hidden="false" customHeight="false" outlineLevel="0" collapsed="false">
      <c r="A698" s="23"/>
      <c r="B698" s="24"/>
      <c r="C698" s="25"/>
      <c r="D698" s="24"/>
      <c r="E698" s="21" t="str">
        <f aca="false">IF(OR(B698="",N(N698)=0,N698=1000),IF(B698="","","Check"),INDEX(Rules!$B:$B,N698))</f>
        <v/>
      </c>
      <c r="F698" s="21" t="str">
        <f aca="false">IF(OR(B698="",N(N698)=0,N698=1000),"",INDEX(Rules!$C:$C,N698))</f>
        <v/>
      </c>
      <c r="G698" s="24"/>
      <c r="H698" s="24"/>
      <c r="I698" s="20" t="str">
        <f aca="false">IF(B698="","",IF(G698&lt;&gt;"",G698,E698))</f>
        <v/>
      </c>
      <c r="J698" s="21" t="str">
        <f aca="false">IF(B698="","",IF(H698&lt;&gt;"",H698,F698))</f>
        <v/>
      </c>
      <c r="K698" s="26" t="str">
        <f aca="false">IF(A698="","",DATE(YEAR(A698),MONTH(A698),1))</f>
        <v/>
      </c>
      <c r="L698" s="21" t="str">
        <f aca="false">IF(J698="",IF(B698="","",IF(N(C698)&gt;=0,"Income","Expense")),IFERROR(INDEX(Lists!$B$2:$B$30,MATCH(J698,Lists!$A$2:$A$30,0)),""))</f>
        <v/>
      </c>
      <c r="M698" s="24"/>
      <c r="N698" s="27" t="str">
        <f aca="false">IF(B698="","",IFERROR(1000-SUMPRODUCT(MAX(ISNUMBER(SEARCH(Rules!$A$5:$A$204,B698))*(Rules!$A$5:$A$204&lt;&gt;"")*(1000-ROW(Rules!$A$5:$A$204)))),""))</f>
        <v/>
      </c>
    </row>
    <row r="699" customFormat="false" ht="15" hidden="false" customHeight="false" outlineLevel="0" collapsed="false">
      <c r="A699" s="23"/>
      <c r="B699" s="24"/>
      <c r="C699" s="25"/>
      <c r="D699" s="24"/>
      <c r="E699" s="21" t="str">
        <f aca="false">IF(OR(B699="",N(N699)=0,N699=1000),IF(B699="","","Check"),INDEX(Rules!$B:$B,N699))</f>
        <v/>
      </c>
      <c r="F699" s="21" t="str">
        <f aca="false">IF(OR(B699="",N(N699)=0,N699=1000),"",INDEX(Rules!$C:$C,N699))</f>
        <v/>
      </c>
      <c r="G699" s="24"/>
      <c r="H699" s="24"/>
      <c r="I699" s="20" t="str">
        <f aca="false">IF(B699="","",IF(G699&lt;&gt;"",G699,E699))</f>
        <v/>
      </c>
      <c r="J699" s="21" t="str">
        <f aca="false">IF(B699="","",IF(H699&lt;&gt;"",H699,F699))</f>
        <v/>
      </c>
      <c r="K699" s="26" t="str">
        <f aca="false">IF(A699="","",DATE(YEAR(A699),MONTH(A699),1))</f>
        <v/>
      </c>
      <c r="L699" s="21" t="str">
        <f aca="false">IF(J699="",IF(B699="","",IF(N(C699)&gt;=0,"Income","Expense")),IFERROR(INDEX(Lists!$B$2:$B$30,MATCH(J699,Lists!$A$2:$A$30,0)),""))</f>
        <v/>
      </c>
      <c r="M699" s="24"/>
      <c r="N699" s="27" t="str">
        <f aca="false">IF(B699="","",IFERROR(1000-SUMPRODUCT(MAX(ISNUMBER(SEARCH(Rules!$A$5:$A$204,B699))*(Rules!$A$5:$A$204&lt;&gt;"")*(1000-ROW(Rules!$A$5:$A$204)))),""))</f>
        <v/>
      </c>
    </row>
    <row r="700" customFormat="false" ht="15" hidden="false" customHeight="false" outlineLevel="0" collapsed="false">
      <c r="A700" s="23"/>
      <c r="B700" s="24"/>
      <c r="C700" s="25"/>
      <c r="D700" s="24"/>
      <c r="E700" s="21" t="str">
        <f aca="false">IF(OR(B700="",N(N700)=0,N700=1000),IF(B700="","","Check"),INDEX(Rules!$B:$B,N700))</f>
        <v/>
      </c>
      <c r="F700" s="21" t="str">
        <f aca="false">IF(OR(B700="",N(N700)=0,N700=1000),"",INDEX(Rules!$C:$C,N700))</f>
        <v/>
      </c>
      <c r="G700" s="24"/>
      <c r="H700" s="24"/>
      <c r="I700" s="20" t="str">
        <f aca="false">IF(B700="","",IF(G700&lt;&gt;"",G700,E700))</f>
        <v/>
      </c>
      <c r="J700" s="21" t="str">
        <f aca="false">IF(B700="","",IF(H700&lt;&gt;"",H700,F700))</f>
        <v/>
      </c>
      <c r="K700" s="26" t="str">
        <f aca="false">IF(A700="","",DATE(YEAR(A700),MONTH(A700),1))</f>
        <v/>
      </c>
      <c r="L700" s="21" t="str">
        <f aca="false">IF(J700="",IF(B700="","",IF(N(C700)&gt;=0,"Income","Expense")),IFERROR(INDEX(Lists!$B$2:$B$30,MATCH(J700,Lists!$A$2:$A$30,0)),""))</f>
        <v/>
      </c>
      <c r="M700" s="24"/>
      <c r="N700" s="27" t="str">
        <f aca="false">IF(B700="","",IFERROR(1000-SUMPRODUCT(MAX(ISNUMBER(SEARCH(Rules!$A$5:$A$204,B700))*(Rules!$A$5:$A$204&lt;&gt;"")*(1000-ROW(Rules!$A$5:$A$204)))),""))</f>
        <v/>
      </c>
    </row>
    <row r="701" customFormat="false" ht="15" hidden="false" customHeight="false" outlineLevel="0" collapsed="false">
      <c r="A701" s="23"/>
      <c r="B701" s="24"/>
      <c r="C701" s="25"/>
      <c r="D701" s="24"/>
      <c r="E701" s="21" t="str">
        <f aca="false">IF(OR(B701="",N(N701)=0,N701=1000),IF(B701="","","Check"),INDEX(Rules!$B:$B,N701))</f>
        <v/>
      </c>
      <c r="F701" s="21" t="str">
        <f aca="false">IF(OR(B701="",N(N701)=0,N701=1000),"",INDEX(Rules!$C:$C,N701))</f>
        <v/>
      </c>
      <c r="G701" s="24"/>
      <c r="H701" s="24"/>
      <c r="I701" s="20" t="str">
        <f aca="false">IF(B701="","",IF(G701&lt;&gt;"",G701,E701))</f>
        <v/>
      </c>
      <c r="J701" s="21" t="str">
        <f aca="false">IF(B701="","",IF(H701&lt;&gt;"",H701,F701))</f>
        <v/>
      </c>
      <c r="K701" s="26" t="str">
        <f aca="false">IF(A701="","",DATE(YEAR(A701),MONTH(A701),1))</f>
        <v/>
      </c>
      <c r="L701" s="21" t="str">
        <f aca="false">IF(J701="",IF(B701="","",IF(N(C701)&gt;=0,"Income","Expense")),IFERROR(INDEX(Lists!$B$2:$B$30,MATCH(J701,Lists!$A$2:$A$30,0)),""))</f>
        <v/>
      </c>
      <c r="M701" s="24"/>
      <c r="N701" s="27" t="str">
        <f aca="false">IF(B701="","",IFERROR(1000-SUMPRODUCT(MAX(ISNUMBER(SEARCH(Rules!$A$5:$A$204,B701))*(Rules!$A$5:$A$204&lt;&gt;"")*(1000-ROW(Rules!$A$5:$A$204)))),""))</f>
        <v/>
      </c>
    </row>
    <row r="702" customFormat="false" ht="15" hidden="false" customHeight="false" outlineLevel="0" collapsed="false">
      <c r="A702" s="23"/>
      <c r="B702" s="24"/>
      <c r="C702" s="25"/>
      <c r="D702" s="24"/>
      <c r="E702" s="21" t="str">
        <f aca="false">IF(OR(B702="",N(N702)=0,N702=1000),IF(B702="","","Check"),INDEX(Rules!$B:$B,N702))</f>
        <v/>
      </c>
      <c r="F702" s="21" t="str">
        <f aca="false">IF(OR(B702="",N(N702)=0,N702=1000),"",INDEX(Rules!$C:$C,N702))</f>
        <v/>
      </c>
      <c r="G702" s="24"/>
      <c r="H702" s="24"/>
      <c r="I702" s="20" t="str">
        <f aca="false">IF(B702="","",IF(G702&lt;&gt;"",G702,E702))</f>
        <v/>
      </c>
      <c r="J702" s="21" t="str">
        <f aca="false">IF(B702="","",IF(H702&lt;&gt;"",H702,F702))</f>
        <v/>
      </c>
      <c r="K702" s="26" t="str">
        <f aca="false">IF(A702="","",DATE(YEAR(A702),MONTH(A702),1))</f>
        <v/>
      </c>
      <c r="L702" s="21" t="str">
        <f aca="false">IF(J702="",IF(B702="","",IF(N(C702)&gt;=0,"Income","Expense")),IFERROR(INDEX(Lists!$B$2:$B$30,MATCH(J702,Lists!$A$2:$A$30,0)),""))</f>
        <v/>
      </c>
      <c r="M702" s="24"/>
      <c r="N702" s="27" t="str">
        <f aca="false">IF(B702="","",IFERROR(1000-SUMPRODUCT(MAX(ISNUMBER(SEARCH(Rules!$A$5:$A$204,B702))*(Rules!$A$5:$A$204&lt;&gt;"")*(1000-ROW(Rules!$A$5:$A$204)))),""))</f>
        <v/>
      </c>
    </row>
    <row r="703" customFormat="false" ht="15" hidden="false" customHeight="false" outlineLevel="0" collapsed="false">
      <c r="A703" s="23"/>
      <c r="B703" s="24"/>
      <c r="C703" s="25"/>
      <c r="D703" s="24"/>
      <c r="E703" s="21" t="str">
        <f aca="false">IF(OR(B703="",N(N703)=0,N703=1000),IF(B703="","","Check"),INDEX(Rules!$B:$B,N703))</f>
        <v/>
      </c>
      <c r="F703" s="21" t="str">
        <f aca="false">IF(OR(B703="",N(N703)=0,N703=1000),"",INDEX(Rules!$C:$C,N703))</f>
        <v/>
      </c>
      <c r="G703" s="24"/>
      <c r="H703" s="24"/>
      <c r="I703" s="20" t="str">
        <f aca="false">IF(B703="","",IF(G703&lt;&gt;"",G703,E703))</f>
        <v/>
      </c>
      <c r="J703" s="21" t="str">
        <f aca="false">IF(B703="","",IF(H703&lt;&gt;"",H703,F703))</f>
        <v/>
      </c>
      <c r="K703" s="26" t="str">
        <f aca="false">IF(A703="","",DATE(YEAR(A703),MONTH(A703),1))</f>
        <v/>
      </c>
      <c r="L703" s="21" t="str">
        <f aca="false">IF(J703="",IF(B703="","",IF(N(C703)&gt;=0,"Income","Expense")),IFERROR(INDEX(Lists!$B$2:$B$30,MATCH(J703,Lists!$A$2:$A$30,0)),""))</f>
        <v/>
      </c>
      <c r="M703" s="24"/>
      <c r="N703" s="27" t="str">
        <f aca="false">IF(B703="","",IFERROR(1000-SUMPRODUCT(MAX(ISNUMBER(SEARCH(Rules!$A$5:$A$204,B703))*(Rules!$A$5:$A$204&lt;&gt;"")*(1000-ROW(Rules!$A$5:$A$204)))),""))</f>
        <v/>
      </c>
    </row>
    <row r="704" customFormat="false" ht="15" hidden="false" customHeight="false" outlineLevel="0" collapsed="false">
      <c r="A704" s="23"/>
      <c r="B704" s="24"/>
      <c r="C704" s="25"/>
      <c r="D704" s="24"/>
      <c r="E704" s="21" t="str">
        <f aca="false">IF(OR(B704="",N(N704)=0,N704=1000),IF(B704="","","Check"),INDEX(Rules!$B:$B,N704))</f>
        <v/>
      </c>
      <c r="F704" s="21" t="str">
        <f aca="false">IF(OR(B704="",N(N704)=0,N704=1000),"",INDEX(Rules!$C:$C,N704))</f>
        <v/>
      </c>
      <c r="G704" s="24"/>
      <c r="H704" s="24"/>
      <c r="I704" s="20" t="str">
        <f aca="false">IF(B704="","",IF(G704&lt;&gt;"",G704,E704))</f>
        <v/>
      </c>
      <c r="J704" s="21" t="str">
        <f aca="false">IF(B704="","",IF(H704&lt;&gt;"",H704,F704))</f>
        <v/>
      </c>
      <c r="K704" s="26" t="str">
        <f aca="false">IF(A704="","",DATE(YEAR(A704),MONTH(A704),1))</f>
        <v/>
      </c>
      <c r="L704" s="21" t="str">
        <f aca="false">IF(J704="",IF(B704="","",IF(N(C704)&gt;=0,"Income","Expense")),IFERROR(INDEX(Lists!$B$2:$B$30,MATCH(J704,Lists!$A$2:$A$30,0)),""))</f>
        <v/>
      </c>
      <c r="M704" s="24"/>
      <c r="N704" s="27" t="str">
        <f aca="false">IF(B704="","",IFERROR(1000-SUMPRODUCT(MAX(ISNUMBER(SEARCH(Rules!$A$5:$A$204,B704))*(Rules!$A$5:$A$204&lt;&gt;"")*(1000-ROW(Rules!$A$5:$A$204)))),""))</f>
        <v/>
      </c>
    </row>
    <row r="705" customFormat="false" ht="15" hidden="false" customHeight="false" outlineLevel="0" collapsed="false">
      <c r="A705" s="23"/>
      <c r="B705" s="24"/>
      <c r="C705" s="25"/>
      <c r="D705" s="24"/>
      <c r="E705" s="21" t="str">
        <f aca="false">IF(OR(B705="",N(N705)=0,N705=1000),IF(B705="","","Check"),INDEX(Rules!$B:$B,N705))</f>
        <v/>
      </c>
      <c r="F705" s="21" t="str">
        <f aca="false">IF(OR(B705="",N(N705)=0,N705=1000),"",INDEX(Rules!$C:$C,N705))</f>
        <v/>
      </c>
      <c r="G705" s="24"/>
      <c r="H705" s="24"/>
      <c r="I705" s="20" t="str">
        <f aca="false">IF(B705="","",IF(G705&lt;&gt;"",G705,E705))</f>
        <v/>
      </c>
      <c r="J705" s="21" t="str">
        <f aca="false">IF(B705="","",IF(H705&lt;&gt;"",H705,F705))</f>
        <v/>
      </c>
      <c r="K705" s="26" t="str">
        <f aca="false">IF(A705="","",DATE(YEAR(A705),MONTH(A705),1))</f>
        <v/>
      </c>
      <c r="L705" s="21" t="str">
        <f aca="false">IF(J705="",IF(B705="","",IF(N(C705)&gt;=0,"Income","Expense")),IFERROR(INDEX(Lists!$B$2:$B$30,MATCH(J705,Lists!$A$2:$A$30,0)),""))</f>
        <v/>
      </c>
      <c r="M705" s="24"/>
      <c r="N705" s="27" t="str">
        <f aca="false">IF(B705="","",IFERROR(1000-SUMPRODUCT(MAX(ISNUMBER(SEARCH(Rules!$A$5:$A$204,B705))*(Rules!$A$5:$A$204&lt;&gt;"")*(1000-ROW(Rules!$A$5:$A$204)))),""))</f>
        <v/>
      </c>
    </row>
    <row r="706" customFormat="false" ht="15" hidden="false" customHeight="false" outlineLevel="0" collapsed="false">
      <c r="A706" s="23"/>
      <c r="B706" s="24"/>
      <c r="C706" s="25"/>
      <c r="D706" s="24"/>
      <c r="E706" s="21" t="str">
        <f aca="false">IF(OR(B706="",N(N706)=0,N706=1000),IF(B706="","","Check"),INDEX(Rules!$B:$B,N706))</f>
        <v/>
      </c>
      <c r="F706" s="21" t="str">
        <f aca="false">IF(OR(B706="",N(N706)=0,N706=1000),"",INDEX(Rules!$C:$C,N706))</f>
        <v/>
      </c>
      <c r="G706" s="24"/>
      <c r="H706" s="24"/>
      <c r="I706" s="20" t="str">
        <f aca="false">IF(B706="","",IF(G706&lt;&gt;"",G706,E706))</f>
        <v/>
      </c>
      <c r="J706" s="21" t="str">
        <f aca="false">IF(B706="","",IF(H706&lt;&gt;"",H706,F706))</f>
        <v/>
      </c>
      <c r="K706" s="26" t="str">
        <f aca="false">IF(A706="","",DATE(YEAR(A706),MONTH(A706),1))</f>
        <v/>
      </c>
      <c r="L706" s="21" t="str">
        <f aca="false">IF(J706="",IF(B706="","",IF(N(C706)&gt;=0,"Income","Expense")),IFERROR(INDEX(Lists!$B$2:$B$30,MATCH(J706,Lists!$A$2:$A$30,0)),""))</f>
        <v/>
      </c>
      <c r="M706" s="24"/>
      <c r="N706" s="27" t="str">
        <f aca="false">IF(B706="","",IFERROR(1000-SUMPRODUCT(MAX(ISNUMBER(SEARCH(Rules!$A$5:$A$204,B706))*(Rules!$A$5:$A$204&lt;&gt;"")*(1000-ROW(Rules!$A$5:$A$204)))),""))</f>
        <v/>
      </c>
    </row>
    <row r="707" customFormat="false" ht="15" hidden="false" customHeight="false" outlineLevel="0" collapsed="false">
      <c r="A707" s="23"/>
      <c r="B707" s="24"/>
      <c r="C707" s="25"/>
      <c r="D707" s="24"/>
      <c r="E707" s="21" t="str">
        <f aca="false">IF(OR(B707="",N(N707)=0,N707=1000),IF(B707="","","Check"),INDEX(Rules!$B:$B,N707))</f>
        <v/>
      </c>
      <c r="F707" s="21" t="str">
        <f aca="false">IF(OR(B707="",N(N707)=0,N707=1000),"",INDEX(Rules!$C:$C,N707))</f>
        <v/>
      </c>
      <c r="G707" s="24"/>
      <c r="H707" s="24"/>
      <c r="I707" s="20" t="str">
        <f aca="false">IF(B707="","",IF(G707&lt;&gt;"",G707,E707))</f>
        <v/>
      </c>
      <c r="J707" s="21" t="str">
        <f aca="false">IF(B707="","",IF(H707&lt;&gt;"",H707,F707))</f>
        <v/>
      </c>
      <c r="K707" s="26" t="str">
        <f aca="false">IF(A707="","",DATE(YEAR(A707),MONTH(A707),1))</f>
        <v/>
      </c>
      <c r="L707" s="21" t="str">
        <f aca="false">IF(J707="",IF(B707="","",IF(N(C707)&gt;=0,"Income","Expense")),IFERROR(INDEX(Lists!$B$2:$B$30,MATCH(J707,Lists!$A$2:$A$30,0)),""))</f>
        <v/>
      </c>
      <c r="M707" s="24"/>
      <c r="N707" s="27" t="str">
        <f aca="false">IF(B707="","",IFERROR(1000-SUMPRODUCT(MAX(ISNUMBER(SEARCH(Rules!$A$5:$A$204,B707))*(Rules!$A$5:$A$204&lt;&gt;"")*(1000-ROW(Rules!$A$5:$A$204)))),""))</f>
        <v/>
      </c>
    </row>
    <row r="708" customFormat="false" ht="15" hidden="false" customHeight="false" outlineLevel="0" collapsed="false">
      <c r="A708" s="23"/>
      <c r="B708" s="24"/>
      <c r="C708" s="25"/>
      <c r="D708" s="24"/>
      <c r="E708" s="21" t="str">
        <f aca="false">IF(OR(B708="",N(N708)=0,N708=1000),IF(B708="","","Check"),INDEX(Rules!$B:$B,N708))</f>
        <v/>
      </c>
      <c r="F708" s="21" t="str">
        <f aca="false">IF(OR(B708="",N(N708)=0,N708=1000),"",INDEX(Rules!$C:$C,N708))</f>
        <v/>
      </c>
      <c r="G708" s="24"/>
      <c r="H708" s="24"/>
      <c r="I708" s="20" t="str">
        <f aca="false">IF(B708="","",IF(G708&lt;&gt;"",G708,E708))</f>
        <v/>
      </c>
      <c r="J708" s="21" t="str">
        <f aca="false">IF(B708="","",IF(H708&lt;&gt;"",H708,F708))</f>
        <v/>
      </c>
      <c r="K708" s="26" t="str">
        <f aca="false">IF(A708="","",DATE(YEAR(A708),MONTH(A708),1))</f>
        <v/>
      </c>
      <c r="L708" s="21" t="str">
        <f aca="false">IF(J708="",IF(B708="","",IF(N(C708)&gt;=0,"Income","Expense")),IFERROR(INDEX(Lists!$B$2:$B$30,MATCH(J708,Lists!$A$2:$A$30,0)),""))</f>
        <v/>
      </c>
      <c r="M708" s="24"/>
      <c r="N708" s="27" t="str">
        <f aca="false">IF(B708="","",IFERROR(1000-SUMPRODUCT(MAX(ISNUMBER(SEARCH(Rules!$A$5:$A$204,B708))*(Rules!$A$5:$A$204&lt;&gt;"")*(1000-ROW(Rules!$A$5:$A$204)))),""))</f>
        <v/>
      </c>
    </row>
    <row r="709" customFormat="false" ht="15" hidden="false" customHeight="false" outlineLevel="0" collapsed="false">
      <c r="A709" s="23"/>
      <c r="B709" s="24"/>
      <c r="C709" s="25"/>
      <c r="D709" s="24"/>
      <c r="E709" s="21" t="str">
        <f aca="false">IF(OR(B709="",N(N709)=0,N709=1000),IF(B709="","","Check"),INDEX(Rules!$B:$B,N709))</f>
        <v/>
      </c>
      <c r="F709" s="21" t="str">
        <f aca="false">IF(OR(B709="",N(N709)=0,N709=1000),"",INDEX(Rules!$C:$C,N709))</f>
        <v/>
      </c>
      <c r="G709" s="24"/>
      <c r="H709" s="24"/>
      <c r="I709" s="20" t="str">
        <f aca="false">IF(B709="","",IF(G709&lt;&gt;"",G709,E709))</f>
        <v/>
      </c>
      <c r="J709" s="21" t="str">
        <f aca="false">IF(B709="","",IF(H709&lt;&gt;"",H709,F709))</f>
        <v/>
      </c>
      <c r="K709" s="26" t="str">
        <f aca="false">IF(A709="","",DATE(YEAR(A709),MONTH(A709),1))</f>
        <v/>
      </c>
      <c r="L709" s="21" t="str">
        <f aca="false">IF(J709="",IF(B709="","",IF(N(C709)&gt;=0,"Income","Expense")),IFERROR(INDEX(Lists!$B$2:$B$30,MATCH(J709,Lists!$A$2:$A$30,0)),""))</f>
        <v/>
      </c>
      <c r="M709" s="24"/>
      <c r="N709" s="27" t="str">
        <f aca="false">IF(B709="","",IFERROR(1000-SUMPRODUCT(MAX(ISNUMBER(SEARCH(Rules!$A$5:$A$204,B709))*(Rules!$A$5:$A$204&lt;&gt;"")*(1000-ROW(Rules!$A$5:$A$204)))),""))</f>
        <v/>
      </c>
    </row>
    <row r="710" customFormat="false" ht="15" hidden="false" customHeight="false" outlineLevel="0" collapsed="false">
      <c r="A710" s="23"/>
      <c r="B710" s="24"/>
      <c r="C710" s="25"/>
      <c r="D710" s="24"/>
      <c r="E710" s="21" t="str">
        <f aca="false">IF(OR(B710="",N(N710)=0,N710=1000),IF(B710="","","Check"),INDEX(Rules!$B:$B,N710))</f>
        <v/>
      </c>
      <c r="F710" s="21" t="str">
        <f aca="false">IF(OR(B710="",N(N710)=0,N710=1000),"",INDEX(Rules!$C:$C,N710))</f>
        <v/>
      </c>
      <c r="G710" s="24"/>
      <c r="H710" s="24"/>
      <c r="I710" s="20" t="str">
        <f aca="false">IF(B710="","",IF(G710&lt;&gt;"",G710,E710))</f>
        <v/>
      </c>
      <c r="J710" s="21" t="str">
        <f aca="false">IF(B710="","",IF(H710&lt;&gt;"",H710,F710))</f>
        <v/>
      </c>
      <c r="K710" s="26" t="str">
        <f aca="false">IF(A710="","",DATE(YEAR(A710),MONTH(A710),1))</f>
        <v/>
      </c>
      <c r="L710" s="21" t="str">
        <f aca="false">IF(J710="",IF(B710="","",IF(N(C710)&gt;=0,"Income","Expense")),IFERROR(INDEX(Lists!$B$2:$B$30,MATCH(J710,Lists!$A$2:$A$30,0)),""))</f>
        <v/>
      </c>
      <c r="M710" s="24"/>
      <c r="N710" s="27" t="str">
        <f aca="false">IF(B710="","",IFERROR(1000-SUMPRODUCT(MAX(ISNUMBER(SEARCH(Rules!$A$5:$A$204,B710))*(Rules!$A$5:$A$204&lt;&gt;"")*(1000-ROW(Rules!$A$5:$A$204)))),""))</f>
        <v/>
      </c>
    </row>
    <row r="711" customFormat="false" ht="15" hidden="false" customHeight="false" outlineLevel="0" collapsed="false">
      <c r="A711" s="23"/>
      <c r="B711" s="24"/>
      <c r="C711" s="25"/>
      <c r="D711" s="24"/>
      <c r="E711" s="21" t="str">
        <f aca="false">IF(OR(B711="",N(N711)=0,N711=1000),IF(B711="","","Check"),INDEX(Rules!$B:$B,N711))</f>
        <v/>
      </c>
      <c r="F711" s="21" t="str">
        <f aca="false">IF(OR(B711="",N(N711)=0,N711=1000),"",INDEX(Rules!$C:$C,N711))</f>
        <v/>
      </c>
      <c r="G711" s="24"/>
      <c r="H711" s="24"/>
      <c r="I711" s="20" t="str">
        <f aca="false">IF(B711="","",IF(G711&lt;&gt;"",G711,E711))</f>
        <v/>
      </c>
      <c r="J711" s="21" t="str">
        <f aca="false">IF(B711="","",IF(H711&lt;&gt;"",H711,F711))</f>
        <v/>
      </c>
      <c r="K711" s="26" t="str">
        <f aca="false">IF(A711="","",DATE(YEAR(A711),MONTH(A711),1))</f>
        <v/>
      </c>
      <c r="L711" s="21" t="str">
        <f aca="false">IF(J711="",IF(B711="","",IF(N(C711)&gt;=0,"Income","Expense")),IFERROR(INDEX(Lists!$B$2:$B$30,MATCH(J711,Lists!$A$2:$A$30,0)),""))</f>
        <v/>
      </c>
      <c r="M711" s="24"/>
      <c r="N711" s="27" t="str">
        <f aca="false">IF(B711="","",IFERROR(1000-SUMPRODUCT(MAX(ISNUMBER(SEARCH(Rules!$A$5:$A$204,B711))*(Rules!$A$5:$A$204&lt;&gt;"")*(1000-ROW(Rules!$A$5:$A$204)))),""))</f>
        <v/>
      </c>
    </row>
    <row r="712" customFormat="false" ht="15" hidden="false" customHeight="false" outlineLevel="0" collapsed="false">
      <c r="A712" s="23"/>
      <c r="B712" s="24"/>
      <c r="C712" s="25"/>
      <c r="D712" s="24"/>
      <c r="E712" s="21" t="str">
        <f aca="false">IF(OR(B712="",N(N712)=0,N712=1000),IF(B712="","","Check"),INDEX(Rules!$B:$B,N712))</f>
        <v/>
      </c>
      <c r="F712" s="21" t="str">
        <f aca="false">IF(OR(B712="",N(N712)=0,N712=1000),"",INDEX(Rules!$C:$C,N712))</f>
        <v/>
      </c>
      <c r="G712" s="24"/>
      <c r="H712" s="24"/>
      <c r="I712" s="20" t="str">
        <f aca="false">IF(B712="","",IF(G712&lt;&gt;"",G712,E712))</f>
        <v/>
      </c>
      <c r="J712" s="21" t="str">
        <f aca="false">IF(B712="","",IF(H712&lt;&gt;"",H712,F712))</f>
        <v/>
      </c>
      <c r="K712" s="26" t="str">
        <f aca="false">IF(A712="","",DATE(YEAR(A712),MONTH(A712),1))</f>
        <v/>
      </c>
      <c r="L712" s="21" t="str">
        <f aca="false">IF(J712="",IF(B712="","",IF(N(C712)&gt;=0,"Income","Expense")),IFERROR(INDEX(Lists!$B$2:$B$30,MATCH(J712,Lists!$A$2:$A$30,0)),""))</f>
        <v/>
      </c>
      <c r="M712" s="24"/>
      <c r="N712" s="27" t="str">
        <f aca="false">IF(B712="","",IFERROR(1000-SUMPRODUCT(MAX(ISNUMBER(SEARCH(Rules!$A$5:$A$204,B712))*(Rules!$A$5:$A$204&lt;&gt;"")*(1000-ROW(Rules!$A$5:$A$204)))),""))</f>
        <v/>
      </c>
    </row>
    <row r="713" customFormat="false" ht="15" hidden="false" customHeight="false" outlineLevel="0" collapsed="false">
      <c r="A713" s="23"/>
      <c r="B713" s="24"/>
      <c r="C713" s="25"/>
      <c r="D713" s="24"/>
      <c r="E713" s="21" t="str">
        <f aca="false">IF(OR(B713="",N(N713)=0,N713=1000),IF(B713="","","Check"),INDEX(Rules!$B:$B,N713))</f>
        <v/>
      </c>
      <c r="F713" s="21" t="str">
        <f aca="false">IF(OR(B713="",N(N713)=0,N713=1000),"",INDEX(Rules!$C:$C,N713))</f>
        <v/>
      </c>
      <c r="G713" s="24"/>
      <c r="H713" s="24"/>
      <c r="I713" s="20" t="str">
        <f aca="false">IF(B713="","",IF(G713&lt;&gt;"",G713,E713))</f>
        <v/>
      </c>
      <c r="J713" s="21" t="str">
        <f aca="false">IF(B713="","",IF(H713&lt;&gt;"",H713,F713))</f>
        <v/>
      </c>
      <c r="K713" s="26" t="str">
        <f aca="false">IF(A713="","",DATE(YEAR(A713),MONTH(A713),1))</f>
        <v/>
      </c>
      <c r="L713" s="21" t="str">
        <f aca="false">IF(J713="",IF(B713="","",IF(N(C713)&gt;=0,"Income","Expense")),IFERROR(INDEX(Lists!$B$2:$B$30,MATCH(J713,Lists!$A$2:$A$30,0)),""))</f>
        <v/>
      </c>
      <c r="M713" s="24"/>
      <c r="N713" s="27" t="str">
        <f aca="false">IF(B713="","",IFERROR(1000-SUMPRODUCT(MAX(ISNUMBER(SEARCH(Rules!$A$5:$A$204,B713))*(Rules!$A$5:$A$204&lt;&gt;"")*(1000-ROW(Rules!$A$5:$A$204)))),""))</f>
        <v/>
      </c>
    </row>
    <row r="714" customFormat="false" ht="15" hidden="false" customHeight="false" outlineLevel="0" collapsed="false">
      <c r="A714" s="23"/>
      <c r="B714" s="24"/>
      <c r="C714" s="25"/>
      <c r="D714" s="24"/>
      <c r="E714" s="21" t="str">
        <f aca="false">IF(OR(B714="",N(N714)=0,N714=1000),IF(B714="","","Check"),INDEX(Rules!$B:$B,N714))</f>
        <v/>
      </c>
      <c r="F714" s="21" t="str">
        <f aca="false">IF(OR(B714="",N(N714)=0,N714=1000),"",INDEX(Rules!$C:$C,N714))</f>
        <v/>
      </c>
      <c r="G714" s="24"/>
      <c r="H714" s="24"/>
      <c r="I714" s="20" t="str">
        <f aca="false">IF(B714="","",IF(G714&lt;&gt;"",G714,E714))</f>
        <v/>
      </c>
      <c r="J714" s="21" t="str">
        <f aca="false">IF(B714="","",IF(H714&lt;&gt;"",H714,F714))</f>
        <v/>
      </c>
      <c r="K714" s="26" t="str">
        <f aca="false">IF(A714="","",DATE(YEAR(A714),MONTH(A714),1))</f>
        <v/>
      </c>
      <c r="L714" s="21" t="str">
        <f aca="false">IF(J714="",IF(B714="","",IF(N(C714)&gt;=0,"Income","Expense")),IFERROR(INDEX(Lists!$B$2:$B$30,MATCH(J714,Lists!$A$2:$A$30,0)),""))</f>
        <v/>
      </c>
      <c r="M714" s="24"/>
      <c r="N714" s="27" t="str">
        <f aca="false">IF(B714="","",IFERROR(1000-SUMPRODUCT(MAX(ISNUMBER(SEARCH(Rules!$A$5:$A$204,B714))*(Rules!$A$5:$A$204&lt;&gt;"")*(1000-ROW(Rules!$A$5:$A$204)))),""))</f>
        <v/>
      </c>
    </row>
    <row r="715" customFormat="false" ht="15" hidden="false" customHeight="false" outlineLevel="0" collapsed="false">
      <c r="A715" s="23"/>
      <c r="B715" s="24"/>
      <c r="C715" s="25"/>
      <c r="D715" s="24"/>
      <c r="E715" s="21" t="str">
        <f aca="false">IF(OR(B715="",N(N715)=0,N715=1000),IF(B715="","","Check"),INDEX(Rules!$B:$B,N715))</f>
        <v/>
      </c>
      <c r="F715" s="21" t="str">
        <f aca="false">IF(OR(B715="",N(N715)=0,N715=1000),"",INDEX(Rules!$C:$C,N715))</f>
        <v/>
      </c>
      <c r="G715" s="24"/>
      <c r="H715" s="24"/>
      <c r="I715" s="20" t="str">
        <f aca="false">IF(B715="","",IF(G715&lt;&gt;"",G715,E715))</f>
        <v/>
      </c>
      <c r="J715" s="21" t="str">
        <f aca="false">IF(B715="","",IF(H715&lt;&gt;"",H715,F715))</f>
        <v/>
      </c>
      <c r="K715" s="26" t="str">
        <f aca="false">IF(A715="","",DATE(YEAR(A715),MONTH(A715),1))</f>
        <v/>
      </c>
      <c r="L715" s="21" t="str">
        <f aca="false">IF(J715="",IF(B715="","",IF(N(C715)&gt;=0,"Income","Expense")),IFERROR(INDEX(Lists!$B$2:$B$30,MATCH(J715,Lists!$A$2:$A$30,0)),""))</f>
        <v/>
      </c>
      <c r="M715" s="24"/>
      <c r="N715" s="27" t="str">
        <f aca="false">IF(B715="","",IFERROR(1000-SUMPRODUCT(MAX(ISNUMBER(SEARCH(Rules!$A$5:$A$204,B715))*(Rules!$A$5:$A$204&lt;&gt;"")*(1000-ROW(Rules!$A$5:$A$204)))),""))</f>
        <v/>
      </c>
    </row>
    <row r="716" customFormat="false" ht="15" hidden="false" customHeight="false" outlineLevel="0" collapsed="false">
      <c r="A716" s="23"/>
      <c r="B716" s="24"/>
      <c r="C716" s="25"/>
      <c r="D716" s="24"/>
      <c r="E716" s="21" t="str">
        <f aca="false">IF(OR(B716="",N(N716)=0,N716=1000),IF(B716="","","Check"),INDEX(Rules!$B:$B,N716))</f>
        <v/>
      </c>
      <c r="F716" s="21" t="str">
        <f aca="false">IF(OR(B716="",N(N716)=0,N716=1000),"",INDEX(Rules!$C:$C,N716))</f>
        <v/>
      </c>
      <c r="G716" s="24"/>
      <c r="H716" s="24"/>
      <c r="I716" s="20" t="str">
        <f aca="false">IF(B716="","",IF(G716&lt;&gt;"",G716,E716))</f>
        <v/>
      </c>
      <c r="J716" s="21" t="str">
        <f aca="false">IF(B716="","",IF(H716&lt;&gt;"",H716,F716))</f>
        <v/>
      </c>
      <c r="K716" s="26" t="str">
        <f aca="false">IF(A716="","",DATE(YEAR(A716),MONTH(A716),1))</f>
        <v/>
      </c>
      <c r="L716" s="21" t="str">
        <f aca="false">IF(J716="",IF(B716="","",IF(N(C716)&gt;=0,"Income","Expense")),IFERROR(INDEX(Lists!$B$2:$B$30,MATCH(J716,Lists!$A$2:$A$30,0)),""))</f>
        <v/>
      </c>
      <c r="M716" s="24"/>
      <c r="N716" s="27" t="str">
        <f aca="false">IF(B716="","",IFERROR(1000-SUMPRODUCT(MAX(ISNUMBER(SEARCH(Rules!$A$5:$A$204,B716))*(Rules!$A$5:$A$204&lt;&gt;"")*(1000-ROW(Rules!$A$5:$A$204)))),""))</f>
        <v/>
      </c>
    </row>
    <row r="717" customFormat="false" ht="15" hidden="false" customHeight="false" outlineLevel="0" collapsed="false">
      <c r="A717" s="23"/>
      <c r="B717" s="24"/>
      <c r="C717" s="25"/>
      <c r="D717" s="24"/>
      <c r="E717" s="21" t="str">
        <f aca="false">IF(OR(B717="",N(N717)=0,N717=1000),IF(B717="","","Check"),INDEX(Rules!$B:$B,N717))</f>
        <v/>
      </c>
      <c r="F717" s="21" t="str">
        <f aca="false">IF(OR(B717="",N(N717)=0,N717=1000),"",INDEX(Rules!$C:$C,N717))</f>
        <v/>
      </c>
      <c r="G717" s="24"/>
      <c r="H717" s="24"/>
      <c r="I717" s="20" t="str">
        <f aca="false">IF(B717="","",IF(G717&lt;&gt;"",G717,E717))</f>
        <v/>
      </c>
      <c r="J717" s="21" t="str">
        <f aca="false">IF(B717="","",IF(H717&lt;&gt;"",H717,F717))</f>
        <v/>
      </c>
      <c r="K717" s="26" t="str">
        <f aca="false">IF(A717="","",DATE(YEAR(A717),MONTH(A717),1))</f>
        <v/>
      </c>
      <c r="L717" s="21" t="str">
        <f aca="false">IF(J717="",IF(B717="","",IF(N(C717)&gt;=0,"Income","Expense")),IFERROR(INDEX(Lists!$B$2:$B$30,MATCH(J717,Lists!$A$2:$A$30,0)),""))</f>
        <v/>
      </c>
      <c r="M717" s="24"/>
      <c r="N717" s="27" t="str">
        <f aca="false">IF(B717="","",IFERROR(1000-SUMPRODUCT(MAX(ISNUMBER(SEARCH(Rules!$A$5:$A$204,B717))*(Rules!$A$5:$A$204&lt;&gt;"")*(1000-ROW(Rules!$A$5:$A$204)))),""))</f>
        <v/>
      </c>
    </row>
    <row r="718" customFormat="false" ht="15" hidden="false" customHeight="false" outlineLevel="0" collapsed="false">
      <c r="A718" s="23"/>
      <c r="B718" s="24"/>
      <c r="C718" s="25"/>
      <c r="D718" s="24"/>
      <c r="E718" s="21" t="str">
        <f aca="false">IF(OR(B718="",N(N718)=0,N718=1000),IF(B718="","","Check"),INDEX(Rules!$B:$B,N718))</f>
        <v/>
      </c>
      <c r="F718" s="21" t="str">
        <f aca="false">IF(OR(B718="",N(N718)=0,N718=1000),"",INDEX(Rules!$C:$C,N718))</f>
        <v/>
      </c>
      <c r="G718" s="24"/>
      <c r="H718" s="24"/>
      <c r="I718" s="20" t="str">
        <f aca="false">IF(B718="","",IF(G718&lt;&gt;"",G718,E718))</f>
        <v/>
      </c>
      <c r="J718" s="21" t="str">
        <f aca="false">IF(B718="","",IF(H718&lt;&gt;"",H718,F718))</f>
        <v/>
      </c>
      <c r="K718" s="26" t="str">
        <f aca="false">IF(A718="","",DATE(YEAR(A718),MONTH(A718),1))</f>
        <v/>
      </c>
      <c r="L718" s="21" t="str">
        <f aca="false">IF(J718="",IF(B718="","",IF(N(C718)&gt;=0,"Income","Expense")),IFERROR(INDEX(Lists!$B$2:$B$30,MATCH(J718,Lists!$A$2:$A$30,0)),""))</f>
        <v/>
      </c>
      <c r="M718" s="24"/>
      <c r="N718" s="27" t="str">
        <f aca="false">IF(B718="","",IFERROR(1000-SUMPRODUCT(MAX(ISNUMBER(SEARCH(Rules!$A$5:$A$204,B718))*(Rules!$A$5:$A$204&lt;&gt;"")*(1000-ROW(Rules!$A$5:$A$204)))),""))</f>
        <v/>
      </c>
    </row>
    <row r="719" customFormat="false" ht="15" hidden="false" customHeight="false" outlineLevel="0" collapsed="false">
      <c r="A719" s="23"/>
      <c r="B719" s="24"/>
      <c r="C719" s="25"/>
      <c r="D719" s="24"/>
      <c r="E719" s="21" t="str">
        <f aca="false">IF(OR(B719="",N(N719)=0,N719=1000),IF(B719="","","Check"),INDEX(Rules!$B:$B,N719))</f>
        <v/>
      </c>
      <c r="F719" s="21" t="str">
        <f aca="false">IF(OR(B719="",N(N719)=0,N719=1000),"",INDEX(Rules!$C:$C,N719))</f>
        <v/>
      </c>
      <c r="G719" s="24"/>
      <c r="H719" s="24"/>
      <c r="I719" s="20" t="str">
        <f aca="false">IF(B719="","",IF(G719&lt;&gt;"",G719,E719))</f>
        <v/>
      </c>
      <c r="J719" s="21" t="str">
        <f aca="false">IF(B719="","",IF(H719&lt;&gt;"",H719,F719))</f>
        <v/>
      </c>
      <c r="K719" s="26" t="str">
        <f aca="false">IF(A719="","",DATE(YEAR(A719),MONTH(A719),1))</f>
        <v/>
      </c>
      <c r="L719" s="21" t="str">
        <f aca="false">IF(J719="",IF(B719="","",IF(N(C719)&gt;=0,"Income","Expense")),IFERROR(INDEX(Lists!$B$2:$B$30,MATCH(J719,Lists!$A$2:$A$30,0)),""))</f>
        <v/>
      </c>
      <c r="M719" s="24"/>
      <c r="N719" s="27" t="str">
        <f aca="false">IF(B719="","",IFERROR(1000-SUMPRODUCT(MAX(ISNUMBER(SEARCH(Rules!$A$5:$A$204,B719))*(Rules!$A$5:$A$204&lt;&gt;"")*(1000-ROW(Rules!$A$5:$A$204)))),""))</f>
        <v/>
      </c>
    </row>
    <row r="720" customFormat="false" ht="15" hidden="false" customHeight="false" outlineLevel="0" collapsed="false">
      <c r="A720" s="23"/>
      <c r="B720" s="24"/>
      <c r="C720" s="25"/>
      <c r="D720" s="24"/>
      <c r="E720" s="21" t="str">
        <f aca="false">IF(OR(B720="",N(N720)=0,N720=1000),IF(B720="","","Check"),INDEX(Rules!$B:$B,N720))</f>
        <v/>
      </c>
      <c r="F720" s="21" t="str">
        <f aca="false">IF(OR(B720="",N(N720)=0,N720=1000),"",INDEX(Rules!$C:$C,N720))</f>
        <v/>
      </c>
      <c r="G720" s="24"/>
      <c r="H720" s="24"/>
      <c r="I720" s="20" t="str">
        <f aca="false">IF(B720="","",IF(G720&lt;&gt;"",G720,E720))</f>
        <v/>
      </c>
      <c r="J720" s="21" t="str">
        <f aca="false">IF(B720="","",IF(H720&lt;&gt;"",H720,F720))</f>
        <v/>
      </c>
      <c r="K720" s="26" t="str">
        <f aca="false">IF(A720="","",DATE(YEAR(A720),MONTH(A720),1))</f>
        <v/>
      </c>
      <c r="L720" s="21" t="str">
        <f aca="false">IF(J720="",IF(B720="","",IF(N(C720)&gt;=0,"Income","Expense")),IFERROR(INDEX(Lists!$B$2:$B$30,MATCH(J720,Lists!$A$2:$A$30,0)),""))</f>
        <v/>
      </c>
      <c r="M720" s="24"/>
      <c r="N720" s="27" t="str">
        <f aca="false">IF(B720="","",IFERROR(1000-SUMPRODUCT(MAX(ISNUMBER(SEARCH(Rules!$A$5:$A$204,B720))*(Rules!$A$5:$A$204&lt;&gt;"")*(1000-ROW(Rules!$A$5:$A$204)))),""))</f>
        <v/>
      </c>
    </row>
    <row r="721" customFormat="false" ht="15" hidden="false" customHeight="false" outlineLevel="0" collapsed="false">
      <c r="A721" s="23"/>
      <c r="B721" s="24"/>
      <c r="C721" s="25"/>
      <c r="D721" s="24"/>
      <c r="E721" s="21" t="str">
        <f aca="false">IF(OR(B721="",N(N721)=0,N721=1000),IF(B721="","","Check"),INDEX(Rules!$B:$B,N721))</f>
        <v/>
      </c>
      <c r="F721" s="21" t="str">
        <f aca="false">IF(OR(B721="",N(N721)=0,N721=1000),"",INDEX(Rules!$C:$C,N721))</f>
        <v/>
      </c>
      <c r="G721" s="24"/>
      <c r="H721" s="24"/>
      <c r="I721" s="20" t="str">
        <f aca="false">IF(B721="","",IF(G721&lt;&gt;"",G721,E721))</f>
        <v/>
      </c>
      <c r="J721" s="21" t="str">
        <f aca="false">IF(B721="","",IF(H721&lt;&gt;"",H721,F721))</f>
        <v/>
      </c>
      <c r="K721" s="26" t="str">
        <f aca="false">IF(A721="","",DATE(YEAR(A721),MONTH(A721),1))</f>
        <v/>
      </c>
      <c r="L721" s="21" t="str">
        <f aca="false">IF(J721="",IF(B721="","",IF(N(C721)&gt;=0,"Income","Expense")),IFERROR(INDEX(Lists!$B$2:$B$30,MATCH(J721,Lists!$A$2:$A$30,0)),""))</f>
        <v/>
      </c>
      <c r="M721" s="24"/>
      <c r="N721" s="27" t="str">
        <f aca="false">IF(B721="","",IFERROR(1000-SUMPRODUCT(MAX(ISNUMBER(SEARCH(Rules!$A$5:$A$204,B721))*(Rules!$A$5:$A$204&lt;&gt;"")*(1000-ROW(Rules!$A$5:$A$204)))),""))</f>
        <v/>
      </c>
    </row>
    <row r="722" customFormat="false" ht="15" hidden="false" customHeight="false" outlineLevel="0" collapsed="false">
      <c r="A722" s="23"/>
      <c r="B722" s="24"/>
      <c r="C722" s="25"/>
      <c r="D722" s="24"/>
      <c r="E722" s="21" t="str">
        <f aca="false">IF(OR(B722="",N(N722)=0,N722=1000),IF(B722="","","Check"),INDEX(Rules!$B:$B,N722))</f>
        <v/>
      </c>
      <c r="F722" s="21" t="str">
        <f aca="false">IF(OR(B722="",N(N722)=0,N722=1000),"",INDEX(Rules!$C:$C,N722))</f>
        <v/>
      </c>
      <c r="G722" s="24"/>
      <c r="H722" s="24"/>
      <c r="I722" s="20" t="str">
        <f aca="false">IF(B722="","",IF(G722&lt;&gt;"",G722,E722))</f>
        <v/>
      </c>
      <c r="J722" s="21" t="str">
        <f aca="false">IF(B722="","",IF(H722&lt;&gt;"",H722,F722))</f>
        <v/>
      </c>
      <c r="K722" s="26" t="str">
        <f aca="false">IF(A722="","",DATE(YEAR(A722),MONTH(A722),1))</f>
        <v/>
      </c>
      <c r="L722" s="21" t="str">
        <f aca="false">IF(J722="",IF(B722="","",IF(N(C722)&gt;=0,"Income","Expense")),IFERROR(INDEX(Lists!$B$2:$B$30,MATCH(J722,Lists!$A$2:$A$30,0)),""))</f>
        <v/>
      </c>
      <c r="M722" s="24"/>
      <c r="N722" s="27" t="str">
        <f aca="false">IF(B722="","",IFERROR(1000-SUMPRODUCT(MAX(ISNUMBER(SEARCH(Rules!$A$5:$A$204,B722))*(Rules!$A$5:$A$204&lt;&gt;"")*(1000-ROW(Rules!$A$5:$A$204)))),""))</f>
        <v/>
      </c>
    </row>
    <row r="723" customFormat="false" ht="15" hidden="false" customHeight="false" outlineLevel="0" collapsed="false">
      <c r="A723" s="23"/>
      <c r="B723" s="24"/>
      <c r="C723" s="25"/>
      <c r="D723" s="24"/>
      <c r="E723" s="21" t="str">
        <f aca="false">IF(OR(B723="",N(N723)=0,N723=1000),IF(B723="","","Check"),INDEX(Rules!$B:$B,N723))</f>
        <v/>
      </c>
      <c r="F723" s="21" t="str">
        <f aca="false">IF(OR(B723="",N(N723)=0,N723=1000),"",INDEX(Rules!$C:$C,N723))</f>
        <v/>
      </c>
      <c r="G723" s="24"/>
      <c r="H723" s="24"/>
      <c r="I723" s="20" t="str">
        <f aca="false">IF(B723="","",IF(G723&lt;&gt;"",G723,E723))</f>
        <v/>
      </c>
      <c r="J723" s="21" t="str">
        <f aca="false">IF(B723="","",IF(H723&lt;&gt;"",H723,F723))</f>
        <v/>
      </c>
      <c r="K723" s="26" t="str">
        <f aca="false">IF(A723="","",DATE(YEAR(A723),MONTH(A723),1))</f>
        <v/>
      </c>
      <c r="L723" s="21" t="str">
        <f aca="false">IF(J723="",IF(B723="","",IF(N(C723)&gt;=0,"Income","Expense")),IFERROR(INDEX(Lists!$B$2:$B$30,MATCH(J723,Lists!$A$2:$A$30,0)),""))</f>
        <v/>
      </c>
      <c r="M723" s="24"/>
      <c r="N723" s="27" t="str">
        <f aca="false">IF(B723="","",IFERROR(1000-SUMPRODUCT(MAX(ISNUMBER(SEARCH(Rules!$A$5:$A$204,B723))*(Rules!$A$5:$A$204&lt;&gt;"")*(1000-ROW(Rules!$A$5:$A$204)))),""))</f>
        <v/>
      </c>
    </row>
    <row r="724" customFormat="false" ht="15" hidden="false" customHeight="false" outlineLevel="0" collapsed="false">
      <c r="A724" s="23"/>
      <c r="B724" s="24"/>
      <c r="C724" s="25"/>
      <c r="D724" s="24"/>
      <c r="E724" s="21" t="str">
        <f aca="false">IF(OR(B724="",N(N724)=0,N724=1000),IF(B724="","","Check"),INDEX(Rules!$B:$B,N724))</f>
        <v/>
      </c>
      <c r="F724" s="21" t="str">
        <f aca="false">IF(OR(B724="",N(N724)=0,N724=1000),"",INDEX(Rules!$C:$C,N724))</f>
        <v/>
      </c>
      <c r="G724" s="24"/>
      <c r="H724" s="24"/>
      <c r="I724" s="20" t="str">
        <f aca="false">IF(B724="","",IF(G724&lt;&gt;"",G724,E724))</f>
        <v/>
      </c>
      <c r="J724" s="21" t="str">
        <f aca="false">IF(B724="","",IF(H724&lt;&gt;"",H724,F724))</f>
        <v/>
      </c>
      <c r="K724" s="26" t="str">
        <f aca="false">IF(A724="","",DATE(YEAR(A724),MONTH(A724),1))</f>
        <v/>
      </c>
      <c r="L724" s="21" t="str">
        <f aca="false">IF(J724="",IF(B724="","",IF(N(C724)&gt;=0,"Income","Expense")),IFERROR(INDEX(Lists!$B$2:$B$30,MATCH(J724,Lists!$A$2:$A$30,0)),""))</f>
        <v/>
      </c>
      <c r="M724" s="24"/>
      <c r="N724" s="27" t="str">
        <f aca="false">IF(B724="","",IFERROR(1000-SUMPRODUCT(MAX(ISNUMBER(SEARCH(Rules!$A$5:$A$204,B724))*(Rules!$A$5:$A$204&lt;&gt;"")*(1000-ROW(Rules!$A$5:$A$204)))),""))</f>
        <v/>
      </c>
    </row>
    <row r="725" customFormat="false" ht="15" hidden="false" customHeight="false" outlineLevel="0" collapsed="false">
      <c r="A725" s="23"/>
      <c r="B725" s="24"/>
      <c r="C725" s="25"/>
      <c r="D725" s="24"/>
      <c r="E725" s="21" t="str">
        <f aca="false">IF(OR(B725="",N(N725)=0,N725=1000),IF(B725="","","Check"),INDEX(Rules!$B:$B,N725))</f>
        <v/>
      </c>
      <c r="F725" s="21" t="str">
        <f aca="false">IF(OR(B725="",N(N725)=0,N725=1000),"",INDEX(Rules!$C:$C,N725))</f>
        <v/>
      </c>
      <c r="G725" s="24"/>
      <c r="H725" s="24"/>
      <c r="I725" s="20" t="str">
        <f aca="false">IF(B725="","",IF(G725&lt;&gt;"",G725,E725))</f>
        <v/>
      </c>
      <c r="J725" s="21" t="str">
        <f aca="false">IF(B725="","",IF(H725&lt;&gt;"",H725,F725))</f>
        <v/>
      </c>
      <c r="K725" s="26" t="str">
        <f aca="false">IF(A725="","",DATE(YEAR(A725),MONTH(A725),1))</f>
        <v/>
      </c>
      <c r="L725" s="21" t="str">
        <f aca="false">IF(J725="",IF(B725="","",IF(N(C725)&gt;=0,"Income","Expense")),IFERROR(INDEX(Lists!$B$2:$B$30,MATCH(J725,Lists!$A$2:$A$30,0)),""))</f>
        <v/>
      </c>
      <c r="M725" s="24"/>
      <c r="N725" s="27" t="str">
        <f aca="false">IF(B725="","",IFERROR(1000-SUMPRODUCT(MAX(ISNUMBER(SEARCH(Rules!$A$5:$A$204,B725))*(Rules!$A$5:$A$204&lt;&gt;"")*(1000-ROW(Rules!$A$5:$A$204)))),""))</f>
        <v/>
      </c>
    </row>
    <row r="726" customFormat="false" ht="15" hidden="false" customHeight="false" outlineLevel="0" collapsed="false">
      <c r="A726" s="23"/>
      <c r="B726" s="24"/>
      <c r="C726" s="25"/>
      <c r="D726" s="24"/>
      <c r="E726" s="21" t="str">
        <f aca="false">IF(OR(B726="",N(N726)=0,N726=1000),IF(B726="","","Check"),INDEX(Rules!$B:$B,N726))</f>
        <v/>
      </c>
      <c r="F726" s="21" t="str">
        <f aca="false">IF(OR(B726="",N(N726)=0,N726=1000),"",INDEX(Rules!$C:$C,N726))</f>
        <v/>
      </c>
      <c r="G726" s="24"/>
      <c r="H726" s="24"/>
      <c r="I726" s="20" t="str">
        <f aca="false">IF(B726="","",IF(G726&lt;&gt;"",G726,E726))</f>
        <v/>
      </c>
      <c r="J726" s="21" t="str">
        <f aca="false">IF(B726="","",IF(H726&lt;&gt;"",H726,F726))</f>
        <v/>
      </c>
      <c r="K726" s="26" t="str">
        <f aca="false">IF(A726="","",DATE(YEAR(A726),MONTH(A726),1))</f>
        <v/>
      </c>
      <c r="L726" s="21" t="str">
        <f aca="false">IF(J726="",IF(B726="","",IF(N(C726)&gt;=0,"Income","Expense")),IFERROR(INDEX(Lists!$B$2:$B$30,MATCH(J726,Lists!$A$2:$A$30,0)),""))</f>
        <v/>
      </c>
      <c r="M726" s="24"/>
      <c r="N726" s="27" t="str">
        <f aca="false">IF(B726="","",IFERROR(1000-SUMPRODUCT(MAX(ISNUMBER(SEARCH(Rules!$A$5:$A$204,B726))*(Rules!$A$5:$A$204&lt;&gt;"")*(1000-ROW(Rules!$A$5:$A$204)))),""))</f>
        <v/>
      </c>
    </row>
    <row r="727" customFormat="false" ht="15" hidden="false" customHeight="false" outlineLevel="0" collapsed="false">
      <c r="A727" s="23"/>
      <c r="B727" s="24"/>
      <c r="C727" s="25"/>
      <c r="D727" s="24"/>
      <c r="E727" s="21" t="str">
        <f aca="false">IF(OR(B727="",N(N727)=0,N727=1000),IF(B727="","","Check"),INDEX(Rules!$B:$B,N727))</f>
        <v/>
      </c>
      <c r="F727" s="21" t="str">
        <f aca="false">IF(OR(B727="",N(N727)=0,N727=1000),"",INDEX(Rules!$C:$C,N727))</f>
        <v/>
      </c>
      <c r="G727" s="24"/>
      <c r="H727" s="24"/>
      <c r="I727" s="20" t="str">
        <f aca="false">IF(B727="","",IF(G727&lt;&gt;"",G727,E727))</f>
        <v/>
      </c>
      <c r="J727" s="21" t="str">
        <f aca="false">IF(B727="","",IF(H727&lt;&gt;"",H727,F727))</f>
        <v/>
      </c>
      <c r="K727" s="26" t="str">
        <f aca="false">IF(A727="","",DATE(YEAR(A727),MONTH(A727),1))</f>
        <v/>
      </c>
      <c r="L727" s="21" t="str">
        <f aca="false">IF(J727="",IF(B727="","",IF(N(C727)&gt;=0,"Income","Expense")),IFERROR(INDEX(Lists!$B$2:$B$30,MATCH(J727,Lists!$A$2:$A$30,0)),""))</f>
        <v/>
      </c>
      <c r="M727" s="24"/>
      <c r="N727" s="27" t="str">
        <f aca="false">IF(B727="","",IFERROR(1000-SUMPRODUCT(MAX(ISNUMBER(SEARCH(Rules!$A$5:$A$204,B727))*(Rules!$A$5:$A$204&lt;&gt;"")*(1000-ROW(Rules!$A$5:$A$204)))),""))</f>
        <v/>
      </c>
    </row>
    <row r="728" customFormat="false" ht="15" hidden="false" customHeight="false" outlineLevel="0" collapsed="false">
      <c r="A728" s="23"/>
      <c r="B728" s="24"/>
      <c r="C728" s="25"/>
      <c r="D728" s="24"/>
      <c r="E728" s="21" t="str">
        <f aca="false">IF(OR(B728="",N(N728)=0,N728=1000),IF(B728="","","Check"),INDEX(Rules!$B:$B,N728))</f>
        <v/>
      </c>
      <c r="F728" s="21" t="str">
        <f aca="false">IF(OR(B728="",N(N728)=0,N728=1000),"",INDEX(Rules!$C:$C,N728))</f>
        <v/>
      </c>
      <c r="G728" s="24"/>
      <c r="H728" s="24"/>
      <c r="I728" s="20" t="str">
        <f aca="false">IF(B728="","",IF(G728&lt;&gt;"",G728,E728))</f>
        <v/>
      </c>
      <c r="J728" s="21" t="str">
        <f aca="false">IF(B728="","",IF(H728&lt;&gt;"",H728,F728))</f>
        <v/>
      </c>
      <c r="K728" s="26" t="str">
        <f aca="false">IF(A728="","",DATE(YEAR(A728),MONTH(A728),1))</f>
        <v/>
      </c>
      <c r="L728" s="21" t="str">
        <f aca="false">IF(J728="",IF(B728="","",IF(N(C728)&gt;=0,"Income","Expense")),IFERROR(INDEX(Lists!$B$2:$B$30,MATCH(J728,Lists!$A$2:$A$30,0)),""))</f>
        <v/>
      </c>
      <c r="M728" s="24"/>
      <c r="N728" s="27" t="str">
        <f aca="false">IF(B728="","",IFERROR(1000-SUMPRODUCT(MAX(ISNUMBER(SEARCH(Rules!$A$5:$A$204,B728))*(Rules!$A$5:$A$204&lt;&gt;"")*(1000-ROW(Rules!$A$5:$A$204)))),""))</f>
        <v/>
      </c>
    </row>
    <row r="729" customFormat="false" ht="15" hidden="false" customHeight="false" outlineLevel="0" collapsed="false">
      <c r="A729" s="23"/>
      <c r="B729" s="24"/>
      <c r="C729" s="25"/>
      <c r="D729" s="24"/>
      <c r="E729" s="21" t="str">
        <f aca="false">IF(OR(B729="",N(N729)=0,N729=1000),IF(B729="","","Check"),INDEX(Rules!$B:$B,N729))</f>
        <v/>
      </c>
      <c r="F729" s="21" t="str">
        <f aca="false">IF(OR(B729="",N(N729)=0,N729=1000),"",INDEX(Rules!$C:$C,N729))</f>
        <v/>
      </c>
      <c r="G729" s="24"/>
      <c r="H729" s="24"/>
      <c r="I729" s="20" t="str">
        <f aca="false">IF(B729="","",IF(G729&lt;&gt;"",G729,E729))</f>
        <v/>
      </c>
      <c r="J729" s="21" t="str">
        <f aca="false">IF(B729="","",IF(H729&lt;&gt;"",H729,F729))</f>
        <v/>
      </c>
      <c r="K729" s="26" t="str">
        <f aca="false">IF(A729="","",DATE(YEAR(A729),MONTH(A729),1))</f>
        <v/>
      </c>
      <c r="L729" s="21" t="str">
        <f aca="false">IF(J729="",IF(B729="","",IF(N(C729)&gt;=0,"Income","Expense")),IFERROR(INDEX(Lists!$B$2:$B$30,MATCH(J729,Lists!$A$2:$A$30,0)),""))</f>
        <v/>
      </c>
      <c r="M729" s="24"/>
      <c r="N729" s="27" t="str">
        <f aca="false">IF(B729="","",IFERROR(1000-SUMPRODUCT(MAX(ISNUMBER(SEARCH(Rules!$A$5:$A$204,B729))*(Rules!$A$5:$A$204&lt;&gt;"")*(1000-ROW(Rules!$A$5:$A$204)))),""))</f>
        <v/>
      </c>
    </row>
    <row r="730" customFormat="false" ht="15" hidden="false" customHeight="false" outlineLevel="0" collapsed="false">
      <c r="A730" s="23"/>
      <c r="B730" s="24"/>
      <c r="C730" s="25"/>
      <c r="D730" s="24"/>
      <c r="E730" s="21" t="str">
        <f aca="false">IF(OR(B730="",N(N730)=0,N730=1000),IF(B730="","","Check"),INDEX(Rules!$B:$B,N730))</f>
        <v/>
      </c>
      <c r="F730" s="21" t="str">
        <f aca="false">IF(OR(B730="",N(N730)=0,N730=1000),"",INDEX(Rules!$C:$C,N730))</f>
        <v/>
      </c>
      <c r="G730" s="24"/>
      <c r="H730" s="24"/>
      <c r="I730" s="20" t="str">
        <f aca="false">IF(B730="","",IF(G730&lt;&gt;"",G730,E730))</f>
        <v/>
      </c>
      <c r="J730" s="21" t="str">
        <f aca="false">IF(B730="","",IF(H730&lt;&gt;"",H730,F730))</f>
        <v/>
      </c>
      <c r="K730" s="26" t="str">
        <f aca="false">IF(A730="","",DATE(YEAR(A730),MONTH(A730),1))</f>
        <v/>
      </c>
      <c r="L730" s="21" t="str">
        <f aca="false">IF(J730="",IF(B730="","",IF(N(C730)&gt;=0,"Income","Expense")),IFERROR(INDEX(Lists!$B$2:$B$30,MATCH(J730,Lists!$A$2:$A$30,0)),""))</f>
        <v/>
      </c>
      <c r="M730" s="24"/>
      <c r="N730" s="27" t="str">
        <f aca="false">IF(B730="","",IFERROR(1000-SUMPRODUCT(MAX(ISNUMBER(SEARCH(Rules!$A$5:$A$204,B730))*(Rules!$A$5:$A$204&lt;&gt;"")*(1000-ROW(Rules!$A$5:$A$204)))),""))</f>
        <v/>
      </c>
    </row>
    <row r="731" customFormat="false" ht="15" hidden="false" customHeight="false" outlineLevel="0" collapsed="false">
      <c r="A731" s="23"/>
      <c r="B731" s="24"/>
      <c r="C731" s="25"/>
      <c r="D731" s="24"/>
      <c r="E731" s="21" t="str">
        <f aca="false">IF(OR(B731="",N(N731)=0,N731=1000),IF(B731="","","Check"),INDEX(Rules!$B:$B,N731))</f>
        <v/>
      </c>
      <c r="F731" s="21" t="str">
        <f aca="false">IF(OR(B731="",N(N731)=0,N731=1000),"",INDEX(Rules!$C:$C,N731))</f>
        <v/>
      </c>
      <c r="G731" s="24"/>
      <c r="H731" s="24"/>
      <c r="I731" s="20" t="str">
        <f aca="false">IF(B731="","",IF(G731&lt;&gt;"",G731,E731))</f>
        <v/>
      </c>
      <c r="J731" s="21" t="str">
        <f aca="false">IF(B731="","",IF(H731&lt;&gt;"",H731,F731))</f>
        <v/>
      </c>
      <c r="K731" s="26" t="str">
        <f aca="false">IF(A731="","",DATE(YEAR(A731),MONTH(A731),1))</f>
        <v/>
      </c>
      <c r="L731" s="21" t="str">
        <f aca="false">IF(J731="",IF(B731="","",IF(N(C731)&gt;=0,"Income","Expense")),IFERROR(INDEX(Lists!$B$2:$B$30,MATCH(J731,Lists!$A$2:$A$30,0)),""))</f>
        <v/>
      </c>
      <c r="M731" s="24"/>
      <c r="N731" s="27" t="str">
        <f aca="false">IF(B731="","",IFERROR(1000-SUMPRODUCT(MAX(ISNUMBER(SEARCH(Rules!$A$5:$A$204,B731))*(Rules!$A$5:$A$204&lt;&gt;"")*(1000-ROW(Rules!$A$5:$A$204)))),""))</f>
        <v/>
      </c>
    </row>
    <row r="732" customFormat="false" ht="15" hidden="false" customHeight="false" outlineLevel="0" collapsed="false">
      <c r="A732" s="23"/>
      <c r="B732" s="24"/>
      <c r="C732" s="25"/>
      <c r="D732" s="24"/>
      <c r="E732" s="21" t="str">
        <f aca="false">IF(OR(B732="",N(N732)=0,N732=1000),IF(B732="","","Check"),INDEX(Rules!$B:$B,N732))</f>
        <v/>
      </c>
      <c r="F732" s="21" t="str">
        <f aca="false">IF(OR(B732="",N(N732)=0,N732=1000),"",INDEX(Rules!$C:$C,N732))</f>
        <v/>
      </c>
      <c r="G732" s="24"/>
      <c r="H732" s="24"/>
      <c r="I732" s="20" t="str">
        <f aca="false">IF(B732="","",IF(G732&lt;&gt;"",G732,E732))</f>
        <v/>
      </c>
      <c r="J732" s="21" t="str">
        <f aca="false">IF(B732="","",IF(H732&lt;&gt;"",H732,F732))</f>
        <v/>
      </c>
      <c r="K732" s="26" t="str">
        <f aca="false">IF(A732="","",DATE(YEAR(A732),MONTH(A732),1))</f>
        <v/>
      </c>
      <c r="L732" s="21" t="str">
        <f aca="false">IF(J732="",IF(B732="","",IF(N(C732)&gt;=0,"Income","Expense")),IFERROR(INDEX(Lists!$B$2:$B$30,MATCH(J732,Lists!$A$2:$A$30,0)),""))</f>
        <v/>
      </c>
      <c r="M732" s="24"/>
      <c r="N732" s="27" t="str">
        <f aca="false">IF(B732="","",IFERROR(1000-SUMPRODUCT(MAX(ISNUMBER(SEARCH(Rules!$A$5:$A$204,B732))*(Rules!$A$5:$A$204&lt;&gt;"")*(1000-ROW(Rules!$A$5:$A$204)))),""))</f>
        <v/>
      </c>
    </row>
    <row r="733" customFormat="false" ht="15" hidden="false" customHeight="false" outlineLevel="0" collapsed="false">
      <c r="A733" s="23"/>
      <c r="B733" s="24"/>
      <c r="C733" s="25"/>
      <c r="D733" s="24"/>
      <c r="E733" s="21" t="str">
        <f aca="false">IF(OR(B733="",N(N733)=0,N733=1000),IF(B733="","","Check"),INDEX(Rules!$B:$B,N733))</f>
        <v/>
      </c>
      <c r="F733" s="21" t="str">
        <f aca="false">IF(OR(B733="",N(N733)=0,N733=1000),"",INDEX(Rules!$C:$C,N733))</f>
        <v/>
      </c>
      <c r="G733" s="24"/>
      <c r="H733" s="24"/>
      <c r="I733" s="20" t="str">
        <f aca="false">IF(B733="","",IF(G733&lt;&gt;"",G733,E733))</f>
        <v/>
      </c>
      <c r="J733" s="21" t="str">
        <f aca="false">IF(B733="","",IF(H733&lt;&gt;"",H733,F733))</f>
        <v/>
      </c>
      <c r="K733" s="26" t="str">
        <f aca="false">IF(A733="","",DATE(YEAR(A733),MONTH(A733),1))</f>
        <v/>
      </c>
      <c r="L733" s="21" t="str">
        <f aca="false">IF(J733="",IF(B733="","",IF(N(C733)&gt;=0,"Income","Expense")),IFERROR(INDEX(Lists!$B$2:$B$30,MATCH(J733,Lists!$A$2:$A$30,0)),""))</f>
        <v/>
      </c>
      <c r="M733" s="24"/>
      <c r="N733" s="27" t="str">
        <f aca="false">IF(B733="","",IFERROR(1000-SUMPRODUCT(MAX(ISNUMBER(SEARCH(Rules!$A$5:$A$204,B733))*(Rules!$A$5:$A$204&lt;&gt;"")*(1000-ROW(Rules!$A$5:$A$204)))),""))</f>
        <v/>
      </c>
    </row>
    <row r="734" customFormat="false" ht="15" hidden="false" customHeight="false" outlineLevel="0" collapsed="false">
      <c r="A734" s="23"/>
      <c r="B734" s="24"/>
      <c r="C734" s="25"/>
      <c r="D734" s="24"/>
      <c r="E734" s="21" t="str">
        <f aca="false">IF(OR(B734="",N(N734)=0,N734=1000),IF(B734="","","Check"),INDEX(Rules!$B:$B,N734))</f>
        <v/>
      </c>
      <c r="F734" s="21" t="str">
        <f aca="false">IF(OR(B734="",N(N734)=0,N734=1000),"",INDEX(Rules!$C:$C,N734))</f>
        <v/>
      </c>
      <c r="G734" s="24"/>
      <c r="H734" s="24"/>
      <c r="I734" s="20" t="str">
        <f aca="false">IF(B734="","",IF(G734&lt;&gt;"",G734,E734))</f>
        <v/>
      </c>
      <c r="J734" s="21" t="str">
        <f aca="false">IF(B734="","",IF(H734&lt;&gt;"",H734,F734))</f>
        <v/>
      </c>
      <c r="K734" s="26" t="str">
        <f aca="false">IF(A734="","",DATE(YEAR(A734),MONTH(A734),1))</f>
        <v/>
      </c>
      <c r="L734" s="21" t="str">
        <f aca="false">IF(J734="",IF(B734="","",IF(N(C734)&gt;=0,"Income","Expense")),IFERROR(INDEX(Lists!$B$2:$B$30,MATCH(J734,Lists!$A$2:$A$30,0)),""))</f>
        <v/>
      </c>
      <c r="M734" s="24"/>
      <c r="N734" s="27" t="str">
        <f aca="false">IF(B734="","",IFERROR(1000-SUMPRODUCT(MAX(ISNUMBER(SEARCH(Rules!$A$5:$A$204,B734))*(Rules!$A$5:$A$204&lt;&gt;"")*(1000-ROW(Rules!$A$5:$A$204)))),""))</f>
        <v/>
      </c>
    </row>
    <row r="735" customFormat="false" ht="15" hidden="false" customHeight="false" outlineLevel="0" collapsed="false">
      <c r="A735" s="23"/>
      <c r="B735" s="24"/>
      <c r="C735" s="25"/>
      <c r="D735" s="24"/>
      <c r="E735" s="21" t="str">
        <f aca="false">IF(OR(B735="",N(N735)=0,N735=1000),IF(B735="","","Check"),INDEX(Rules!$B:$B,N735))</f>
        <v/>
      </c>
      <c r="F735" s="21" t="str">
        <f aca="false">IF(OR(B735="",N(N735)=0,N735=1000),"",INDEX(Rules!$C:$C,N735))</f>
        <v/>
      </c>
      <c r="G735" s="24"/>
      <c r="H735" s="24"/>
      <c r="I735" s="20" t="str">
        <f aca="false">IF(B735="","",IF(G735&lt;&gt;"",G735,E735))</f>
        <v/>
      </c>
      <c r="J735" s="21" t="str">
        <f aca="false">IF(B735="","",IF(H735&lt;&gt;"",H735,F735))</f>
        <v/>
      </c>
      <c r="K735" s="26" t="str">
        <f aca="false">IF(A735="","",DATE(YEAR(A735),MONTH(A735),1))</f>
        <v/>
      </c>
      <c r="L735" s="21" t="str">
        <f aca="false">IF(J735="",IF(B735="","",IF(N(C735)&gt;=0,"Income","Expense")),IFERROR(INDEX(Lists!$B$2:$B$30,MATCH(J735,Lists!$A$2:$A$30,0)),""))</f>
        <v/>
      </c>
      <c r="M735" s="24"/>
      <c r="N735" s="27" t="str">
        <f aca="false">IF(B735="","",IFERROR(1000-SUMPRODUCT(MAX(ISNUMBER(SEARCH(Rules!$A$5:$A$204,B735))*(Rules!$A$5:$A$204&lt;&gt;"")*(1000-ROW(Rules!$A$5:$A$204)))),""))</f>
        <v/>
      </c>
    </row>
    <row r="736" customFormat="false" ht="15" hidden="false" customHeight="false" outlineLevel="0" collapsed="false">
      <c r="A736" s="23"/>
      <c r="B736" s="24"/>
      <c r="C736" s="25"/>
      <c r="D736" s="24"/>
      <c r="E736" s="21" t="str">
        <f aca="false">IF(OR(B736="",N(N736)=0,N736=1000),IF(B736="","","Check"),INDEX(Rules!$B:$B,N736))</f>
        <v/>
      </c>
      <c r="F736" s="21" t="str">
        <f aca="false">IF(OR(B736="",N(N736)=0,N736=1000),"",INDEX(Rules!$C:$C,N736))</f>
        <v/>
      </c>
      <c r="G736" s="24"/>
      <c r="H736" s="24"/>
      <c r="I736" s="20" t="str">
        <f aca="false">IF(B736="","",IF(G736&lt;&gt;"",G736,E736))</f>
        <v/>
      </c>
      <c r="J736" s="21" t="str">
        <f aca="false">IF(B736="","",IF(H736&lt;&gt;"",H736,F736))</f>
        <v/>
      </c>
      <c r="K736" s="26" t="str">
        <f aca="false">IF(A736="","",DATE(YEAR(A736),MONTH(A736),1))</f>
        <v/>
      </c>
      <c r="L736" s="21" t="str">
        <f aca="false">IF(J736="",IF(B736="","",IF(N(C736)&gt;=0,"Income","Expense")),IFERROR(INDEX(Lists!$B$2:$B$30,MATCH(J736,Lists!$A$2:$A$30,0)),""))</f>
        <v/>
      </c>
      <c r="M736" s="24"/>
      <c r="N736" s="27" t="str">
        <f aca="false">IF(B736="","",IFERROR(1000-SUMPRODUCT(MAX(ISNUMBER(SEARCH(Rules!$A$5:$A$204,B736))*(Rules!$A$5:$A$204&lt;&gt;"")*(1000-ROW(Rules!$A$5:$A$204)))),""))</f>
        <v/>
      </c>
    </row>
    <row r="737" customFormat="false" ht="15" hidden="false" customHeight="false" outlineLevel="0" collapsed="false">
      <c r="A737" s="23"/>
      <c r="B737" s="24"/>
      <c r="C737" s="25"/>
      <c r="D737" s="24"/>
      <c r="E737" s="21" t="str">
        <f aca="false">IF(OR(B737="",N(N737)=0,N737=1000),IF(B737="","","Check"),INDEX(Rules!$B:$B,N737))</f>
        <v/>
      </c>
      <c r="F737" s="21" t="str">
        <f aca="false">IF(OR(B737="",N(N737)=0,N737=1000),"",INDEX(Rules!$C:$C,N737))</f>
        <v/>
      </c>
      <c r="G737" s="24"/>
      <c r="H737" s="24"/>
      <c r="I737" s="20" t="str">
        <f aca="false">IF(B737="","",IF(G737&lt;&gt;"",G737,E737))</f>
        <v/>
      </c>
      <c r="J737" s="21" t="str">
        <f aca="false">IF(B737="","",IF(H737&lt;&gt;"",H737,F737))</f>
        <v/>
      </c>
      <c r="K737" s="26" t="str">
        <f aca="false">IF(A737="","",DATE(YEAR(A737),MONTH(A737),1))</f>
        <v/>
      </c>
      <c r="L737" s="21" t="str">
        <f aca="false">IF(J737="",IF(B737="","",IF(N(C737)&gt;=0,"Income","Expense")),IFERROR(INDEX(Lists!$B$2:$B$30,MATCH(J737,Lists!$A$2:$A$30,0)),""))</f>
        <v/>
      </c>
      <c r="M737" s="24"/>
      <c r="N737" s="27" t="str">
        <f aca="false">IF(B737="","",IFERROR(1000-SUMPRODUCT(MAX(ISNUMBER(SEARCH(Rules!$A$5:$A$204,B737))*(Rules!$A$5:$A$204&lt;&gt;"")*(1000-ROW(Rules!$A$5:$A$204)))),""))</f>
        <v/>
      </c>
    </row>
    <row r="738" customFormat="false" ht="15" hidden="false" customHeight="false" outlineLevel="0" collapsed="false">
      <c r="A738" s="23"/>
      <c r="B738" s="24"/>
      <c r="C738" s="25"/>
      <c r="D738" s="24"/>
      <c r="E738" s="21" t="str">
        <f aca="false">IF(OR(B738="",N(N738)=0,N738=1000),IF(B738="","","Check"),INDEX(Rules!$B:$B,N738))</f>
        <v/>
      </c>
      <c r="F738" s="21" t="str">
        <f aca="false">IF(OR(B738="",N(N738)=0,N738=1000),"",INDEX(Rules!$C:$C,N738))</f>
        <v/>
      </c>
      <c r="G738" s="24"/>
      <c r="H738" s="24"/>
      <c r="I738" s="20" t="str">
        <f aca="false">IF(B738="","",IF(G738&lt;&gt;"",G738,E738))</f>
        <v/>
      </c>
      <c r="J738" s="21" t="str">
        <f aca="false">IF(B738="","",IF(H738&lt;&gt;"",H738,F738))</f>
        <v/>
      </c>
      <c r="K738" s="26" t="str">
        <f aca="false">IF(A738="","",DATE(YEAR(A738),MONTH(A738),1))</f>
        <v/>
      </c>
      <c r="L738" s="21" t="str">
        <f aca="false">IF(J738="",IF(B738="","",IF(N(C738)&gt;=0,"Income","Expense")),IFERROR(INDEX(Lists!$B$2:$B$30,MATCH(J738,Lists!$A$2:$A$30,0)),""))</f>
        <v/>
      </c>
      <c r="M738" s="24"/>
      <c r="N738" s="27" t="str">
        <f aca="false">IF(B738="","",IFERROR(1000-SUMPRODUCT(MAX(ISNUMBER(SEARCH(Rules!$A$5:$A$204,B738))*(Rules!$A$5:$A$204&lt;&gt;"")*(1000-ROW(Rules!$A$5:$A$204)))),""))</f>
        <v/>
      </c>
    </row>
    <row r="739" customFormat="false" ht="15" hidden="false" customHeight="false" outlineLevel="0" collapsed="false">
      <c r="A739" s="23"/>
      <c r="B739" s="24"/>
      <c r="C739" s="25"/>
      <c r="D739" s="24"/>
      <c r="E739" s="21" t="str">
        <f aca="false">IF(OR(B739="",N(N739)=0,N739=1000),IF(B739="","","Check"),INDEX(Rules!$B:$B,N739))</f>
        <v/>
      </c>
      <c r="F739" s="21" t="str">
        <f aca="false">IF(OR(B739="",N(N739)=0,N739=1000),"",INDEX(Rules!$C:$C,N739))</f>
        <v/>
      </c>
      <c r="G739" s="24"/>
      <c r="H739" s="24"/>
      <c r="I739" s="20" t="str">
        <f aca="false">IF(B739="","",IF(G739&lt;&gt;"",G739,E739))</f>
        <v/>
      </c>
      <c r="J739" s="21" t="str">
        <f aca="false">IF(B739="","",IF(H739&lt;&gt;"",H739,F739))</f>
        <v/>
      </c>
      <c r="K739" s="26" t="str">
        <f aca="false">IF(A739="","",DATE(YEAR(A739),MONTH(A739),1))</f>
        <v/>
      </c>
      <c r="L739" s="21" t="str">
        <f aca="false">IF(J739="",IF(B739="","",IF(N(C739)&gt;=0,"Income","Expense")),IFERROR(INDEX(Lists!$B$2:$B$30,MATCH(J739,Lists!$A$2:$A$30,0)),""))</f>
        <v/>
      </c>
      <c r="M739" s="24"/>
      <c r="N739" s="27" t="str">
        <f aca="false">IF(B739="","",IFERROR(1000-SUMPRODUCT(MAX(ISNUMBER(SEARCH(Rules!$A$5:$A$204,B739))*(Rules!$A$5:$A$204&lt;&gt;"")*(1000-ROW(Rules!$A$5:$A$204)))),""))</f>
        <v/>
      </c>
    </row>
    <row r="740" customFormat="false" ht="15" hidden="false" customHeight="false" outlineLevel="0" collapsed="false">
      <c r="A740" s="23"/>
      <c r="B740" s="24"/>
      <c r="C740" s="25"/>
      <c r="D740" s="24"/>
      <c r="E740" s="21" t="str">
        <f aca="false">IF(OR(B740="",N(N740)=0,N740=1000),IF(B740="","","Check"),INDEX(Rules!$B:$B,N740))</f>
        <v/>
      </c>
      <c r="F740" s="21" t="str">
        <f aca="false">IF(OR(B740="",N(N740)=0,N740=1000),"",INDEX(Rules!$C:$C,N740))</f>
        <v/>
      </c>
      <c r="G740" s="24"/>
      <c r="H740" s="24"/>
      <c r="I740" s="20" t="str">
        <f aca="false">IF(B740="","",IF(G740&lt;&gt;"",G740,E740))</f>
        <v/>
      </c>
      <c r="J740" s="21" t="str">
        <f aca="false">IF(B740="","",IF(H740&lt;&gt;"",H740,F740))</f>
        <v/>
      </c>
      <c r="K740" s="26" t="str">
        <f aca="false">IF(A740="","",DATE(YEAR(A740),MONTH(A740),1))</f>
        <v/>
      </c>
      <c r="L740" s="21" t="str">
        <f aca="false">IF(J740="",IF(B740="","",IF(N(C740)&gt;=0,"Income","Expense")),IFERROR(INDEX(Lists!$B$2:$B$30,MATCH(J740,Lists!$A$2:$A$30,0)),""))</f>
        <v/>
      </c>
      <c r="M740" s="24"/>
      <c r="N740" s="27" t="str">
        <f aca="false">IF(B740="","",IFERROR(1000-SUMPRODUCT(MAX(ISNUMBER(SEARCH(Rules!$A$5:$A$204,B740))*(Rules!$A$5:$A$204&lt;&gt;"")*(1000-ROW(Rules!$A$5:$A$204)))),""))</f>
        <v/>
      </c>
    </row>
    <row r="741" customFormat="false" ht="15" hidden="false" customHeight="false" outlineLevel="0" collapsed="false">
      <c r="A741" s="23"/>
      <c r="B741" s="24"/>
      <c r="C741" s="25"/>
      <c r="D741" s="24"/>
      <c r="E741" s="21" t="str">
        <f aca="false">IF(OR(B741="",N(N741)=0,N741=1000),IF(B741="","","Check"),INDEX(Rules!$B:$B,N741))</f>
        <v/>
      </c>
      <c r="F741" s="21" t="str">
        <f aca="false">IF(OR(B741="",N(N741)=0,N741=1000),"",INDEX(Rules!$C:$C,N741))</f>
        <v/>
      </c>
      <c r="G741" s="24"/>
      <c r="H741" s="24"/>
      <c r="I741" s="20" t="str">
        <f aca="false">IF(B741="","",IF(G741&lt;&gt;"",G741,E741))</f>
        <v/>
      </c>
      <c r="J741" s="21" t="str">
        <f aca="false">IF(B741="","",IF(H741&lt;&gt;"",H741,F741))</f>
        <v/>
      </c>
      <c r="K741" s="26" t="str">
        <f aca="false">IF(A741="","",DATE(YEAR(A741),MONTH(A741),1))</f>
        <v/>
      </c>
      <c r="L741" s="21" t="str">
        <f aca="false">IF(J741="",IF(B741="","",IF(N(C741)&gt;=0,"Income","Expense")),IFERROR(INDEX(Lists!$B$2:$B$30,MATCH(J741,Lists!$A$2:$A$30,0)),""))</f>
        <v/>
      </c>
      <c r="M741" s="24"/>
      <c r="N741" s="27" t="str">
        <f aca="false">IF(B741="","",IFERROR(1000-SUMPRODUCT(MAX(ISNUMBER(SEARCH(Rules!$A$5:$A$204,B741))*(Rules!$A$5:$A$204&lt;&gt;"")*(1000-ROW(Rules!$A$5:$A$204)))),""))</f>
        <v/>
      </c>
    </row>
    <row r="742" customFormat="false" ht="15" hidden="false" customHeight="false" outlineLevel="0" collapsed="false">
      <c r="A742" s="23"/>
      <c r="B742" s="24"/>
      <c r="C742" s="25"/>
      <c r="D742" s="24"/>
      <c r="E742" s="21" t="str">
        <f aca="false">IF(OR(B742="",N(N742)=0,N742=1000),IF(B742="","","Check"),INDEX(Rules!$B:$B,N742))</f>
        <v/>
      </c>
      <c r="F742" s="21" t="str">
        <f aca="false">IF(OR(B742="",N(N742)=0,N742=1000),"",INDEX(Rules!$C:$C,N742))</f>
        <v/>
      </c>
      <c r="G742" s="24"/>
      <c r="H742" s="24"/>
      <c r="I742" s="20" t="str">
        <f aca="false">IF(B742="","",IF(G742&lt;&gt;"",G742,E742))</f>
        <v/>
      </c>
      <c r="J742" s="21" t="str">
        <f aca="false">IF(B742="","",IF(H742&lt;&gt;"",H742,F742))</f>
        <v/>
      </c>
      <c r="K742" s="26" t="str">
        <f aca="false">IF(A742="","",DATE(YEAR(A742),MONTH(A742),1))</f>
        <v/>
      </c>
      <c r="L742" s="21" t="str">
        <f aca="false">IF(J742="",IF(B742="","",IF(N(C742)&gt;=0,"Income","Expense")),IFERROR(INDEX(Lists!$B$2:$B$30,MATCH(J742,Lists!$A$2:$A$30,0)),""))</f>
        <v/>
      </c>
      <c r="M742" s="24"/>
      <c r="N742" s="27" t="str">
        <f aca="false">IF(B742="","",IFERROR(1000-SUMPRODUCT(MAX(ISNUMBER(SEARCH(Rules!$A$5:$A$204,B742))*(Rules!$A$5:$A$204&lt;&gt;"")*(1000-ROW(Rules!$A$5:$A$204)))),""))</f>
        <v/>
      </c>
    </row>
    <row r="743" customFormat="false" ht="15" hidden="false" customHeight="false" outlineLevel="0" collapsed="false">
      <c r="A743" s="23"/>
      <c r="B743" s="24"/>
      <c r="C743" s="25"/>
      <c r="D743" s="24"/>
      <c r="E743" s="21" t="str">
        <f aca="false">IF(OR(B743="",N(N743)=0,N743=1000),IF(B743="","","Check"),INDEX(Rules!$B:$B,N743))</f>
        <v/>
      </c>
      <c r="F743" s="21" t="str">
        <f aca="false">IF(OR(B743="",N(N743)=0,N743=1000),"",INDEX(Rules!$C:$C,N743))</f>
        <v/>
      </c>
      <c r="G743" s="24"/>
      <c r="H743" s="24"/>
      <c r="I743" s="20" t="str">
        <f aca="false">IF(B743="","",IF(G743&lt;&gt;"",G743,E743))</f>
        <v/>
      </c>
      <c r="J743" s="21" t="str">
        <f aca="false">IF(B743="","",IF(H743&lt;&gt;"",H743,F743))</f>
        <v/>
      </c>
      <c r="K743" s="26" t="str">
        <f aca="false">IF(A743="","",DATE(YEAR(A743),MONTH(A743),1))</f>
        <v/>
      </c>
      <c r="L743" s="21" t="str">
        <f aca="false">IF(J743="",IF(B743="","",IF(N(C743)&gt;=0,"Income","Expense")),IFERROR(INDEX(Lists!$B$2:$B$30,MATCH(J743,Lists!$A$2:$A$30,0)),""))</f>
        <v/>
      </c>
      <c r="M743" s="24"/>
      <c r="N743" s="27" t="str">
        <f aca="false">IF(B743="","",IFERROR(1000-SUMPRODUCT(MAX(ISNUMBER(SEARCH(Rules!$A$5:$A$204,B743))*(Rules!$A$5:$A$204&lt;&gt;"")*(1000-ROW(Rules!$A$5:$A$204)))),""))</f>
        <v/>
      </c>
    </row>
    <row r="744" customFormat="false" ht="15" hidden="false" customHeight="false" outlineLevel="0" collapsed="false">
      <c r="A744" s="23"/>
      <c r="B744" s="24"/>
      <c r="C744" s="25"/>
      <c r="D744" s="24"/>
      <c r="E744" s="21" t="str">
        <f aca="false">IF(OR(B744="",N(N744)=0,N744=1000),IF(B744="","","Check"),INDEX(Rules!$B:$B,N744))</f>
        <v/>
      </c>
      <c r="F744" s="21" t="str">
        <f aca="false">IF(OR(B744="",N(N744)=0,N744=1000),"",INDEX(Rules!$C:$C,N744))</f>
        <v/>
      </c>
      <c r="G744" s="24"/>
      <c r="H744" s="24"/>
      <c r="I744" s="20" t="str">
        <f aca="false">IF(B744="","",IF(G744&lt;&gt;"",G744,E744))</f>
        <v/>
      </c>
      <c r="J744" s="21" t="str">
        <f aca="false">IF(B744="","",IF(H744&lt;&gt;"",H744,F744))</f>
        <v/>
      </c>
      <c r="K744" s="26" t="str">
        <f aca="false">IF(A744="","",DATE(YEAR(A744),MONTH(A744),1))</f>
        <v/>
      </c>
      <c r="L744" s="21" t="str">
        <f aca="false">IF(J744="",IF(B744="","",IF(N(C744)&gt;=0,"Income","Expense")),IFERROR(INDEX(Lists!$B$2:$B$30,MATCH(J744,Lists!$A$2:$A$30,0)),""))</f>
        <v/>
      </c>
      <c r="M744" s="24"/>
      <c r="N744" s="27" t="str">
        <f aca="false">IF(B744="","",IFERROR(1000-SUMPRODUCT(MAX(ISNUMBER(SEARCH(Rules!$A$5:$A$204,B744))*(Rules!$A$5:$A$204&lt;&gt;"")*(1000-ROW(Rules!$A$5:$A$204)))),""))</f>
        <v/>
      </c>
    </row>
    <row r="745" customFormat="false" ht="15" hidden="false" customHeight="false" outlineLevel="0" collapsed="false">
      <c r="A745" s="23"/>
      <c r="B745" s="24"/>
      <c r="C745" s="25"/>
      <c r="D745" s="24"/>
      <c r="E745" s="21" t="str">
        <f aca="false">IF(OR(B745="",N(N745)=0,N745=1000),IF(B745="","","Check"),INDEX(Rules!$B:$B,N745))</f>
        <v/>
      </c>
      <c r="F745" s="21" t="str">
        <f aca="false">IF(OR(B745="",N(N745)=0,N745=1000),"",INDEX(Rules!$C:$C,N745))</f>
        <v/>
      </c>
      <c r="G745" s="24"/>
      <c r="H745" s="24"/>
      <c r="I745" s="20" t="str">
        <f aca="false">IF(B745="","",IF(G745&lt;&gt;"",G745,E745))</f>
        <v/>
      </c>
      <c r="J745" s="21" t="str">
        <f aca="false">IF(B745="","",IF(H745&lt;&gt;"",H745,F745))</f>
        <v/>
      </c>
      <c r="K745" s="26" t="str">
        <f aca="false">IF(A745="","",DATE(YEAR(A745),MONTH(A745),1))</f>
        <v/>
      </c>
      <c r="L745" s="21" t="str">
        <f aca="false">IF(J745="",IF(B745="","",IF(N(C745)&gt;=0,"Income","Expense")),IFERROR(INDEX(Lists!$B$2:$B$30,MATCH(J745,Lists!$A$2:$A$30,0)),""))</f>
        <v/>
      </c>
      <c r="M745" s="24"/>
      <c r="N745" s="27" t="str">
        <f aca="false">IF(B745="","",IFERROR(1000-SUMPRODUCT(MAX(ISNUMBER(SEARCH(Rules!$A$5:$A$204,B745))*(Rules!$A$5:$A$204&lt;&gt;"")*(1000-ROW(Rules!$A$5:$A$204)))),""))</f>
        <v/>
      </c>
    </row>
    <row r="746" customFormat="false" ht="15" hidden="false" customHeight="false" outlineLevel="0" collapsed="false">
      <c r="A746" s="23"/>
      <c r="B746" s="24"/>
      <c r="C746" s="25"/>
      <c r="D746" s="24"/>
      <c r="E746" s="21" t="str">
        <f aca="false">IF(OR(B746="",N(N746)=0,N746=1000),IF(B746="","","Check"),INDEX(Rules!$B:$B,N746))</f>
        <v/>
      </c>
      <c r="F746" s="21" t="str">
        <f aca="false">IF(OR(B746="",N(N746)=0,N746=1000),"",INDEX(Rules!$C:$C,N746))</f>
        <v/>
      </c>
      <c r="G746" s="24"/>
      <c r="H746" s="24"/>
      <c r="I746" s="20" t="str">
        <f aca="false">IF(B746="","",IF(G746&lt;&gt;"",G746,E746))</f>
        <v/>
      </c>
      <c r="J746" s="21" t="str">
        <f aca="false">IF(B746="","",IF(H746&lt;&gt;"",H746,F746))</f>
        <v/>
      </c>
      <c r="K746" s="26" t="str">
        <f aca="false">IF(A746="","",DATE(YEAR(A746),MONTH(A746),1))</f>
        <v/>
      </c>
      <c r="L746" s="21" t="str">
        <f aca="false">IF(J746="",IF(B746="","",IF(N(C746)&gt;=0,"Income","Expense")),IFERROR(INDEX(Lists!$B$2:$B$30,MATCH(J746,Lists!$A$2:$A$30,0)),""))</f>
        <v/>
      </c>
      <c r="M746" s="24"/>
      <c r="N746" s="27" t="str">
        <f aca="false">IF(B746="","",IFERROR(1000-SUMPRODUCT(MAX(ISNUMBER(SEARCH(Rules!$A$5:$A$204,B746))*(Rules!$A$5:$A$204&lt;&gt;"")*(1000-ROW(Rules!$A$5:$A$204)))),""))</f>
        <v/>
      </c>
    </row>
    <row r="747" customFormat="false" ht="15" hidden="false" customHeight="false" outlineLevel="0" collapsed="false">
      <c r="A747" s="23"/>
      <c r="B747" s="24"/>
      <c r="C747" s="25"/>
      <c r="D747" s="24"/>
      <c r="E747" s="21" t="str">
        <f aca="false">IF(OR(B747="",N(N747)=0,N747=1000),IF(B747="","","Check"),INDEX(Rules!$B:$B,N747))</f>
        <v/>
      </c>
      <c r="F747" s="21" t="str">
        <f aca="false">IF(OR(B747="",N(N747)=0,N747=1000),"",INDEX(Rules!$C:$C,N747))</f>
        <v/>
      </c>
      <c r="G747" s="24"/>
      <c r="H747" s="24"/>
      <c r="I747" s="20" t="str">
        <f aca="false">IF(B747="","",IF(G747&lt;&gt;"",G747,E747))</f>
        <v/>
      </c>
      <c r="J747" s="21" t="str">
        <f aca="false">IF(B747="","",IF(H747&lt;&gt;"",H747,F747))</f>
        <v/>
      </c>
      <c r="K747" s="26" t="str">
        <f aca="false">IF(A747="","",DATE(YEAR(A747),MONTH(A747),1))</f>
        <v/>
      </c>
      <c r="L747" s="21" t="str">
        <f aca="false">IF(J747="",IF(B747="","",IF(N(C747)&gt;=0,"Income","Expense")),IFERROR(INDEX(Lists!$B$2:$B$30,MATCH(J747,Lists!$A$2:$A$30,0)),""))</f>
        <v/>
      </c>
      <c r="M747" s="24"/>
      <c r="N747" s="27" t="str">
        <f aca="false">IF(B747="","",IFERROR(1000-SUMPRODUCT(MAX(ISNUMBER(SEARCH(Rules!$A$5:$A$204,B747))*(Rules!$A$5:$A$204&lt;&gt;"")*(1000-ROW(Rules!$A$5:$A$204)))),""))</f>
        <v/>
      </c>
    </row>
    <row r="748" customFormat="false" ht="15" hidden="false" customHeight="false" outlineLevel="0" collapsed="false">
      <c r="A748" s="23"/>
      <c r="B748" s="24"/>
      <c r="C748" s="25"/>
      <c r="D748" s="24"/>
      <c r="E748" s="21" t="str">
        <f aca="false">IF(OR(B748="",N(N748)=0,N748=1000),IF(B748="","","Check"),INDEX(Rules!$B:$B,N748))</f>
        <v/>
      </c>
      <c r="F748" s="21" t="str">
        <f aca="false">IF(OR(B748="",N(N748)=0,N748=1000),"",INDEX(Rules!$C:$C,N748))</f>
        <v/>
      </c>
      <c r="G748" s="24"/>
      <c r="H748" s="24"/>
      <c r="I748" s="20" t="str">
        <f aca="false">IF(B748="","",IF(G748&lt;&gt;"",G748,E748))</f>
        <v/>
      </c>
      <c r="J748" s="21" t="str">
        <f aca="false">IF(B748="","",IF(H748&lt;&gt;"",H748,F748))</f>
        <v/>
      </c>
      <c r="K748" s="26" t="str">
        <f aca="false">IF(A748="","",DATE(YEAR(A748),MONTH(A748),1))</f>
        <v/>
      </c>
      <c r="L748" s="21" t="str">
        <f aca="false">IF(J748="",IF(B748="","",IF(N(C748)&gt;=0,"Income","Expense")),IFERROR(INDEX(Lists!$B$2:$B$30,MATCH(J748,Lists!$A$2:$A$30,0)),""))</f>
        <v/>
      </c>
      <c r="M748" s="24"/>
      <c r="N748" s="27" t="str">
        <f aca="false">IF(B748="","",IFERROR(1000-SUMPRODUCT(MAX(ISNUMBER(SEARCH(Rules!$A$5:$A$204,B748))*(Rules!$A$5:$A$204&lt;&gt;"")*(1000-ROW(Rules!$A$5:$A$204)))),""))</f>
        <v/>
      </c>
    </row>
    <row r="749" customFormat="false" ht="15" hidden="false" customHeight="false" outlineLevel="0" collapsed="false">
      <c r="A749" s="23"/>
      <c r="B749" s="24"/>
      <c r="C749" s="25"/>
      <c r="D749" s="24"/>
      <c r="E749" s="21" t="str">
        <f aca="false">IF(OR(B749="",N(N749)=0,N749=1000),IF(B749="","","Check"),INDEX(Rules!$B:$B,N749))</f>
        <v/>
      </c>
      <c r="F749" s="21" t="str">
        <f aca="false">IF(OR(B749="",N(N749)=0,N749=1000),"",INDEX(Rules!$C:$C,N749))</f>
        <v/>
      </c>
      <c r="G749" s="24"/>
      <c r="H749" s="24"/>
      <c r="I749" s="20" t="str">
        <f aca="false">IF(B749="","",IF(G749&lt;&gt;"",G749,E749))</f>
        <v/>
      </c>
      <c r="J749" s="21" t="str">
        <f aca="false">IF(B749="","",IF(H749&lt;&gt;"",H749,F749))</f>
        <v/>
      </c>
      <c r="K749" s="26" t="str">
        <f aca="false">IF(A749="","",DATE(YEAR(A749),MONTH(A749),1))</f>
        <v/>
      </c>
      <c r="L749" s="21" t="str">
        <f aca="false">IF(J749="",IF(B749="","",IF(N(C749)&gt;=0,"Income","Expense")),IFERROR(INDEX(Lists!$B$2:$B$30,MATCH(J749,Lists!$A$2:$A$30,0)),""))</f>
        <v/>
      </c>
      <c r="M749" s="24"/>
      <c r="N749" s="27" t="str">
        <f aca="false">IF(B749="","",IFERROR(1000-SUMPRODUCT(MAX(ISNUMBER(SEARCH(Rules!$A$5:$A$204,B749))*(Rules!$A$5:$A$204&lt;&gt;"")*(1000-ROW(Rules!$A$5:$A$204)))),""))</f>
        <v/>
      </c>
    </row>
    <row r="750" customFormat="false" ht="15" hidden="false" customHeight="false" outlineLevel="0" collapsed="false">
      <c r="A750" s="23"/>
      <c r="B750" s="24"/>
      <c r="C750" s="25"/>
      <c r="D750" s="24"/>
      <c r="E750" s="21" t="str">
        <f aca="false">IF(OR(B750="",N(N750)=0,N750=1000),IF(B750="","","Check"),INDEX(Rules!$B:$B,N750))</f>
        <v/>
      </c>
      <c r="F750" s="21" t="str">
        <f aca="false">IF(OR(B750="",N(N750)=0,N750=1000),"",INDEX(Rules!$C:$C,N750))</f>
        <v/>
      </c>
      <c r="G750" s="24"/>
      <c r="H750" s="24"/>
      <c r="I750" s="20" t="str">
        <f aca="false">IF(B750="","",IF(G750&lt;&gt;"",G750,E750))</f>
        <v/>
      </c>
      <c r="J750" s="21" t="str">
        <f aca="false">IF(B750="","",IF(H750&lt;&gt;"",H750,F750))</f>
        <v/>
      </c>
      <c r="K750" s="26" t="str">
        <f aca="false">IF(A750="","",DATE(YEAR(A750),MONTH(A750),1))</f>
        <v/>
      </c>
      <c r="L750" s="21" t="str">
        <f aca="false">IF(J750="",IF(B750="","",IF(N(C750)&gt;=0,"Income","Expense")),IFERROR(INDEX(Lists!$B$2:$B$30,MATCH(J750,Lists!$A$2:$A$30,0)),""))</f>
        <v/>
      </c>
      <c r="M750" s="24"/>
      <c r="N750" s="27" t="str">
        <f aca="false">IF(B750="","",IFERROR(1000-SUMPRODUCT(MAX(ISNUMBER(SEARCH(Rules!$A$5:$A$204,B750))*(Rules!$A$5:$A$204&lt;&gt;"")*(1000-ROW(Rules!$A$5:$A$204)))),""))</f>
        <v/>
      </c>
    </row>
    <row r="751" customFormat="false" ht="15" hidden="false" customHeight="false" outlineLevel="0" collapsed="false">
      <c r="A751" s="23"/>
      <c r="B751" s="24"/>
      <c r="C751" s="25"/>
      <c r="D751" s="24"/>
      <c r="E751" s="21" t="str">
        <f aca="false">IF(OR(B751="",N(N751)=0,N751=1000),IF(B751="","","Check"),INDEX(Rules!$B:$B,N751))</f>
        <v/>
      </c>
      <c r="F751" s="21" t="str">
        <f aca="false">IF(OR(B751="",N(N751)=0,N751=1000),"",INDEX(Rules!$C:$C,N751))</f>
        <v/>
      </c>
      <c r="G751" s="24"/>
      <c r="H751" s="24"/>
      <c r="I751" s="20" t="str">
        <f aca="false">IF(B751="","",IF(G751&lt;&gt;"",G751,E751))</f>
        <v/>
      </c>
      <c r="J751" s="21" t="str">
        <f aca="false">IF(B751="","",IF(H751&lt;&gt;"",H751,F751))</f>
        <v/>
      </c>
      <c r="K751" s="26" t="str">
        <f aca="false">IF(A751="","",DATE(YEAR(A751),MONTH(A751),1))</f>
        <v/>
      </c>
      <c r="L751" s="21" t="str">
        <f aca="false">IF(J751="",IF(B751="","",IF(N(C751)&gt;=0,"Income","Expense")),IFERROR(INDEX(Lists!$B$2:$B$30,MATCH(J751,Lists!$A$2:$A$30,0)),""))</f>
        <v/>
      </c>
      <c r="M751" s="24"/>
      <c r="N751" s="27" t="str">
        <f aca="false">IF(B751="","",IFERROR(1000-SUMPRODUCT(MAX(ISNUMBER(SEARCH(Rules!$A$5:$A$204,B751))*(Rules!$A$5:$A$204&lt;&gt;"")*(1000-ROW(Rules!$A$5:$A$204)))),""))</f>
        <v/>
      </c>
    </row>
    <row r="752" customFormat="false" ht="15" hidden="false" customHeight="false" outlineLevel="0" collapsed="false">
      <c r="A752" s="23"/>
      <c r="B752" s="24"/>
      <c r="C752" s="25"/>
      <c r="D752" s="24"/>
      <c r="E752" s="21" t="str">
        <f aca="false">IF(OR(B752="",N(N752)=0,N752=1000),IF(B752="","","Check"),INDEX(Rules!$B:$B,N752))</f>
        <v/>
      </c>
      <c r="F752" s="21" t="str">
        <f aca="false">IF(OR(B752="",N(N752)=0,N752=1000),"",INDEX(Rules!$C:$C,N752))</f>
        <v/>
      </c>
      <c r="G752" s="24"/>
      <c r="H752" s="24"/>
      <c r="I752" s="20" t="str">
        <f aca="false">IF(B752="","",IF(G752&lt;&gt;"",G752,E752))</f>
        <v/>
      </c>
      <c r="J752" s="21" t="str">
        <f aca="false">IF(B752="","",IF(H752&lt;&gt;"",H752,F752))</f>
        <v/>
      </c>
      <c r="K752" s="26" t="str">
        <f aca="false">IF(A752="","",DATE(YEAR(A752),MONTH(A752),1))</f>
        <v/>
      </c>
      <c r="L752" s="21" t="str">
        <f aca="false">IF(J752="",IF(B752="","",IF(N(C752)&gt;=0,"Income","Expense")),IFERROR(INDEX(Lists!$B$2:$B$30,MATCH(J752,Lists!$A$2:$A$30,0)),""))</f>
        <v/>
      </c>
      <c r="M752" s="24"/>
      <c r="N752" s="27" t="str">
        <f aca="false">IF(B752="","",IFERROR(1000-SUMPRODUCT(MAX(ISNUMBER(SEARCH(Rules!$A$5:$A$204,B752))*(Rules!$A$5:$A$204&lt;&gt;"")*(1000-ROW(Rules!$A$5:$A$204)))),""))</f>
        <v/>
      </c>
    </row>
    <row r="753" customFormat="false" ht="15" hidden="false" customHeight="false" outlineLevel="0" collapsed="false">
      <c r="A753" s="23"/>
      <c r="B753" s="24"/>
      <c r="C753" s="25"/>
      <c r="D753" s="24"/>
      <c r="E753" s="21" t="str">
        <f aca="false">IF(OR(B753="",N(N753)=0,N753=1000),IF(B753="","","Check"),INDEX(Rules!$B:$B,N753))</f>
        <v/>
      </c>
      <c r="F753" s="21" t="str">
        <f aca="false">IF(OR(B753="",N(N753)=0,N753=1000),"",INDEX(Rules!$C:$C,N753))</f>
        <v/>
      </c>
      <c r="G753" s="24"/>
      <c r="H753" s="24"/>
      <c r="I753" s="20" t="str">
        <f aca="false">IF(B753="","",IF(G753&lt;&gt;"",G753,E753))</f>
        <v/>
      </c>
      <c r="J753" s="21" t="str">
        <f aca="false">IF(B753="","",IF(H753&lt;&gt;"",H753,F753))</f>
        <v/>
      </c>
      <c r="K753" s="26" t="str">
        <f aca="false">IF(A753="","",DATE(YEAR(A753),MONTH(A753),1))</f>
        <v/>
      </c>
      <c r="L753" s="21" t="str">
        <f aca="false">IF(J753="",IF(B753="","",IF(N(C753)&gt;=0,"Income","Expense")),IFERROR(INDEX(Lists!$B$2:$B$30,MATCH(J753,Lists!$A$2:$A$30,0)),""))</f>
        <v/>
      </c>
      <c r="M753" s="24"/>
      <c r="N753" s="27" t="str">
        <f aca="false">IF(B753="","",IFERROR(1000-SUMPRODUCT(MAX(ISNUMBER(SEARCH(Rules!$A$5:$A$204,B753))*(Rules!$A$5:$A$204&lt;&gt;"")*(1000-ROW(Rules!$A$5:$A$204)))),""))</f>
        <v/>
      </c>
    </row>
    <row r="754" customFormat="false" ht="15" hidden="false" customHeight="false" outlineLevel="0" collapsed="false">
      <c r="A754" s="23"/>
      <c r="B754" s="24"/>
      <c r="C754" s="25"/>
      <c r="D754" s="24"/>
      <c r="E754" s="21" t="str">
        <f aca="false">IF(OR(B754="",N(N754)=0,N754=1000),IF(B754="","","Check"),INDEX(Rules!$B:$B,N754))</f>
        <v/>
      </c>
      <c r="F754" s="21" t="str">
        <f aca="false">IF(OR(B754="",N(N754)=0,N754=1000),"",INDEX(Rules!$C:$C,N754))</f>
        <v/>
      </c>
      <c r="G754" s="24"/>
      <c r="H754" s="24"/>
      <c r="I754" s="20" t="str">
        <f aca="false">IF(B754="","",IF(G754&lt;&gt;"",G754,E754))</f>
        <v/>
      </c>
      <c r="J754" s="21" t="str">
        <f aca="false">IF(B754="","",IF(H754&lt;&gt;"",H754,F754))</f>
        <v/>
      </c>
      <c r="K754" s="26" t="str">
        <f aca="false">IF(A754="","",DATE(YEAR(A754),MONTH(A754),1))</f>
        <v/>
      </c>
      <c r="L754" s="21" t="str">
        <f aca="false">IF(J754="",IF(B754="","",IF(N(C754)&gt;=0,"Income","Expense")),IFERROR(INDEX(Lists!$B$2:$B$30,MATCH(J754,Lists!$A$2:$A$30,0)),""))</f>
        <v/>
      </c>
      <c r="M754" s="24"/>
      <c r="N754" s="27" t="str">
        <f aca="false">IF(B754="","",IFERROR(1000-SUMPRODUCT(MAX(ISNUMBER(SEARCH(Rules!$A$5:$A$204,B754))*(Rules!$A$5:$A$204&lt;&gt;"")*(1000-ROW(Rules!$A$5:$A$204)))),""))</f>
        <v/>
      </c>
    </row>
    <row r="755" customFormat="false" ht="15" hidden="false" customHeight="false" outlineLevel="0" collapsed="false">
      <c r="A755" s="23"/>
      <c r="B755" s="24"/>
      <c r="C755" s="25"/>
      <c r="D755" s="24"/>
      <c r="E755" s="21" t="str">
        <f aca="false">IF(OR(B755="",N(N755)=0,N755=1000),IF(B755="","","Check"),INDEX(Rules!$B:$B,N755))</f>
        <v/>
      </c>
      <c r="F755" s="21" t="str">
        <f aca="false">IF(OR(B755="",N(N755)=0,N755=1000),"",INDEX(Rules!$C:$C,N755))</f>
        <v/>
      </c>
      <c r="G755" s="24"/>
      <c r="H755" s="24"/>
      <c r="I755" s="20" t="str">
        <f aca="false">IF(B755="","",IF(G755&lt;&gt;"",G755,E755))</f>
        <v/>
      </c>
      <c r="J755" s="21" t="str">
        <f aca="false">IF(B755="","",IF(H755&lt;&gt;"",H755,F755))</f>
        <v/>
      </c>
      <c r="K755" s="26" t="str">
        <f aca="false">IF(A755="","",DATE(YEAR(A755),MONTH(A755),1))</f>
        <v/>
      </c>
      <c r="L755" s="21" t="str">
        <f aca="false">IF(J755="",IF(B755="","",IF(N(C755)&gt;=0,"Income","Expense")),IFERROR(INDEX(Lists!$B$2:$B$30,MATCH(J755,Lists!$A$2:$A$30,0)),""))</f>
        <v/>
      </c>
      <c r="M755" s="24"/>
      <c r="N755" s="27" t="str">
        <f aca="false">IF(B755="","",IFERROR(1000-SUMPRODUCT(MAX(ISNUMBER(SEARCH(Rules!$A$5:$A$204,B755))*(Rules!$A$5:$A$204&lt;&gt;"")*(1000-ROW(Rules!$A$5:$A$204)))),""))</f>
        <v/>
      </c>
    </row>
    <row r="756" customFormat="false" ht="15" hidden="false" customHeight="false" outlineLevel="0" collapsed="false">
      <c r="A756" s="23"/>
      <c r="B756" s="24"/>
      <c r="C756" s="25"/>
      <c r="D756" s="24"/>
      <c r="E756" s="21" t="str">
        <f aca="false">IF(OR(B756="",N(N756)=0,N756=1000),IF(B756="","","Check"),INDEX(Rules!$B:$B,N756))</f>
        <v/>
      </c>
      <c r="F756" s="21" t="str">
        <f aca="false">IF(OR(B756="",N(N756)=0,N756=1000),"",INDEX(Rules!$C:$C,N756))</f>
        <v/>
      </c>
      <c r="G756" s="24"/>
      <c r="H756" s="24"/>
      <c r="I756" s="20" t="str">
        <f aca="false">IF(B756="","",IF(G756&lt;&gt;"",G756,E756))</f>
        <v/>
      </c>
      <c r="J756" s="21" t="str">
        <f aca="false">IF(B756="","",IF(H756&lt;&gt;"",H756,F756))</f>
        <v/>
      </c>
      <c r="K756" s="26" t="str">
        <f aca="false">IF(A756="","",DATE(YEAR(A756),MONTH(A756),1))</f>
        <v/>
      </c>
      <c r="L756" s="21" t="str">
        <f aca="false">IF(J756="",IF(B756="","",IF(N(C756)&gt;=0,"Income","Expense")),IFERROR(INDEX(Lists!$B$2:$B$30,MATCH(J756,Lists!$A$2:$A$30,0)),""))</f>
        <v/>
      </c>
      <c r="M756" s="24"/>
      <c r="N756" s="27" t="str">
        <f aca="false">IF(B756="","",IFERROR(1000-SUMPRODUCT(MAX(ISNUMBER(SEARCH(Rules!$A$5:$A$204,B756))*(Rules!$A$5:$A$204&lt;&gt;"")*(1000-ROW(Rules!$A$5:$A$204)))),""))</f>
        <v/>
      </c>
    </row>
    <row r="757" customFormat="false" ht="15" hidden="false" customHeight="false" outlineLevel="0" collapsed="false">
      <c r="A757" s="23"/>
      <c r="B757" s="24"/>
      <c r="C757" s="25"/>
      <c r="D757" s="24"/>
      <c r="E757" s="21" t="str">
        <f aca="false">IF(OR(B757="",N(N757)=0,N757=1000),IF(B757="","","Check"),INDEX(Rules!$B:$B,N757))</f>
        <v/>
      </c>
      <c r="F757" s="21" t="str">
        <f aca="false">IF(OR(B757="",N(N757)=0,N757=1000),"",INDEX(Rules!$C:$C,N757))</f>
        <v/>
      </c>
      <c r="G757" s="24"/>
      <c r="H757" s="24"/>
      <c r="I757" s="20" t="str">
        <f aca="false">IF(B757="","",IF(G757&lt;&gt;"",G757,E757))</f>
        <v/>
      </c>
      <c r="J757" s="21" t="str">
        <f aca="false">IF(B757="","",IF(H757&lt;&gt;"",H757,F757))</f>
        <v/>
      </c>
      <c r="K757" s="26" t="str">
        <f aca="false">IF(A757="","",DATE(YEAR(A757),MONTH(A757),1))</f>
        <v/>
      </c>
      <c r="L757" s="21" t="str">
        <f aca="false">IF(J757="",IF(B757="","",IF(N(C757)&gt;=0,"Income","Expense")),IFERROR(INDEX(Lists!$B$2:$B$30,MATCH(J757,Lists!$A$2:$A$30,0)),""))</f>
        <v/>
      </c>
      <c r="M757" s="24"/>
      <c r="N757" s="27" t="str">
        <f aca="false">IF(B757="","",IFERROR(1000-SUMPRODUCT(MAX(ISNUMBER(SEARCH(Rules!$A$5:$A$204,B757))*(Rules!$A$5:$A$204&lt;&gt;"")*(1000-ROW(Rules!$A$5:$A$204)))),""))</f>
        <v/>
      </c>
    </row>
    <row r="758" customFormat="false" ht="15" hidden="false" customHeight="false" outlineLevel="0" collapsed="false">
      <c r="A758" s="23"/>
      <c r="B758" s="24"/>
      <c r="C758" s="25"/>
      <c r="D758" s="24"/>
      <c r="E758" s="21" t="str">
        <f aca="false">IF(OR(B758="",N(N758)=0,N758=1000),IF(B758="","","Check"),INDEX(Rules!$B:$B,N758))</f>
        <v/>
      </c>
      <c r="F758" s="21" t="str">
        <f aca="false">IF(OR(B758="",N(N758)=0,N758=1000),"",INDEX(Rules!$C:$C,N758))</f>
        <v/>
      </c>
      <c r="G758" s="24"/>
      <c r="H758" s="24"/>
      <c r="I758" s="20" t="str">
        <f aca="false">IF(B758="","",IF(G758&lt;&gt;"",G758,E758))</f>
        <v/>
      </c>
      <c r="J758" s="21" t="str">
        <f aca="false">IF(B758="","",IF(H758&lt;&gt;"",H758,F758))</f>
        <v/>
      </c>
      <c r="K758" s="26" t="str">
        <f aca="false">IF(A758="","",DATE(YEAR(A758),MONTH(A758),1))</f>
        <v/>
      </c>
      <c r="L758" s="21" t="str">
        <f aca="false">IF(J758="",IF(B758="","",IF(N(C758)&gt;=0,"Income","Expense")),IFERROR(INDEX(Lists!$B$2:$B$30,MATCH(J758,Lists!$A$2:$A$30,0)),""))</f>
        <v/>
      </c>
      <c r="M758" s="24"/>
      <c r="N758" s="27" t="str">
        <f aca="false">IF(B758="","",IFERROR(1000-SUMPRODUCT(MAX(ISNUMBER(SEARCH(Rules!$A$5:$A$204,B758))*(Rules!$A$5:$A$204&lt;&gt;"")*(1000-ROW(Rules!$A$5:$A$204)))),""))</f>
        <v/>
      </c>
    </row>
    <row r="759" customFormat="false" ht="15" hidden="false" customHeight="false" outlineLevel="0" collapsed="false">
      <c r="A759" s="23"/>
      <c r="B759" s="24"/>
      <c r="C759" s="25"/>
      <c r="D759" s="24"/>
      <c r="E759" s="21" t="str">
        <f aca="false">IF(OR(B759="",N(N759)=0,N759=1000),IF(B759="","","Check"),INDEX(Rules!$B:$B,N759))</f>
        <v/>
      </c>
      <c r="F759" s="21" t="str">
        <f aca="false">IF(OR(B759="",N(N759)=0,N759=1000),"",INDEX(Rules!$C:$C,N759))</f>
        <v/>
      </c>
      <c r="G759" s="24"/>
      <c r="H759" s="24"/>
      <c r="I759" s="20" t="str">
        <f aca="false">IF(B759="","",IF(G759&lt;&gt;"",G759,E759))</f>
        <v/>
      </c>
      <c r="J759" s="21" t="str">
        <f aca="false">IF(B759="","",IF(H759&lt;&gt;"",H759,F759))</f>
        <v/>
      </c>
      <c r="K759" s="26" t="str">
        <f aca="false">IF(A759="","",DATE(YEAR(A759),MONTH(A759),1))</f>
        <v/>
      </c>
      <c r="L759" s="21" t="str">
        <f aca="false">IF(J759="",IF(B759="","",IF(N(C759)&gt;=0,"Income","Expense")),IFERROR(INDEX(Lists!$B$2:$B$30,MATCH(J759,Lists!$A$2:$A$30,0)),""))</f>
        <v/>
      </c>
      <c r="M759" s="24"/>
      <c r="N759" s="27" t="str">
        <f aca="false">IF(B759="","",IFERROR(1000-SUMPRODUCT(MAX(ISNUMBER(SEARCH(Rules!$A$5:$A$204,B759))*(Rules!$A$5:$A$204&lt;&gt;"")*(1000-ROW(Rules!$A$5:$A$204)))),""))</f>
        <v/>
      </c>
    </row>
    <row r="760" customFormat="false" ht="15" hidden="false" customHeight="false" outlineLevel="0" collapsed="false">
      <c r="A760" s="23"/>
      <c r="B760" s="24"/>
      <c r="C760" s="25"/>
      <c r="D760" s="24"/>
      <c r="E760" s="21" t="str">
        <f aca="false">IF(OR(B760="",N(N760)=0,N760=1000),IF(B760="","","Check"),INDEX(Rules!$B:$B,N760))</f>
        <v/>
      </c>
      <c r="F760" s="21" t="str">
        <f aca="false">IF(OR(B760="",N(N760)=0,N760=1000),"",INDEX(Rules!$C:$C,N760))</f>
        <v/>
      </c>
      <c r="G760" s="24"/>
      <c r="H760" s="24"/>
      <c r="I760" s="20" t="str">
        <f aca="false">IF(B760="","",IF(G760&lt;&gt;"",G760,E760))</f>
        <v/>
      </c>
      <c r="J760" s="21" t="str">
        <f aca="false">IF(B760="","",IF(H760&lt;&gt;"",H760,F760))</f>
        <v/>
      </c>
      <c r="K760" s="26" t="str">
        <f aca="false">IF(A760="","",DATE(YEAR(A760),MONTH(A760),1))</f>
        <v/>
      </c>
      <c r="L760" s="21" t="str">
        <f aca="false">IF(J760="",IF(B760="","",IF(N(C760)&gt;=0,"Income","Expense")),IFERROR(INDEX(Lists!$B$2:$B$30,MATCH(J760,Lists!$A$2:$A$30,0)),""))</f>
        <v/>
      </c>
      <c r="M760" s="24"/>
      <c r="N760" s="27" t="str">
        <f aca="false">IF(B760="","",IFERROR(1000-SUMPRODUCT(MAX(ISNUMBER(SEARCH(Rules!$A$5:$A$204,B760))*(Rules!$A$5:$A$204&lt;&gt;"")*(1000-ROW(Rules!$A$5:$A$204)))),""))</f>
        <v/>
      </c>
    </row>
    <row r="761" customFormat="false" ht="15" hidden="false" customHeight="false" outlineLevel="0" collapsed="false">
      <c r="A761" s="23"/>
      <c r="B761" s="24"/>
      <c r="C761" s="25"/>
      <c r="D761" s="24"/>
      <c r="E761" s="21" t="str">
        <f aca="false">IF(OR(B761="",N(N761)=0,N761=1000),IF(B761="","","Check"),INDEX(Rules!$B:$B,N761))</f>
        <v/>
      </c>
      <c r="F761" s="21" t="str">
        <f aca="false">IF(OR(B761="",N(N761)=0,N761=1000),"",INDEX(Rules!$C:$C,N761))</f>
        <v/>
      </c>
      <c r="G761" s="24"/>
      <c r="H761" s="24"/>
      <c r="I761" s="20" t="str">
        <f aca="false">IF(B761="","",IF(G761&lt;&gt;"",G761,E761))</f>
        <v/>
      </c>
      <c r="J761" s="21" t="str">
        <f aca="false">IF(B761="","",IF(H761&lt;&gt;"",H761,F761))</f>
        <v/>
      </c>
      <c r="K761" s="26" t="str">
        <f aca="false">IF(A761="","",DATE(YEAR(A761),MONTH(A761),1))</f>
        <v/>
      </c>
      <c r="L761" s="21" t="str">
        <f aca="false">IF(J761="",IF(B761="","",IF(N(C761)&gt;=0,"Income","Expense")),IFERROR(INDEX(Lists!$B$2:$B$30,MATCH(J761,Lists!$A$2:$A$30,0)),""))</f>
        <v/>
      </c>
      <c r="M761" s="24"/>
      <c r="N761" s="27" t="str">
        <f aca="false">IF(B761="","",IFERROR(1000-SUMPRODUCT(MAX(ISNUMBER(SEARCH(Rules!$A$5:$A$204,B761))*(Rules!$A$5:$A$204&lt;&gt;"")*(1000-ROW(Rules!$A$5:$A$204)))),""))</f>
        <v/>
      </c>
    </row>
    <row r="762" customFormat="false" ht="15" hidden="false" customHeight="false" outlineLevel="0" collapsed="false">
      <c r="A762" s="23"/>
      <c r="B762" s="24"/>
      <c r="C762" s="25"/>
      <c r="D762" s="24"/>
      <c r="E762" s="21" t="str">
        <f aca="false">IF(OR(B762="",N(N762)=0,N762=1000),IF(B762="","","Check"),INDEX(Rules!$B:$B,N762))</f>
        <v/>
      </c>
      <c r="F762" s="21" t="str">
        <f aca="false">IF(OR(B762="",N(N762)=0,N762=1000),"",INDEX(Rules!$C:$C,N762))</f>
        <v/>
      </c>
      <c r="G762" s="24"/>
      <c r="H762" s="24"/>
      <c r="I762" s="20" t="str">
        <f aca="false">IF(B762="","",IF(G762&lt;&gt;"",G762,E762))</f>
        <v/>
      </c>
      <c r="J762" s="21" t="str">
        <f aca="false">IF(B762="","",IF(H762&lt;&gt;"",H762,F762))</f>
        <v/>
      </c>
      <c r="K762" s="26" t="str">
        <f aca="false">IF(A762="","",DATE(YEAR(A762),MONTH(A762),1))</f>
        <v/>
      </c>
      <c r="L762" s="21" t="str">
        <f aca="false">IF(J762="",IF(B762="","",IF(N(C762)&gt;=0,"Income","Expense")),IFERROR(INDEX(Lists!$B$2:$B$30,MATCH(J762,Lists!$A$2:$A$30,0)),""))</f>
        <v/>
      </c>
      <c r="M762" s="24"/>
      <c r="N762" s="27" t="str">
        <f aca="false">IF(B762="","",IFERROR(1000-SUMPRODUCT(MAX(ISNUMBER(SEARCH(Rules!$A$5:$A$204,B762))*(Rules!$A$5:$A$204&lt;&gt;"")*(1000-ROW(Rules!$A$5:$A$204)))),""))</f>
        <v/>
      </c>
    </row>
    <row r="763" customFormat="false" ht="15" hidden="false" customHeight="false" outlineLevel="0" collapsed="false">
      <c r="A763" s="23"/>
      <c r="B763" s="24"/>
      <c r="C763" s="25"/>
      <c r="D763" s="24"/>
      <c r="E763" s="21" t="str">
        <f aca="false">IF(OR(B763="",N(N763)=0,N763=1000),IF(B763="","","Check"),INDEX(Rules!$B:$B,N763))</f>
        <v/>
      </c>
      <c r="F763" s="21" t="str">
        <f aca="false">IF(OR(B763="",N(N763)=0,N763=1000),"",INDEX(Rules!$C:$C,N763))</f>
        <v/>
      </c>
      <c r="G763" s="24"/>
      <c r="H763" s="24"/>
      <c r="I763" s="20" t="str">
        <f aca="false">IF(B763="","",IF(G763&lt;&gt;"",G763,E763))</f>
        <v/>
      </c>
      <c r="J763" s="21" t="str">
        <f aca="false">IF(B763="","",IF(H763&lt;&gt;"",H763,F763))</f>
        <v/>
      </c>
      <c r="K763" s="26" t="str">
        <f aca="false">IF(A763="","",DATE(YEAR(A763),MONTH(A763),1))</f>
        <v/>
      </c>
      <c r="L763" s="21" t="str">
        <f aca="false">IF(J763="",IF(B763="","",IF(N(C763)&gt;=0,"Income","Expense")),IFERROR(INDEX(Lists!$B$2:$B$30,MATCH(J763,Lists!$A$2:$A$30,0)),""))</f>
        <v/>
      </c>
      <c r="M763" s="24"/>
      <c r="N763" s="27" t="str">
        <f aca="false">IF(B763="","",IFERROR(1000-SUMPRODUCT(MAX(ISNUMBER(SEARCH(Rules!$A$5:$A$204,B763))*(Rules!$A$5:$A$204&lt;&gt;"")*(1000-ROW(Rules!$A$5:$A$204)))),""))</f>
        <v/>
      </c>
    </row>
    <row r="764" customFormat="false" ht="15" hidden="false" customHeight="false" outlineLevel="0" collapsed="false">
      <c r="A764" s="23"/>
      <c r="B764" s="24"/>
      <c r="C764" s="25"/>
      <c r="D764" s="24"/>
      <c r="E764" s="21" t="str">
        <f aca="false">IF(OR(B764="",N(N764)=0,N764=1000),IF(B764="","","Check"),INDEX(Rules!$B:$B,N764))</f>
        <v/>
      </c>
      <c r="F764" s="21" t="str">
        <f aca="false">IF(OR(B764="",N(N764)=0,N764=1000),"",INDEX(Rules!$C:$C,N764))</f>
        <v/>
      </c>
      <c r="G764" s="24"/>
      <c r="H764" s="24"/>
      <c r="I764" s="20" t="str">
        <f aca="false">IF(B764="","",IF(G764&lt;&gt;"",G764,E764))</f>
        <v/>
      </c>
      <c r="J764" s="21" t="str">
        <f aca="false">IF(B764="","",IF(H764&lt;&gt;"",H764,F764))</f>
        <v/>
      </c>
      <c r="K764" s="26" t="str">
        <f aca="false">IF(A764="","",DATE(YEAR(A764),MONTH(A764),1))</f>
        <v/>
      </c>
      <c r="L764" s="21" t="str">
        <f aca="false">IF(J764="",IF(B764="","",IF(N(C764)&gt;=0,"Income","Expense")),IFERROR(INDEX(Lists!$B$2:$B$30,MATCH(J764,Lists!$A$2:$A$30,0)),""))</f>
        <v/>
      </c>
      <c r="M764" s="24"/>
      <c r="N764" s="27" t="str">
        <f aca="false">IF(B764="","",IFERROR(1000-SUMPRODUCT(MAX(ISNUMBER(SEARCH(Rules!$A$5:$A$204,B764))*(Rules!$A$5:$A$204&lt;&gt;"")*(1000-ROW(Rules!$A$5:$A$204)))),""))</f>
        <v/>
      </c>
    </row>
    <row r="765" customFormat="false" ht="15" hidden="false" customHeight="false" outlineLevel="0" collapsed="false">
      <c r="A765" s="23"/>
      <c r="B765" s="24"/>
      <c r="C765" s="25"/>
      <c r="D765" s="24"/>
      <c r="E765" s="21" t="str">
        <f aca="false">IF(OR(B765="",N(N765)=0,N765=1000),IF(B765="","","Check"),INDEX(Rules!$B:$B,N765))</f>
        <v/>
      </c>
      <c r="F765" s="21" t="str">
        <f aca="false">IF(OR(B765="",N(N765)=0,N765=1000),"",INDEX(Rules!$C:$C,N765))</f>
        <v/>
      </c>
      <c r="G765" s="24"/>
      <c r="H765" s="24"/>
      <c r="I765" s="20" t="str">
        <f aca="false">IF(B765="","",IF(G765&lt;&gt;"",G765,E765))</f>
        <v/>
      </c>
      <c r="J765" s="21" t="str">
        <f aca="false">IF(B765="","",IF(H765&lt;&gt;"",H765,F765))</f>
        <v/>
      </c>
      <c r="K765" s="26" t="str">
        <f aca="false">IF(A765="","",DATE(YEAR(A765),MONTH(A765),1))</f>
        <v/>
      </c>
      <c r="L765" s="21" t="str">
        <f aca="false">IF(J765="",IF(B765="","",IF(N(C765)&gt;=0,"Income","Expense")),IFERROR(INDEX(Lists!$B$2:$B$30,MATCH(J765,Lists!$A$2:$A$30,0)),""))</f>
        <v/>
      </c>
      <c r="M765" s="24"/>
      <c r="N765" s="27" t="str">
        <f aca="false">IF(B765="","",IFERROR(1000-SUMPRODUCT(MAX(ISNUMBER(SEARCH(Rules!$A$5:$A$204,B765))*(Rules!$A$5:$A$204&lt;&gt;"")*(1000-ROW(Rules!$A$5:$A$204)))),""))</f>
        <v/>
      </c>
    </row>
    <row r="766" customFormat="false" ht="15" hidden="false" customHeight="false" outlineLevel="0" collapsed="false">
      <c r="A766" s="23"/>
      <c r="B766" s="24"/>
      <c r="C766" s="25"/>
      <c r="D766" s="24"/>
      <c r="E766" s="21" t="str">
        <f aca="false">IF(OR(B766="",N(N766)=0,N766=1000),IF(B766="","","Check"),INDEX(Rules!$B:$B,N766))</f>
        <v/>
      </c>
      <c r="F766" s="21" t="str">
        <f aca="false">IF(OR(B766="",N(N766)=0,N766=1000),"",INDEX(Rules!$C:$C,N766))</f>
        <v/>
      </c>
      <c r="G766" s="24"/>
      <c r="H766" s="24"/>
      <c r="I766" s="20" t="str">
        <f aca="false">IF(B766="","",IF(G766&lt;&gt;"",G766,E766))</f>
        <v/>
      </c>
      <c r="J766" s="21" t="str">
        <f aca="false">IF(B766="","",IF(H766&lt;&gt;"",H766,F766))</f>
        <v/>
      </c>
      <c r="K766" s="26" t="str">
        <f aca="false">IF(A766="","",DATE(YEAR(A766),MONTH(A766),1))</f>
        <v/>
      </c>
      <c r="L766" s="21" t="str">
        <f aca="false">IF(J766="",IF(B766="","",IF(N(C766)&gt;=0,"Income","Expense")),IFERROR(INDEX(Lists!$B$2:$B$30,MATCH(J766,Lists!$A$2:$A$30,0)),""))</f>
        <v/>
      </c>
      <c r="M766" s="24"/>
      <c r="N766" s="27" t="str">
        <f aca="false">IF(B766="","",IFERROR(1000-SUMPRODUCT(MAX(ISNUMBER(SEARCH(Rules!$A$5:$A$204,B766))*(Rules!$A$5:$A$204&lt;&gt;"")*(1000-ROW(Rules!$A$5:$A$204)))),""))</f>
        <v/>
      </c>
    </row>
    <row r="767" customFormat="false" ht="15" hidden="false" customHeight="false" outlineLevel="0" collapsed="false">
      <c r="A767" s="23"/>
      <c r="B767" s="24"/>
      <c r="C767" s="25"/>
      <c r="D767" s="24"/>
      <c r="E767" s="21" t="str">
        <f aca="false">IF(OR(B767="",N(N767)=0,N767=1000),IF(B767="","","Check"),INDEX(Rules!$B:$B,N767))</f>
        <v/>
      </c>
      <c r="F767" s="21" t="str">
        <f aca="false">IF(OR(B767="",N(N767)=0,N767=1000),"",INDEX(Rules!$C:$C,N767))</f>
        <v/>
      </c>
      <c r="G767" s="24"/>
      <c r="H767" s="24"/>
      <c r="I767" s="20" t="str">
        <f aca="false">IF(B767="","",IF(G767&lt;&gt;"",G767,E767))</f>
        <v/>
      </c>
      <c r="J767" s="21" t="str">
        <f aca="false">IF(B767="","",IF(H767&lt;&gt;"",H767,F767))</f>
        <v/>
      </c>
      <c r="K767" s="26" t="str">
        <f aca="false">IF(A767="","",DATE(YEAR(A767),MONTH(A767),1))</f>
        <v/>
      </c>
      <c r="L767" s="21" t="str">
        <f aca="false">IF(J767="",IF(B767="","",IF(N(C767)&gt;=0,"Income","Expense")),IFERROR(INDEX(Lists!$B$2:$B$30,MATCH(J767,Lists!$A$2:$A$30,0)),""))</f>
        <v/>
      </c>
      <c r="M767" s="24"/>
      <c r="N767" s="27" t="str">
        <f aca="false">IF(B767="","",IFERROR(1000-SUMPRODUCT(MAX(ISNUMBER(SEARCH(Rules!$A$5:$A$204,B767))*(Rules!$A$5:$A$204&lt;&gt;"")*(1000-ROW(Rules!$A$5:$A$204)))),""))</f>
        <v/>
      </c>
    </row>
    <row r="768" customFormat="false" ht="15" hidden="false" customHeight="false" outlineLevel="0" collapsed="false">
      <c r="A768" s="23"/>
      <c r="B768" s="24"/>
      <c r="C768" s="25"/>
      <c r="D768" s="24"/>
      <c r="E768" s="21" t="str">
        <f aca="false">IF(OR(B768="",N(N768)=0,N768=1000),IF(B768="","","Check"),INDEX(Rules!$B:$B,N768))</f>
        <v/>
      </c>
      <c r="F768" s="21" t="str">
        <f aca="false">IF(OR(B768="",N(N768)=0,N768=1000),"",INDEX(Rules!$C:$C,N768))</f>
        <v/>
      </c>
      <c r="G768" s="24"/>
      <c r="H768" s="24"/>
      <c r="I768" s="20" t="str">
        <f aca="false">IF(B768="","",IF(G768&lt;&gt;"",G768,E768))</f>
        <v/>
      </c>
      <c r="J768" s="21" t="str">
        <f aca="false">IF(B768="","",IF(H768&lt;&gt;"",H768,F768))</f>
        <v/>
      </c>
      <c r="K768" s="26" t="str">
        <f aca="false">IF(A768="","",DATE(YEAR(A768),MONTH(A768),1))</f>
        <v/>
      </c>
      <c r="L768" s="21" t="str">
        <f aca="false">IF(J768="",IF(B768="","",IF(N(C768)&gt;=0,"Income","Expense")),IFERROR(INDEX(Lists!$B$2:$B$30,MATCH(J768,Lists!$A$2:$A$30,0)),""))</f>
        <v/>
      </c>
      <c r="M768" s="24"/>
      <c r="N768" s="27" t="str">
        <f aca="false">IF(B768="","",IFERROR(1000-SUMPRODUCT(MAX(ISNUMBER(SEARCH(Rules!$A$5:$A$204,B768))*(Rules!$A$5:$A$204&lt;&gt;"")*(1000-ROW(Rules!$A$5:$A$204)))),""))</f>
        <v/>
      </c>
    </row>
    <row r="769" customFormat="false" ht="15" hidden="false" customHeight="false" outlineLevel="0" collapsed="false">
      <c r="A769" s="23"/>
      <c r="B769" s="24"/>
      <c r="C769" s="25"/>
      <c r="D769" s="24"/>
      <c r="E769" s="21" t="str">
        <f aca="false">IF(OR(B769="",N(N769)=0,N769=1000),IF(B769="","","Check"),INDEX(Rules!$B:$B,N769))</f>
        <v/>
      </c>
      <c r="F769" s="21" t="str">
        <f aca="false">IF(OR(B769="",N(N769)=0,N769=1000),"",INDEX(Rules!$C:$C,N769))</f>
        <v/>
      </c>
      <c r="G769" s="24"/>
      <c r="H769" s="24"/>
      <c r="I769" s="20" t="str">
        <f aca="false">IF(B769="","",IF(G769&lt;&gt;"",G769,E769))</f>
        <v/>
      </c>
      <c r="J769" s="21" t="str">
        <f aca="false">IF(B769="","",IF(H769&lt;&gt;"",H769,F769))</f>
        <v/>
      </c>
      <c r="K769" s="26" t="str">
        <f aca="false">IF(A769="","",DATE(YEAR(A769),MONTH(A769),1))</f>
        <v/>
      </c>
      <c r="L769" s="21" t="str">
        <f aca="false">IF(J769="",IF(B769="","",IF(N(C769)&gt;=0,"Income","Expense")),IFERROR(INDEX(Lists!$B$2:$B$30,MATCH(J769,Lists!$A$2:$A$30,0)),""))</f>
        <v/>
      </c>
      <c r="M769" s="24"/>
      <c r="N769" s="27" t="str">
        <f aca="false">IF(B769="","",IFERROR(1000-SUMPRODUCT(MAX(ISNUMBER(SEARCH(Rules!$A$5:$A$204,B769))*(Rules!$A$5:$A$204&lt;&gt;"")*(1000-ROW(Rules!$A$5:$A$204)))),""))</f>
        <v/>
      </c>
    </row>
    <row r="770" customFormat="false" ht="15" hidden="false" customHeight="false" outlineLevel="0" collapsed="false">
      <c r="A770" s="23"/>
      <c r="B770" s="24"/>
      <c r="C770" s="25"/>
      <c r="D770" s="24"/>
      <c r="E770" s="21" t="str">
        <f aca="false">IF(OR(B770="",N(N770)=0,N770=1000),IF(B770="","","Check"),INDEX(Rules!$B:$B,N770))</f>
        <v/>
      </c>
      <c r="F770" s="21" t="str">
        <f aca="false">IF(OR(B770="",N(N770)=0,N770=1000),"",INDEX(Rules!$C:$C,N770))</f>
        <v/>
      </c>
      <c r="G770" s="24"/>
      <c r="H770" s="24"/>
      <c r="I770" s="20" t="str">
        <f aca="false">IF(B770="","",IF(G770&lt;&gt;"",G770,E770))</f>
        <v/>
      </c>
      <c r="J770" s="21" t="str">
        <f aca="false">IF(B770="","",IF(H770&lt;&gt;"",H770,F770))</f>
        <v/>
      </c>
      <c r="K770" s="26" t="str">
        <f aca="false">IF(A770="","",DATE(YEAR(A770),MONTH(A770),1))</f>
        <v/>
      </c>
      <c r="L770" s="21" t="str">
        <f aca="false">IF(J770="",IF(B770="","",IF(N(C770)&gt;=0,"Income","Expense")),IFERROR(INDEX(Lists!$B$2:$B$30,MATCH(J770,Lists!$A$2:$A$30,0)),""))</f>
        <v/>
      </c>
      <c r="M770" s="24"/>
      <c r="N770" s="27" t="str">
        <f aca="false">IF(B770="","",IFERROR(1000-SUMPRODUCT(MAX(ISNUMBER(SEARCH(Rules!$A$5:$A$204,B770))*(Rules!$A$5:$A$204&lt;&gt;"")*(1000-ROW(Rules!$A$5:$A$204)))),""))</f>
        <v/>
      </c>
    </row>
    <row r="771" customFormat="false" ht="15" hidden="false" customHeight="false" outlineLevel="0" collapsed="false">
      <c r="A771" s="23"/>
      <c r="B771" s="24"/>
      <c r="C771" s="25"/>
      <c r="D771" s="24"/>
      <c r="E771" s="21" t="str">
        <f aca="false">IF(OR(B771="",N(N771)=0,N771=1000),IF(B771="","","Check"),INDEX(Rules!$B:$B,N771))</f>
        <v/>
      </c>
      <c r="F771" s="21" t="str">
        <f aca="false">IF(OR(B771="",N(N771)=0,N771=1000),"",INDEX(Rules!$C:$C,N771))</f>
        <v/>
      </c>
      <c r="G771" s="24"/>
      <c r="H771" s="24"/>
      <c r="I771" s="20" t="str">
        <f aca="false">IF(B771="","",IF(G771&lt;&gt;"",G771,E771))</f>
        <v/>
      </c>
      <c r="J771" s="21" t="str">
        <f aca="false">IF(B771="","",IF(H771&lt;&gt;"",H771,F771))</f>
        <v/>
      </c>
      <c r="K771" s="26" t="str">
        <f aca="false">IF(A771="","",DATE(YEAR(A771),MONTH(A771),1))</f>
        <v/>
      </c>
      <c r="L771" s="21" t="str">
        <f aca="false">IF(J771="",IF(B771="","",IF(N(C771)&gt;=0,"Income","Expense")),IFERROR(INDEX(Lists!$B$2:$B$30,MATCH(J771,Lists!$A$2:$A$30,0)),""))</f>
        <v/>
      </c>
      <c r="M771" s="24"/>
      <c r="N771" s="27" t="str">
        <f aca="false">IF(B771="","",IFERROR(1000-SUMPRODUCT(MAX(ISNUMBER(SEARCH(Rules!$A$5:$A$204,B771))*(Rules!$A$5:$A$204&lt;&gt;"")*(1000-ROW(Rules!$A$5:$A$204)))),""))</f>
        <v/>
      </c>
    </row>
    <row r="772" customFormat="false" ht="15" hidden="false" customHeight="false" outlineLevel="0" collapsed="false">
      <c r="A772" s="23"/>
      <c r="B772" s="24"/>
      <c r="C772" s="25"/>
      <c r="D772" s="24"/>
      <c r="E772" s="21" t="str">
        <f aca="false">IF(OR(B772="",N(N772)=0,N772=1000),IF(B772="","","Check"),INDEX(Rules!$B:$B,N772))</f>
        <v/>
      </c>
      <c r="F772" s="21" t="str">
        <f aca="false">IF(OR(B772="",N(N772)=0,N772=1000),"",INDEX(Rules!$C:$C,N772))</f>
        <v/>
      </c>
      <c r="G772" s="24"/>
      <c r="H772" s="24"/>
      <c r="I772" s="20" t="str">
        <f aca="false">IF(B772="","",IF(G772&lt;&gt;"",G772,E772))</f>
        <v/>
      </c>
      <c r="J772" s="21" t="str">
        <f aca="false">IF(B772="","",IF(H772&lt;&gt;"",H772,F772))</f>
        <v/>
      </c>
      <c r="K772" s="26" t="str">
        <f aca="false">IF(A772="","",DATE(YEAR(A772),MONTH(A772),1))</f>
        <v/>
      </c>
      <c r="L772" s="21" t="str">
        <f aca="false">IF(J772="",IF(B772="","",IF(N(C772)&gt;=0,"Income","Expense")),IFERROR(INDEX(Lists!$B$2:$B$30,MATCH(J772,Lists!$A$2:$A$30,0)),""))</f>
        <v/>
      </c>
      <c r="M772" s="24"/>
      <c r="N772" s="27" t="str">
        <f aca="false">IF(B772="","",IFERROR(1000-SUMPRODUCT(MAX(ISNUMBER(SEARCH(Rules!$A$5:$A$204,B772))*(Rules!$A$5:$A$204&lt;&gt;"")*(1000-ROW(Rules!$A$5:$A$204)))),""))</f>
        <v/>
      </c>
    </row>
    <row r="773" customFormat="false" ht="15" hidden="false" customHeight="false" outlineLevel="0" collapsed="false">
      <c r="A773" s="23"/>
      <c r="B773" s="24"/>
      <c r="C773" s="25"/>
      <c r="D773" s="24"/>
      <c r="E773" s="21" t="str">
        <f aca="false">IF(OR(B773="",N(N773)=0,N773=1000),IF(B773="","","Check"),INDEX(Rules!$B:$B,N773))</f>
        <v/>
      </c>
      <c r="F773" s="21" t="str">
        <f aca="false">IF(OR(B773="",N(N773)=0,N773=1000),"",INDEX(Rules!$C:$C,N773))</f>
        <v/>
      </c>
      <c r="G773" s="24"/>
      <c r="H773" s="24"/>
      <c r="I773" s="20" t="str">
        <f aca="false">IF(B773="","",IF(G773&lt;&gt;"",G773,E773))</f>
        <v/>
      </c>
      <c r="J773" s="21" t="str">
        <f aca="false">IF(B773="","",IF(H773&lt;&gt;"",H773,F773))</f>
        <v/>
      </c>
      <c r="K773" s="26" t="str">
        <f aca="false">IF(A773="","",DATE(YEAR(A773),MONTH(A773),1))</f>
        <v/>
      </c>
      <c r="L773" s="21" t="str">
        <f aca="false">IF(J773="",IF(B773="","",IF(N(C773)&gt;=0,"Income","Expense")),IFERROR(INDEX(Lists!$B$2:$B$30,MATCH(J773,Lists!$A$2:$A$30,0)),""))</f>
        <v/>
      </c>
      <c r="M773" s="24"/>
      <c r="N773" s="27" t="str">
        <f aca="false">IF(B773="","",IFERROR(1000-SUMPRODUCT(MAX(ISNUMBER(SEARCH(Rules!$A$5:$A$204,B773))*(Rules!$A$5:$A$204&lt;&gt;"")*(1000-ROW(Rules!$A$5:$A$204)))),""))</f>
        <v/>
      </c>
    </row>
    <row r="774" customFormat="false" ht="15" hidden="false" customHeight="false" outlineLevel="0" collapsed="false">
      <c r="A774" s="23"/>
      <c r="B774" s="24"/>
      <c r="C774" s="25"/>
      <c r="D774" s="24"/>
      <c r="E774" s="21" t="str">
        <f aca="false">IF(OR(B774="",N(N774)=0,N774=1000),IF(B774="","","Check"),INDEX(Rules!$B:$B,N774))</f>
        <v/>
      </c>
      <c r="F774" s="21" t="str">
        <f aca="false">IF(OR(B774="",N(N774)=0,N774=1000),"",INDEX(Rules!$C:$C,N774))</f>
        <v/>
      </c>
      <c r="G774" s="24"/>
      <c r="H774" s="24"/>
      <c r="I774" s="20" t="str">
        <f aca="false">IF(B774="","",IF(G774&lt;&gt;"",G774,E774))</f>
        <v/>
      </c>
      <c r="J774" s="21" t="str">
        <f aca="false">IF(B774="","",IF(H774&lt;&gt;"",H774,F774))</f>
        <v/>
      </c>
      <c r="K774" s="26" t="str">
        <f aca="false">IF(A774="","",DATE(YEAR(A774),MONTH(A774),1))</f>
        <v/>
      </c>
      <c r="L774" s="21" t="str">
        <f aca="false">IF(J774="",IF(B774="","",IF(N(C774)&gt;=0,"Income","Expense")),IFERROR(INDEX(Lists!$B$2:$B$30,MATCH(J774,Lists!$A$2:$A$30,0)),""))</f>
        <v/>
      </c>
      <c r="M774" s="24"/>
      <c r="N774" s="27" t="str">
        <f aca="false">IF(B774="","",IFERROR(1000-SUMPRODUCT(MAX(ISNUMBER(SEARCH(Rules!$A$5:$A$204,B774))*(Rules!$A$5:$A$204&lt;&gt;"")*(1000-ROW(Rules!$A$5:$A$204)))),""))</f>
        <v/>
      </c>
    </row>
    <row r="775" customFormat="false" ht="15" hidden="false" customHeight="false" outlineLevel="0" collapsed="false">
      <c r="A775" s="23"/>
      <c r="B775" s="24"/>
      <c r="C775" s="25"/>
      <c r="D775" s="24"/>
      <c r="E775" s="21" t="str">
        <f aca="false">IF(OR(B775="",N(N775)=0,N775=1000),IF(B775="","","Check"),INDEX(Rules!$B:$B,N775))</f>
        <v/>
      </c>
      <c r="F775" s="21" t="str">
        <f aca="false">IF(OR(B775="",N(N775)=0,N775=1000),"",INDEX(Rules!$C:$C,N775))</f>
        <v/>
      </c>
      <c r="G775" s="24"/>
      <c r="H775" s="24"/>
      <c r="I775" s="20" t="str">
        <f aca="false">IF(B775="","",IF(G775&lt;&gt;"",G775,E775))</f>
        <v/>
      </c>
      <c r="J775" s="21" t="str">
        <f aca="false">IF(B775="","",IF(H775&lt;&gt;"",H775,F775))</f>
        <v/>
      </c>
      <c r="K775" s="26" t="str">
        <f aca="false">IF(A775="","",DATE(YEAR(A775),MONTH(A775),1))</f>
        <v/>
      </c>
      <c r="L775" s="21" t="str">
        <f aca="false">IF(J775="",IF(B775="","",IF(N(C775)&gt;=0,"Income","Expense")),IFERROR(INDEX(Lists!$B$2:$B$30,MATCH(J775,Lists!$A$2:$A$30,0)),""))</f>
        <v/>
      </c>
      <c r="M775" s="24"/>
      <c r="N775" s="27" t="str">
        <f aca="false">IF(B775="","",IFERROR(1000-SUMPRODUCT(MAX(ISNUMBER(SEARCH(Rules!$A$5:$A$204,B775))*(Rules!$A$5:$A$204&lt;&gt;"")*(1000-ROW(Rules!$A$5:$A$204)))),""))</f>
        <v/>
      </c>
    </row>
    <row r="776" customFormat="false" ht="15" hidden="false" customHeight="false" outlineLevel="0" collapsed="false">
      <c r="A776" s="23"/>
      <c r="B776" s="24"/>
      <c r="C776" s="25"/>
      <c r="D776" s="24"/>
      <c r="E776" s="21" t="str">
        <f aca="false">IF(OR(B776="",N(N776)=0,N776=1000),IF(B776="","","Check"),INDEX(Rules!$B:$B,N776))</f>
        <v/>
      </c>
      <c r="F776" s="21" t="str">
        <f aca="false">IF(OR(B776="",N(N776)=0,N776=1000),"",INDEX(Rules!$C:$C,N776))</f>
        <v/>
      </c>
      <c r="G776" s="24"/>
      <c r="H776" s="24"/>
      <c r="I776" s="20" t="str">
        <f aca="false">IF(B776="","",IF(G776&lt;&gt;"",G776,E776))</f>
        <v/>
      </c>
      <c r="J776" s="21" t="str">
        <f aca="false">IF(B776="","",IF(H776&lt;&gt;"",H776,F776))</f>
        <v/>
      </c>
      <c r="K776" s="26" t="str">
        <f aca="false">IF(A776="","",DATE(YEAR(A776),MONTH(A776),1))</f>
        <v/>
      </c>
      <c r="L776" s="21" t="str">
        <f aca="false">IF(J776="",IF(B776="","",IF(N(C776)&gt;=0,"Income","Expense")),IFERROR(INDEX(Lists!$B$2:$B$30,MATCH(J776,Lists!$A$2:$A$30,0)),""))</f>
        <v/>
      </c>
      <c r="M776" s="24"/>
      <c r="N776" s="27" t="str">
        <f aca="false">IF(B776="","",IFERROR(1000-SUMPRODUCT(MAX(ISNUMBER(SEARCH(Rules!$A$5:$A$204,B776))*(Rules!$A$5:$A$204&lt;&gt;"")*(1000-ROW(Rules!$A$5:$A$204)))),""))</f>
        <v/>
      </c>
    </row>
    <row r="777" customFormat="false" ht="15" hidden="false" customHeight="false" outlineLevel="0" collapsed="false">
      <c r="A777" s="23"/>
      <c r="B777" s="24"/>
      <c r="C777" s="25"/>
      <c r="D777" s="24"/>
      <c r="E777" s="21" t="str">
        <f aca="false">IF(OR(B777="",N(N777)=0,N777=1000),IF(B777="","","Check"),INDEX(Rules!$B:$B,N777))</f>
        <v/>
      </c>
      <c r="F777" s="21" t="str">
        <f aca="false">IF(OR(B777="",N(N777)=0,N777=1000),"",INDEX(Rules!$C:$C,N777))</f>
        <v/>
      </c>
      <c r="G777" s="24"/>
      <c r="H777" s="24"/>
      <c r="I777" s="20" t="str">
        <f aca="false">IF(B777="","",IF(G777&lt;&gt;"",G777,E777))</f>
        <v/>
      </c>
      <c r="J777" s="21" t="str">
        <f aca="false">IF(B777="","",IF(H777&lt;&gt;"",H777,F777))</f>
        <v/>
      </c>
      <c r="K777" s="26" t="str">
        <f aca="false">IF(A777="","",DATE(YEAR(A777),MONTH(A777),1))</f>
        <v/>
      </c>
      <c r="L777" s="21" t="str">
        <f aca="false">IF(J777="",IF(B777="","",IF(N(C777)&gt;=0,"Income","Expense")),IFERROR(INDEX(Lists!$B$2:$B$30,MATCH(J777,Lists!$A$2:$A$30,0)),""))</f>
        <v/>
      </c>
      <c r="M777" s="24"/>
      <c r="N777" s="27" t="str">
        <f aca="false">IF(B777="","",IFERROR(1000-SUMPRODUCT(MAX(ISNUMBER(SEARCH(Rules!$A$5:$A$204,B777))*(Rules!$A$5:$A$204&lt;&gt;"")*(1000-ROW(Rules!$A$5:$A$204)))),""))</f>
        <v/>
      </c>
    </row>
    <row r="778" customFormat="false" ht="15" hidden="false" customHeight="false" outlineLevel="0" collapsed="false">
      <c r="A778" s="23"/>
      <c r="B778" s="24"/>
      <c r="C778" s="25"/>
      <c r="D778" s="24"/>
      <c r="E778" s="21" t="str">
        <f aca="false">IF(OR(B778="",N(N778)=0,N778=1000),IF(B778="","","Check"),INDEX(Rules!$B:$B,N778))</f>
        <v/>
      </c>
      <c r="F778" s="21" t="str">
        <f aca="false">IF(OR(B778="",N(N778)=0,N778=1000),"",INDEX(Rules!$C:$C,N778))</f>
        <v/>
      </c>
      <c r="G778" s="24"/>
      <c r="H778" s="24"/>
      <c r="I778" s="20" t="str">
        <f aca="false">IF(B778="","",IF(G778&lt;&gt;"",G778,E778))</f>
        <v/>
      </c>
      <c r="J778" s="21" t="str">
        <f aca="false">IF(B778="","",IF(H778&lt;&gt;"",H778,F778))</f>
        <v/>
      </c>
      <c r="K778" s="26" t="str">
        <f aca="false">IF(A778="","",DATE(YEAR(A778),MONTH(A778),1))</f>
        <v/>
      </c>
      <c r="L778" s="21" t="str">
        <f aca="false">IF(J778="",IF(B778="","",IF(N(C778)&gt;=0,"Income","Expense")),IFERROR(INDEX(Lists!$B$2:$B$30,MATCH(J778,Lists!$A$2:$A$30,0)),""))</f>
        <v/>
      </c>
      <c r="M778" s="24"/>
      <c r="N778" s="27" t="str">
        <f aca="false">IF(B778="","",IFERROR(1000-SUMPRODUCT(MAX(ISNUMBER(SEARCH(Rules!$A$5:$A$204,B778))*(Rules!$A$5:$A$204&lt;&gt;"")*(1000-ROW(Rules!$A$5:$A$204)))),""))</f>
        <v/>
      </c>
    </row>
    <row r="779" customFormat="false" ht="15" hidden="false" customHeight="false" outlineLevel="0" collapsed="false">
      <c r="A779" s="23"/>
      <c r="B779" s="24"/>
      <c r="C779" s="25"/>
      <c r="D779" s="24"/>
      <c r="E779" s="21" t="str">
        <f aca="false">IF(OR(B779="",N(N779)=0,N779=1000),IF(B779="","","Check"),INDEX(Rules!$B:$B,N779))</f>
        <v/>
      </c>
      <c r="F779" s="21" t="str">
        <f aca="false">IF(OR(B779="",N(N779)=0,N779=1000),"",INDEX(Rules!$C:$C,N779))</f>
        <v/>
      </c>
      <c r="G779" s="24"/>
      <c r="H779" s="24"/>
      <c r="I779" s="20" t="str">
        <f aca="false">IF(B779="","",IF(G779&lt;&gt;"",G779,E779))</f>
        <v/>
      </c>
      <c r="J779" s="21" t="str">
        <f aca="false">IF(B779="","",IF(H779&lt;&gt;"",H779,F779))</f>
        <v/>
      </c>
      <c r="K779" s="26" t="str">
        <f aca="false">IF(A779="","",DATE(YEAR(A779),MONTH(A779),1))</f>
        <v/>
      </c>
      <c r="L779" s="21" t="str">
        <f aca="false">IF(J779="",IF(B779="","",IF(N(C779)&gt;=0,"Income","Expense")),IFERROR(INDEX(Lists!$B$2:$B$30,MATCH(J779,Lists!$A$2:$A$30,0)),""))</f>
        <v/>
      </c>
      <c r="M779" s="24"/>
      <c r="N779" s="27" t="str">
        <f aca="false">IF(B779="","",IFERROR(1000-SUMPRODUCT(MAX(ISNUMBER(SEARCH(Rules!$A$5:$A$204,B779))*(Rules!$A$5:$A$204&lt;&gt;"")*(1000-ROW(Rules!$A$5:$A$204)))),""))</f>
        <v/>
      </c>
    </row>
    <row r="780" customFormat="false" ht="15" hidden="false" customHeight="false" outlineLevel="0" collapsed="false">
      <c r="A780" s="23"/>
      <c r="B780" s="24"/>
      <c r="C780" s="25"/>
      <c r="D780" s="24"/>
      <c r="E780" s="21" t="str">
        <f aca="false">IF(OR(B780="",N(N780)=0,N780=1000),IF(B780="","","Check"),INDEX(Rules!$B:$B,N780))</f>
        <v/>
      </c>
      <c r="F780" s="21" t="str">
        <f aca="false">IF(OR(B780="",N(N780)=0,N780=1000),"",INDEX(Rules!$C:$C,N780))</f>
        <v/>
      </c>
      <c r="G780" s="24"/>
      <c r="H780" s="24"/>
      <c r="I780" s="20" t="str">
        <f aca="false">IF(B780="","",IF(G780&lt;&gt;"",G780,E780))</f>
        <v/>
      </c>
      <c r="J780" s="21" t="str">
        <f aca="false">IF(B780="","",IF(H780&lt;&gt;"",H780,F780))</f>
        <v/>
      </c>
      <c r="K780" s="26" t="str">
        <f aca="false">IF(A780="","",DATE(YEAR(A780),MONTH(A780),1))</f>
        <v/>
      </c>
      <c r="L780" s="21" t="str">
        <f aca="false">IF(J780="",IF(B780="","",IF(N(C780)&gt;=0,"Income","Expense")),IFERROR(INDEX(Lists!$B$2:$B$30,MATCH(J780,Lists!$A$2:$A$30,0)),""))</f>
        <v/>
      </c>
      <c r="M780" s="24"/>
      <c r="N780" s="27" t="str">
        <f aca="false">IF(B780="","",IFERROR(1000-SUMPRODUCT(MAX(ISNUMBER(SEARCH(Rules!$A$5:$A$204,B780))*(Rules!$A$5:$A$204&lt;&gt;"")*(1000-ROW(Rules!$A$5:$A$204)))),""))</f>
        <v/>
      </c>
    </row>
    <row r="781" customFormat="false" ht="15" hidden="false" customHeight="false" outlineLevel="0" collapsed="false">
      <c r="A781" s="23"/>
      <c r="B781" s="24"/>
      <c r="C781" s="25"/>
      <c r="D781" s="24"/>
      <c r="E781" s="21" t="str">
        <f aca="false">IF(OR(B781="",N(N781)=0,N781=1000),IF(B781="","","Check"),INDEX(Rules!$B:$B,N781))</f>
        <v/>
      </c>
      <c r="F781" s="21" t="str">
        <f aca="false">IF(OR(B781="",N(N781)=0,N781=1000),"",INDEX(Rules!$C:$C,N781))</f>
        <v/>
      </c>
      <c r="G781" s="24"/>
      <c r="H781" s="24"/>
      <c r="I781" s="20" t="str">
        <f aca="false">IF(B781="","",IF(G781&lt;&gt;"",G781,E781))</f>
        <v/>
      </c>
      <c r="J781" s="21" t="str">
        <f aca="false">IF(B781="","",IF(H781&lt;&gt;"",H781,F781))</f>
        <v/>
      </c>
      <c r="K781" s="26" t="str">
        <f aca="false">IF(A781="","",DATE(YEAR(A781),MONTH(A781),1))</f>
        <v/>
      </c>
      <c r="L781" s="21" t="str">
        <f aca="false">IF(J781="",IF(B781="","",IF(N(C781)&gt;=0,"Income","Expense")),IFERROR(INDEX(Lists!$B$2:$B$30,MATCH(J781,Lists!$A$2:$A$30,0)),""))</f>
        <v/>
      </c>
      <c r="M781" s="24"/>
      <c r="N781" s="27" t="str">
        <f aca="false">IF(B781="","",IFERROR(1000-SUMPRODUCT(MAX(ISNUMBER(SEARCH(Rules!$A$5:$A$204,B781))*(Rules!$A$5:$A$204&lt;&gt;"")*(1000-ROW(Rules!$A$5:$A$204)))),""))</f>
        <v/>
      </c>
    </row>
    <row r="782" customFormat="false" ht="15" hidden="false" customHeight="false" outlineLevel="0" collapsed="false">
      <c r="A782" s="23"/>
      <c r="B782" s="24"/>
      <c r="C782" s="25"/>
      <c r="D782" s="24"/>
      <c r="E782" s="21" t="str">
        <f aca="false">IF(OR(B782="",N(N782)=0,N782=1000),IF(B782="","","Check"),INDEX(Rules!$B:$B,N782))</f>
        <v/>
      </c>
      <c r="F782" s="21" t="str">
        <f aca="false">IF(OR(B782="",N(N782)=0,N782=1000),"",INDEX(Rules!$C:$C,N782))</f>
        <v/>
      </c>
      <c r="G782" s="24"/>
      <c r="H782" s="24"/>
      <c r="I782" s="20" t="str">
        <f aca="false">IF(B782="","",IF(G782&lt;&gt;"",G782,E782))</f>
        <v/>
      </c>
      <c r="J782" s="21" t="str">
        <f aca="false">IF(B782="","",IF(H782&lt;&gt;"",H782,F782))</f>
        <v/>
      </c>
      <c r="K782" s="26" t="str">
        <f aca="false">IF(A782="","",DATE(YEAR(A782),MONTH(A782),1))</f>
        <v/>
      </c>
      <c r="L782" s="21" t="str">
        <f aca="false">IF(J782="",IF(B782="","",IF(N(C782)&gt;=0,"Income","Expense")),IFERROR(INDEX(Lists!$B$2:$B$30,MATCH(J782,Lists!$A$2:$A$30,0)),""))</f>
        <v/>
      </c>
      <c r="M782" s="24"/>
      <c r="N782" s="27" t="str">
        <f aca="false">IF(B782="","",IFERROR(1000-SUMPRODUCT(MAX(ISNUMBER(SEARCH(Rules!$A$5:$A$204,B782))*(Rules!$A$5:$A$204&lt;&gt;"")*(1000-ROW(Rules!$A$5:$A$204)))),""))</f>
        <v/>
      </c>
    </row>
    <row r="783" customFormat="false" ht="15" hidden="false" customHeight="false" outlineLevel="0" collapsed="false">
      <c r="A783" s="23"/>
      <c r="B783" s="24"/>
      <c r="C783" s="25"/>
      <c r="D783" s="24"/>
      <c r="E783" s="21" t="str">
        <f aca="false">IF(OR(B783="",N(N783)=0,N783=1000),IF(B783="","","Check"),INDEX(Rules!$B:$B,N783))</f>
        <v/>
      </c>
      <c r="F783" s="21" t="str">
        <f aca="false">IF(OR(B783="",N(N783)=0,N783=1000),"",INDEX(Rules!$C:$C,N783))</f>
        <v/>
      </c>
      <c r="G783" s="24"/>
      <c r="H783" s="24"/>
      <c r="I783" s="20" t="str">
        <f aca="false">IF(B783="","",IF(G783&lt;&gt;"",G783,E783))</f>
        <v/>
      </c>
      <c r="J783" s="21" t="str">
        <f aca="false">IF(B783="","",IF(H783&lt;&gt;"",H783,F783))</f>
        <v/>
      </c>
      <c r="K783" s="26" t="str">
        <f aca="false">IF(A783="","",DATE(YEAR(A783),MONTH(A783),1))</f>
        <v/>
      </c>
      <c r="L783" s="21" t="str">
        <f aca="false">IF(J783="",IF(B783="","",IF(N(C783)&gt;=0,"Income","Expense")),IFERROR(INDEX(Lists!$B$2:$B$30,MATCH(J783,Lists!$A$2:$A$30,0)),""))</f>
        <v/>
      </c>
      <c r="M783" s="24"/>
      <c r="N783" s="27" t="str">
        <f aca="false">IF(B783="","",IFERROR(1000-SUMPRODUCT(MAX(ISNUMBER(SEARCH(Rules!$A$5:$A$204,B783))*(Rules!$A$5:$A$204&lt;&gt;"")*(1000-ROW(Rules!$A$5:$A$204)))),""))</f>
        <v/>
      </c>
    </row>
    <row r="784" customFormat="false" ht="15" hidden="false" customHeight="false" outlineLevel="0" collapsed="false">
      <c r="A784" s="23"/>
      <c r="B784" s="24"/>
      <c r="C784" s="25"/>
      <c r="D784" s="24"/>
      <c r="E784" s="21" t="str">
        <f aca="false">IF(OR(B784="",N(N784)=0,N784=1000),IF(B784="","","Check"),INDEX(Rules!$B:$B,N784))</f>
        <v/>
      </c>
      <c r="F784" s="21" t="str">
        <f aca="false">IF(OR(B784="",N(N784)=0,N784=1000),"",INDEX(Rules!$C:$C,N784))</f>
        <v/>
      </c>
      <c r="G784" s="24"/>
      <c r="H784" s="24"/>
      <c r="I784" s="20" t="str">
        <f aca="false">IF(B784="","",IF(G784&lt;&gt;"",G784,E784))</f>
        <v/>
      </c>
      <c r="J784" s="21" t="str">
        <f aca="false">IF(B784="","",IF(H784&lt;&gt;"",H784,F784))</f>
        <v/>
      </c>
      <c r="K784" s="26" t="str">
        <f aca="false">IF(A784="","",DATE(YEAR(A784),MONTH(A784),1))</f>
        <v/>
      </c>
      <c r="L784" s="21" t="str">
        <f aca="false">IF(J784="",IF(B784="","",IF(N(C784)&gt;=0,"Income","Expense")),IFERROR(INDEX(Lists!$B$2:$B$30,MATCH(J784,Lists!$A$2:$A$30,0)),""))</f>
        <v/>
      </c>
      <c r="M784" s="24"/>
      <c r="N784" s="27" t="str">
        <f aca="false">IF(B784="","",IFERROR(1000-SUMPRODUCT(MAX(ISNUMBER(SEARCH(Rules!$A$5:$A$204,B784))*(Rules!$A$5:$A$204&lt;&gt;"")*(1000-ROW(Rules!$A$5:$A$204)))),""))</f>
        <v/>
      </c>
    </row>
    <row r="785" customFormat="false" ht="15" hidden="false" customHeight="false" outlineLevel="0" collapsed="false">
      <c r="A785" s="23"/>
      <c r="B785" s="24"/>
      <c r="C785" s="25"/>
      <c r="D785" s="24"/>
      <c r="E785" s="21" t="str">
        <f aca="false">IF(OR(B785="",N(N785)=0,N785=1000),IF(B785="","","Check"),INDEX(Rules!$B:$B,N785))</f>
        <v/>
      </c>
      <c r="F785" s="21" t="str">
        <f aca="false">IF(OR(B785="",N(N785)=0,N785=1000),"",INDEX(Rules!$C:$C,N785))</f>
        <v/>
      </c>
      <c r="G785" s="24"/>
      <c r="H785" s="24"/>
      <c r="I785" s="20" t="str">
        <f aca="false">IF(B785="","",IF(G785&lt;&gt;"",G785,E785))</f>
        <v/>
      </c>
      <c r="J785" s="21" t="str">
        <f aca="false">IF(B785="","",IF(H785&lt;&gt;"",H785,F785))</f>
        <v/>
      </c>
      <c r="K785" s="26" t="str">
        <f aca="false">IF(A785="","",DATE(YEAR(A785),MONTH(A785),1))</f>
        <v/>
      </c>
      <c r="L785" s="21" t="str">
        <f aca="false">IF(J785="",IF(B785="","",IF(N(C785)&gt;=0,"Income","Expense")),IFERROR(INDEX(Lists!$B$2:$B$30,MATCH(J785,Lists!$A$2:$A$30,0)),""))</f>
        <v/>
      </c>
      <c r="M785" s="24"/>
      <c r="N785" s="27" t="str">
        <f aca="false">IF(B785="","",IFERROR(1000-SUMPRODUCT(MAX(ISNUMBER(SEARCH(Rules!$A$5:$A$204,B785))*(Rules!$A$5:$A$204&lt;&gt;"")*(1000-ROW(Rules!$A$5:$A$204)))),""))</f>
        <v/>
      </c>
    </row>
    <row r="786" customFormat="false" ht="15" hidden="false" customHeight="false" outlineLevel="0" collapsed="false">
      <c r="A786" s="23"/>
      <c r="B786" s="24"/>
      <c r="C786" s="25"/>
      <c r="D786" s="24"/>
      <c r="E786" s="21" t="str">
        <f aca="false">IF(OR(B786="",N(N786)=0,N786=1000),IF(B786="","","Check"),INDEX(Rules!$B:$B,N786))</f>
        <v/>
      </c>
      <c r="F786" s="21" t="str">
        <f aca="false">IF(OR(B786="",N(N786)=0,N786=1000),"",INDEX(Rules!$C:$C,N786))</f>
        <v/>
      </c>
      <c r="G786" s="24"/>
      <c r="H786" s="24"/>
      <c r="I786" s="20" t="str">
        <f aca="false">IF(B786="","",IF(G786&lt;&gt;"",G786,E786))</f>
        <v/>
      </c>
      <c r="J786" s="21" t="str">
        <f aca="false">IF(B786="","",IF(H786&lt;&gt;"",H786,F786))</f>
        <v/>
      </c>
      <c r="K786" s="26" t="str">
        <f aca="false">IF(A786="","",DATE(YEAR(A786),MONTH(A786),1))</f>
        <v/>
      </c>
      <c r="L786" s="21" t="str">
        <f aca="false">IF(J786="",IF(B786="","",IF(N(C786)&gt;=0,"Income","Expense")),IFERROR(INDEX(Lists!$B$2:$B$30,MATCH(J786,Lists!$A$2:$A$30,0)),""))</f>
        <v/>
      </c>
      <c r="M786" s="24"/>
      <c r="N786" s="27" t="str">
        <f aca="false">IF(B786="","",IFERROR(1000-SUMPRODUCT(MAX(ISNUMBER(SEARCH(Rules!$A$5:$A$204,B786))*(Rules!$A$5:$A$204&lt;&gt;"")*(1000-ROW(Rules!$A$5:$A$204)))),""))</f>
        <v/>
      </c>
    </row>
    <row r="787" customFormat="false" ht="15" hidden="false" customHeight="false" outlineLevel="0" collapsed="false">
      <c r="A787" s="23"/>
      <c r="B787" s="24"/>
      <c r="C787" s="25"/>
      <c r="D787" s="24"/>
      <c r="E787" s="21" t="str">
        <f aca="false">IF(OR(B787="",N(N787)=0,N787=1000),IF(B787="","","Check"),INDEX(Rules!$B:$B,N787))</f>
        <v/>
      </c>
      <c r="F787" s="21" t="str">
        <f aca="false">IF(OR(B787="",N(N787)=0,N787=1000),"",INDEX(Rules!$C:$C,N787))</f>
        <v/>
      </c>
      <c r="G787" s="24"/>
      <c r="H787" s="24"/>
      <c r="I787" s="20" t="str">
        <f aca="false">IF(B787="","",IF(G787&lt;&gt;"",G787,E787))</f>
        <v/>
      </c>
      <c r="J787" s="21" t="str">
        <f aca="false">IF(B787="","",IF(H787&lt;&gt;"",H787,F787))</f>
        <v/>
      </c>
      <c r="K787" s="26" t="str">
        <f aca="false">IF(A787="","",DATE(YEAR(A787),MONTH(A787),1))</f>
        <v/>
      </c>
      <c r="L787" s="21" t="str">
        <f aca="false">IF(J787="",IF(B787="","",IF(N(C787)&gt;=0,"Income","Expense")),IFERROR(INDEX(Lists!$B$2:$B$30,MATCH(J787,Lists!$A$2:$A$30,0)),""))</f>
        <v/>
      </c>
      <c r="M787" s="24"/>
      <c r="N787" s="27" t="str">
        <f aca="false">IF(B787="","",IFERROR(1000-SUMPRODUCT(MAX(ISNUMBER(SEARCH(Rules!$A$5:$A$204,B787))*(Rules!$A$5:$A$204&lt;&gt;"")*(1000-ROW(Rules!$A$5:$A$204)))),""))</f>
        <v/>
      </c>
    </row>
    <row r="788" customFormat="false" ht="15" hidden="false" customHeight="false" outlineLevel="0" collapsed="false">
      <c r="A788" s="23"/>
      <c r="B788" s="24"/>
      <c r="C788" s="25"/>
      <c r="D788" s="24"/>
      <c r="E788" s="21" t="str">
        <f aca="false">IF(OR(B788="",N(N788)=0,N788=1000),IF(B788="","","Check"),INDEX(Rules!$B:$B,N788))</f>
        <v/>
      </c>
      <c r="F788" s="21" t="str">
        <f aca="false">IF(OR(B788="",N(N788)=0,N788=1000),"",INDEX(Rules!$C:$C,N788))</f>
        <v/>
      </c>
      <c r="G788" s="24"/>
      <c r="H788" s="24"/>
      <c r="I788" s="20" t="str">
        <f aca="false">IF(B788="","",IF(G788&lt;&gt;"",G788,E788))</f>
        <v/>
      </c>
      <c r="J788" s="21" t="str">
        <f aca="false">IF(B788="","",IF(H788&lt;&gt;"",H788,F788))</f>
        <v/>
      </c>
      <c r="K788" s="26" t="str">
        <f aca="false">IF(A788="","",DATE(YEAR(A788),MONTH(A788),1))</f>
        <v/>
      </c>
      <c r="L788" s="21" t="str">
        <f aca="false">IF(J788="",IF(B788="","",IF(N(C788)&gt;=0,"Income","Expense")),IFERROR(INDEX(Lists!$B$2:$B$30,MATCH(J788,Lists!$A$2:$A$30,0)),""))</f>
        <v/>
      </c>
      <c r="M788" s="24"/>
      <c r="N788" s="27" t="str">
        <f aca="false">IF(B788="","",IFERROR(1000-SUMPRODUCT(MAX(ISNUMBER(SEARCH(Rules!$A$5:$A$204,B788))*(Rules!$A$5:$A$204&lt;&gt;"")*(1000-ROW(Rules!$A$5:$A$204)))),""))</f>
        <v/>
      </c>
    </row>
    <row r="789" customFormat="false" ht="15" hidden="false" customHeight="false" outlineLevel="0" collapsed="false">
      <c r="A789" s="23"/>
      <c r="B789" s="24"/>
      <c r="C789" s="25"/>
      <c r="D789" s="24"/>
      <c r="E789" s="21" t="str">
        <f aca="false">IF(OR(B789="",N(N789)=0,N789=1000),IF(B789="","","Check"),INDEX(Rules!$B:$B,N789))</f>
        <v/>
      </c>
      <c r="F789" s="21" t="str">
        <f aca="false">IF(OR(B789="",N(N789)=0,N789=1000),"",INDEX(Rules!$C:$C,N789))</f>
        <v/>
      </c>
      <c r="G789" s="24"/>
      <c r="H789" s="24"/>
      <c r="I789" s="20" t="str">
        <f aca="false">IF(B789="","",IF(G789&lt;&gt;"",G789,E789))</f>
        <v/>
      </c>
      <c r="J789" s="21" t="str">
        <f aca="false">IF(B789="","",IF(H789&lt;&gt;"",H789,F789))</f>
        <v/>
      </c>
      <c r="K789" s="26" t="str">
        <f aca="false">IF(A789="","",DATE(YEAR(A789),MONTH(A789),1))</f>
        <v/>
      </c>
      <c r="L789" s="21" t="str">
        <f aca="false">IF(J789="",IF(B789="","",IF(N(C789)&gt;=0,"Income","Expense")),IFERROR(INDEX(Lists!$B$2:$B$30,MATCH(J789,Lists!$A$2:$A$30,0)),""))</f>
        <v/>
      </c>
      <c r="M789" s="24"/>
      <c r="N789" s="27" t="str">
        <f aca="false">IF(B789="","",IFERROR(1000-SUMPRODUCT(MAX(ISNUMBER(SEARCH(Rules!$A$5:$A$204,B789))*(Rules!$A$5:$A$204&lt;&gt;"")*(1000-ROW(Rules!$A$5:$A$204)))),""))</f>
        <v/>
      </c>
    </row>
    <row r="790" customFormat="false" ht="15" hidden="false" customHeight="false" outlineLevel="0" collapsed="false">
      <c r="A790" s="23"/>
      <c r="B790" s="24"/>
      <c r="C790" s="25"/>
      <c r="D790" s="24"/>
      <c r="E790" s="21" t="str">
        <f aca="false">IF(OR(B790="",N(N790)=0,N790=1000),IF(B790="","","Check"),INDEX(Rules!$B:$B,N790))</f>
        <v/>
      </c>
      <c r="F790" s="21" t="str">
        <f aca="false">IF(OR(B790="",N(N790)=0,N790=1000),"",INDEX(Rules!$C:$C,N790))</f>
        <v/>
      </c>
      <c r="G790" s="24"/>
      <c r="H790" s="24"/>
      <c r="I790" s="20" t="str">
        <f aca="false">IF(B790="","",IF(G790&lt;&gt;"",G790,E790))</f>
        <v/>
      </c>
      <c r="J790" s="21" t="str">
        <f aca="false">IF(B790="","",IF(H790&lt;&gt;"",H790,F790))</f>
        <v/>
      </c>
      <c r="K790" s="26" t="str">
        <f aca="false">IF(A790="","",DATE(YEAR(A790),MONTH(A790),1))</f>
        <v/>
      </c>
      <c r="L790" s="21" t="str">
        <f aca="false">IF(J790="",IF(B790="","",IF(N(C790)&gt;=0,"Income","Expense")),IFERROR(INDEX(Lists!$B$2:$B$30,MATCH(J790,Lists!$A$2:$A$30,0)),""))</f>
        <v/>
      </c>
      <c r="M790" s="24"/>
      <c r="N790" s="27" t="str">
        <f aca="false">IF(B790="","",IFERROR(1000-SUMPRODUCT(MAX(ISNUMBER(SEARCH(Rules!$A$5:$A$204,B790))*(Rules!$A$5:$A$204&lt;&gt;"")*(1000-ROW(Rules!$A$5:$A$204)))),""))</f>
        <v/>
      </c>
    </row>
    <row r="791" customFormat="false" ht="15" hidden="false" customHeight="false" outlineLevel="0" collapsed="false">
      <c r="A791" s="23"/>
      <c r="B791" s="24"/>
      <c r="C791" s="25"/>
      <c r="D791" s="24"/>
      <c r="E791" s="21" t="str">
        <f aca="false">IF(OR(B791="",N(N791)=0,N791=1000),IF(B791="","","Check"),INDEX(Rules!$B:$B,N791))</f>
        <v/>
      </c>
      <c r="F791" s="21" t="str">
        <f aca="false">IF(OR(B791="",N(N791)=0,N791=1000),"",INDEX(Rules!$C:$C,N791))</f>
        <v/>
      </c>
      <c r="G791" s="24"/>
      <c r="H791" s="24"/>
      <c r="I791" s="20" t="str">
        <f aca="false">IF(B791="","",IF(G791&lt;&gt;"",G791,E791))</f>
        <v/>
      </c>
      <c r="J791" s="21" t="str">
        <f aca="false">IF(B791="","",IF(H791&lt;&gt;"",H791,F791))</f>
        <v/>
      </c>
      <c r="K791" s="26" t="str">
        <f aca="false">IF(A791="","",DATE(YEAR(A791),MONTH(A791),1))</f>
        <v/>
      </c>
      <c r="L791" s="21" t="str">
        <f aca="false">IF(J791="",IF(B791="","",IF(N(C791)&gt;=0,"Income","Expense")),IFERROR(INDEX(Lists!$B$2:$B$30,MATCH(J791,Lists!$A$2:$A$30,0)),""))</f>
        <v/>
      </c>
      <c r="M791" s="24"/>
      <c r="N791" s="27" t="str">
        <f aca="false">IF(B791="","",IFERROR(1000-SUMPRODUCT(MAX(ISNUMBER(SEARCH(Rules!$A$5:$A$204,B791))*(Rules!$A$5:$A$204&lt;&gt;"")*(1000-ROW(Rules!$A$5:$A$204)))),""))</f>
        <v/>
      </c>
    </row>
    <row r="792" customFormat="false" ht="15" hidden="false" customHeight="false" outlineLevel="0" collapsed="false">
      <c r="A792" s="23"/>
      <c r="B792" s="24"/>
      <c r="C792" s="25"/>
      <c r="D792" s="24"/>
      <c r="E792" s="21" t="str">
        <f aca="false">IF(OR(B792="",N(N792)=0,N792=1000),IF(B792="","","Check"),INDEX(Rules!$B:$B,N792))</f>
        <v/>
      </c>
      <c r="F792" s="21" t="str">
        <f aca="false">IF(OR(B792="",N(N792)=0,N792=1000),"",INDEX(Rules!$C:$C,N792))</f>
        <v/>
      </c>
      <c r="G792" s="24"/>
      <c r="H792" s="24"/>
      <c r="I792" s="20" t="str">
        <f aca="false">IF(B792="","",IF(G792&lt;&gt;"",G792,E792))</f>
        <v/>
      </c>
      <c r="J792" s="21" t="str">
        <f aca="false">IF(B792="","",IF(H792&lt;&gt;"",H792,F792))</f>
        <v/>
      </c>
      <c r="K792" s="26" t="str">
        <f aca="false">IF(A792="","",DATE(YEAR(A792),MONTH(A792),1))</f>
        <v/>
      </c>
      <c r="L792" s="21" t="str">
        <f aca="false">IF(J792="",IF(B792="","",IF(N(C792)&gt;=0,"Income","Expense")),IFERROR(INDEX(Lists!$B$2:$B$30,MATCH(J792,Lists!$A$2:$A$30,0)),""))</f>
        <v/>
      </c>
      <c r="M792" s="24"/>
      <c r="N792" s="27" t="str">
        <f aca="false">IF(B792="","",IFERROR(1000-SUMPRODUCT(MAX(ISNUMBER(SEARCH(Rules!$A$5:$A$204,B792))*(Rules!$A$5:$A$204&lt;&gt;"")*(1000-ROW(Rules!$A$5:$A$204)))),""))</f>
        <v/>
      </c>
    </row>
    <row r="793" customFormat="false" ht="15" hidden="false" customHeight="false" outlineLevel="0" collapsed="false">
      <c r="A793" s="23"/>
      <c r="B793" s="24"/>
      <c r="C793" s="25"/>
      <c r="D793" s="24"/>
      <c r="E793" s="21" t="str">
        <f aca="false">IF(OR(B793="",N(N793)=0,N793=1000),IF(B793="","","Check"),INDEX(Rules!$B:$B,N793))</f>
        <v/>
      </c>
      <c r="F793" s="21" t="str">
        <f aca="false">IF(OR(B793="",N(N793)=0,N793=1000),"",INDEX(Rules!$C:$C,N793))</f>
        <v/>
      </c>
      <c r="G793" s="24"/>
      <c r="H793" s="24"/>
      <c r="I793" s="20" t="str">
        <f aca="false">IF(B793="","",IF(G793&lt;&gt;"",G793,E793))</f>
        <v/>
      </c>
      <c r="J793" s="21" t="str">
        <f aca="false">IF(B793="","",IF(H793&lt;&gt;"",H793,F793))</f>
        <v/>
      </c>
      <c r="K793" s="26" t="str">
        <f aca="false">IF(A793="","",DATE(YEAR(A793),MONTH(A793),1))</f>
        <v/>
      </c>
      <c r="L793" s="21" t="str">
        <f aca="false">IF(J793="",IF(B793="","",IF(N(C793)&gt;=0,"Income","Expense")),IFERROR(INDEX(Lists!$B$2:$B$30,MATCH(J793,Lists!$A$2:$A$30,0)),""))</f>
        <v/>
      </c>
      <c r="M793" s="24"/>
      <c r="N793" s="27" t="str">
        <f aca="false">IF(B793="","",IFERROR(1000-SUMPRODUCT(MAX(ISNUMBER(SEARCH(Rules!$A$5:$A$204,B793))*(Rules!$A$5:$A$204&lt;&gt;"")*(1000-ROW(Rules!$A$5:$A$204)))),""))</f>
        <v/>
      </c>
    </row>
    <row r="794" customFormat="false" ht="15" hidden="false" customHeight="false" outlineLevel="0" collapsed="false">
      <c r="A794" s="23"/>
      <c r="B794" s="24"/>
      <c r="C794" s="25"/>
      <c r="D794" s="24"/>
      <c r="E794" s="21" t="str">
        <f aca="false">IF(OR(B794="",N(N794)=0,N794=1000),IF(B794="","","Check"),INDEX(Rules!$B:$B,N794))</f>
        <v/>
      </c>
      <c r="F794" s="21" t="str">
        <f aca="false">IF(OR(B794="",N(N794)=0,N794=1000),"",INDEX(Rules!$C:$C,N794))</f>
        <v/>
      </c>
      <c r="G794" s="24"/>
      <c r="H794" s="24"/>
      <c r="I794" s="20" t="str">
        <f aca="false">IF(B794="","",IF(G794&lt;&gt;"",G794,E794))</f>
        <v/>
      </c>
      <c r="J794" s="21" t="str">
        <f aca="false">IF(B794="","",IF(H794&lt;&gt;"",H794,F794))</f>
        <v/>
      </c>
      <c r="K794" s="26" t="str">
        <f aca="false">IF(A794="","",DATE(YEAR(A794),MONTH(A794),1))</f>
        <v/>
      </c>
      <c r="L794" s="21" t="str">
        <f aca="false">IF(J794="",IF(B794="","",IF(N(C794)&gt;=0,"Income","Expense")),IFERROR(INDEX(Lists!$B$2:$B$30,MATCH(J794,Lists!$A$2:$A$30,0)),""))</f>
        <v/>
      </c>
      <c r="M794" s="24"/>
      <c r="N794" s="27" t="str">
        <f aca="false">IF(B794="","",IFERROR(1000-SUMPRODUCT(MAX(ISNUMBER(SEARCH(Rules!$A$5:$A$204,B794))*(Rules!$A$5:$A$204&lt;&gt;"")*(1000-ROW(Rules!$A$5:$A$204)))),""))</f>
        <v/>
      </c>
    </row>
    <row r="795" customFormat="false" ht="15" hidden="false" customHeight="false" outlineLevel="0" collapsed="false">
      <c r="A795" s="23"/>
      <c r="B795" s="24"/>
      <c r="C795" s="25"/>
      <c r="D795" s="24"/>
      <c r="E795" s="21" t="str">
        <f aca="false">IF(OR(B795="",N(N795)=0,N795=1000),IF(B795="","","Check"),INDEX(Rules!$B:$B,N795))</f>
        <v/>
      </c>
      <c r="F795" s="21" t="str">
        <f aca="false">IF(OR(B795="",N(N795)=0,N795=1000),"",INDEX(Rules!$C:$C,N795))</f>
        <v/>
      </c>
      <c r="G795" s="24"/>
      <c r="H795" s="24"/>
      <c r="I795" s="20" t="str">
        <f aca="false">IF(B795="","",IF(G795&lt;&gt;"",G795,E795))</f>
        <v/>
      </c>
      <c r="J795" s="21" t="str">
        <f aca="false">IF(B795="","",IF(H795&lt;&gt;"",H795,F795))</f>
        <v/>
      </c>
      <c r="K795" s="26" t="str">
        <f aca="false">IF(A795="","",DATE(YEAR(A795),MONTH(A795),1))</f>
        <v/>
      </c>
      <c r="L795" s="21" t="str">
        <f aca="false">IF(J795="",IF(B795="","",IF(N(C795)&gt;=0,"Income","Expense")),IFERROR(INDEX(Lists!$B$2:$B$30,MATCH(J795,Lists!$A$2:$A$30,0)),""))</f>
        <v/>
      </c>
      <c r="M795" s="24"/>
      <c r="N795" s="27" t="str">
        <f aca="false">IF(B795="","",IFERROR(1000-SUMPRODUCT(MAX(ISNUMBER(SEARCH(Rules!$A$5:$A$204,B795))*(Rules!$A$5:$A$204&lt;&gt;"")*(1000-ROW(Rules!$A$5:$A$204)))),""))</f>
        <v/>
      </c>
    </row>
    <row r="796" customFormat="false" ht="15" hidden="false" customHeight="false" outlineLevel="0" collapsed="false">
      <c r="A796" s="23"/>
      <c r="B796" s="24"/>
      <c r="C796" s="25"/>
      <c r="D796" s="24"/>
      <c r="E796" s="21" t="str">
        <f aca="false">IF(OR(B796="",N(N796)=0,N796=1000),IF(B796="","","Check"),INDEX(Rules!$B:$B,N796))</f>
        <v/>
      </c>
      <c r="F796" s="21" t="str">
        <f aca="false">IF(OR(B796="",N(N796)=0,N796=1000),"",INDEX(Rules!$C:$C,N796))</f>
        <v/>
      </c>
      <c r="G796" s="24"/>
      <c r="H796" s="24"/>
      <c r="I796" s="20" t="str">
        <f aca="false">IF(B796="","",IF(G796&lt;&gt;"",G796,E796))</f>
        <v/>
      </c>
      <c r="J796" s="21" t="str">
        <f aca="false">IF(B796="","",IF(H796&lt;&gt;"",H796,F796))</f>
        <v/>
      </c>
      <c r="K796" s="26" t="str">
        <f aca="false">IF(A796="","",DATE(YEAR(A796),MONTH(A796),1))</f>
        <v/>
      </c>
      <c r="L796" s="21" t="str">
        <f aca="false">IF(J796="",IF(B796="","",IF(N(C796)&gt;=0,"Income","Expense")),IFERROR(INDEX(Lists!$B$2:$B$30,MATCH(J796,Lists!$A$2:$A$30,0)),""))</f>
        <v/>
      </c>
      <c r="M796" s="24"/>
      <c r="N796" s="27" t="str">
        <f aca="false">IF(B796="","",IFERROR(1000-SUMPRODUCT(MAX(ISNUMBER(SEARCH(Rules!$A$5:$A$204,B796))*(Rules!$A$5:$A$204&lt;&gt;"")*(1000-ROW(Rules!$A$5:$A$204)))),""))</f>
        <v/>
      </c>
    </row>
    <row r="797" customFormat="false" ht="15" hidden="false" customHeight="false" outlineLevel="0" collapsed="false">
      <c r="A797" s="23"/>
      <c r="B797" s="24"/>
      <c r="C797" s="25"/>
      <c r="D797" s="24"/>
      <c r="E797" s="21" t="str">
        <f aca="false">IF(OR(B797="",N(N797)=0,N797=1000),IF(B797="","","Check"),INDEX(Rules!$B:$B,N797))</f>
        <v/>
      </c>
      <c r="F797" s="21" t="str">
        <f aca="false">IF(OR(B797="",N(N797)=0,N797=1000),"",INDEX(Rules!$C:$C,N797))</f>
        <v/>
      </c>
      <c r="G797" s="24"/>
      <c r="H797" s="24"/>
      <c r="I797" s="20" t="str">
        <f aca="false">IF(B797="","",IF(G797&lt;&gt;"",G797,E797))</f>
        <v/>
      </c>
      <c r="J797" s="21" t="str">
        <f aca="false">IF(B797="","",IF(H797&lt;&gt;"",H797,F797))</f>
        <v/>
      </c>
      <c r="K797" s="26" t="str">
        <f aca="false">IF(A797="","",DATE(YEAR(A797),MONTH(A797),1))</f>
        <v/>
      </c>
      <c r="L797" s="21" t="str">
        <f aca="false">IF(J797="",IF(B797="","",IF(N(C797)&gt;=0,"Income","Expense")),IFERROR(INDEX(Lists!$B$2:$B$30,MATCH(J797,Lists!$A$2:$A$30,0)),""))</f>
        <v/>
      </c>
      <c r="M797" s="24"/>
      <c r="N797" s="27" t="str">
        <f aca="false">IF(B797="","",IFERROR(1000-SUMPRODUCT(MAX(ISNUMBER(SEARCH(Rules!$A$5:$A$204,B797))*(Rules!$A$5:$A$204&lt;&gt;"")*(1000-ROW(Rules!$A$5:$A$204)))),""))</f>
        <v/>
      </c>
    </row>
    <row r="798" customFormat="false" ht="15" hidden="false" customHeight="false" outlineLevel="0" collapsed="false">
      <c r="A798" s="23"/>
      <c r="B798" s="24"/>
      <c r="C798" s="25"/>
      <c r="D798" s="24"/>
      <c r="E798" s="21" t="str">
        <f aca="false">IF(OR(B798="",N(N798)=0,N798=1000),IF(B798="","","Check"),INDEX(Rules!$B:$B,N798))</f>
        <v/>
      </c>
      <c r="F798" s="21" t="str">
        <f aca="false">IF(OR(B798="",N(N798)=0,N798=1000),"",INDEX(Rules!$C:$C,N798))</f>
        <v/>
      </c>
      <c r="G798" s="24"/>
      <c r="H798" s="24"/>
      <c r="I798" s="20" t="str">
        <f aca="false">IF(B798="","",IF(G798&lt;&gt;"",G798,E798))</f>
        <v/>
      </c>
      <c r="J798" s="21" t="str">
        <f aca="false">IF(B798="","",IF(H798&lt;&gt;"",H798,F798))</f>
        <v/>
      </c>
      <c r="K798" s="26" t="str">
        <f aca="false">IF(A798="","",DATE(YEAR(A798),MONTH(A798),1))</f>
        <v/>
      </c>
      <c r="L798" s="21" t="str">
        <f aca="false">IF(J798="",IF(B798="","",IF(N(C798)&gt;=0,"Income","Expense")),IFERROR(INDEX(Lists!$B$2:$B$30,MATCH(J798,Lists!$A$2:$A$30,0)),""))</f>
        <v/>
      </c>
      <c r="M798" s="24"/>
      <c r="N798" s="27" t="str">
        <f aca="false">IF(B798="","",IFERROR(1000-SUMPRODUCT(MAX(ISNUMBER(SEARCH(Rules!$A$5:$A$204,B798))*(Rules!$A$5:$A$204&lt;&gt;"")*(1000-ROW(Rules!$A$5:$A$204)))),""))</f>
        <v/>
      </c>
    </row>
    <row r="799" customFormat="false" ht="15" hidden="false" customHeight="false" outlineLevel="0" collapsed="false">
      <c r="A799" s="23"/>
      <c r="B799" s="24"/>
      <c r="C799" s="25"/>
      <c r="D799" s="24"/>
      <c r="E799" s="21" t="str">
        <f aca="false">IF(OR(B799="",N(N799)=0,N799=1000),IF(B799="","","Check"),INDEX(Rules!$B:$B,N799))</f>
        <v/>
      </c>
      <c r="F799" s="21" t="str">
        <f aca="false">IF(OR(B799="",N(N799)=0,N799=1000),"",INDEX(Rules!$C:$C,N799))</f>
        <v/>
      </c>
      <c r="G799" s="24"/>
      <c r="H799" s="24"/>
      <c r="I799" s="20" t="str">
        <f aca="false">IF(B799="","",IF(G799&lt;&gt;"",G799,E799))</f>
        <v/>
      </c>
      <c r="J799" s="21" t="str">
        <f aca="false">IF(B799="","",IF(H799&lt;&gt;"",H799,F799))</f>
        <v/>
      </c>
      <c r="K799" s="26" t="str">
        <f aca="false">IF(A799="","",DATE(YEAR(A799),MONTH(A799),1))</f>
        <v/>
      </c>
      <c r="L799" s="21" t="str">
        <f aca="false">IF(J799="",IF(B799="","",IF(N(C799)&gt;=0,"Income","Expense")),IFERROR(INDEX(Lists!$B$2:$B$30,MATCH(J799,Lists!$A$2:$A$30,0)),""))</f>
        <v/>
      </c>
      <c r="M799" s="24"/>
      <c r="N799" s="27" t="str">
        <f aca="false">IF(B799="","",IFERROR(1000-SUMPRODUCT(MAX(ISNUMBER(SEARCH(Rules!$A$5:$A$204,B799))*(Rules!$A$5:$A$204&lt;&gt;"")*(1000-ROW(Rules!$A$5:$A$204)))),""))</f>
        <v/>
      </c>
    </row>
    <row r="800" customFormat="false" ht="15" hidden="false" customHeight="false" outlineLevel="0" collapsed="false">
      <c r="A800" s="23"/>
      <c r="B800" s="24"/>
      <c r="C800" s="25"/>
      <c r="D800" s="24"/>
      <c r="E800" s="21" t="str">
        <f aca="false">IF(OR(B800="",N(N800)=0,N800=1000),IF(B800="","","Check"),INDEX(Rules!$B:$B,N800))</f>
        <v/>
      </c>
      <c r="F800" s="21" t="str">
        <f aca="false">IF(OR(B800="",N(N800)=0,N800=1000),"",INDEX(Rules!$C:$C,N800))</f>
        <v/>
      </c>
      <c r="G800" s="24"/>
      <c r="H800" s="24"/>
      <c r="I800" s="20" t="str">
        <f aca="false">IF(B800="","",IF(G800&lt;&gt;"",G800,E800))</f>
        <v/>
      </c>
      <c r="J800" s="21" t="str">
        <f aca="false">IF(B800="","",IF(H800&lt;&gt;"",H800,F800))</f>
        <v/>
      </c>
      <c r="K800" s="26" t="str">
        <f aca="false">IF(A800="","",DATE(YEAR(A800),MONTH(A800),1))</f>
        <v/>
      </c>
      <c r="L800" s="21" t="str">
        <f aca="false">IF(J800="",IF(B800="","",IF(N(C800)&gt;=0,"Income","Expense")),IFERROR(INDEX(Lists!$B$2:$B$30,MATCH(J800,Lists!$A$2:$A$30,0)),""))</f>
        <v/>
      </c>
      <c r="M800" s="24"/>
      <c r="N800" s="27" t="str">
        <f aca="false">IF(B800="","",IFERROR(1000-SUMPRODUCT(MAX(ISNUMBER(SEARCH(Rules!$A$5:$A$204,B800))*(Rules!$A$5:$A$204&lt;&gt;"")*(1000-ROW(Rules!$A$5:$A$204)))),""))</f>
        <v/>
      </c>
    </row>
    <row r="801" customFormat="false" ht="15" hidden="false" customHeight="false" outlineLevel="0" collapsed="false">
      <c r="A801" s="23"/>
      <c r="B801" s="24"/>
      <c r="C801" s="25"/>
      <c r="D801" s="24"/>
      <c r="E801" s="21" t="str">
        <f aca="false">IF(OR(B801="",N(N801)=0,N801=1000),IF(B801="","","Check"),INDEX(Rules!$B:$B,N801))</f>
        <v/>
      </c>
      <c r="F801" s="21" t="str">
        <f aca="false">IF(OR(B801="",N(N801)=0,N801=1000),"",INDEX(Rules!$C:$C,N801))</f>
        <v/>
      </c>
      <c r="G801" s="24"/>
      <c r="H801" s="24"/>
      <c r="I801" s="20" t="str">
        <f aca="false">IF(B801="","",IF(G801&lt;&gt;"",G801,E801))</f>
        <v/>
      </c>
      <c r="J801" s="21" t="str">
        <f aca="false">IF(B801="","",IF(H801&lt;&gt;"",H801,F801))</f>
        <v/>
      </c>
      <c r="K801" s="26" t="str">
        <f aca="false">IF(A801="","",DATE(YEAR(A801),MONTH(A801),1))</f>
        <v/>
      </c>
      <c r="L801" s="21" t="str">
        <f aca="false">IF(J801="",IF(B801="","",IF(N(C801)&gt;=0,"Income","Expense")),IFERROR(INDEX(Lists!$B$2:$B$30,MATCH(J801,Lists!$A$2:$A$30,0)),""))</f>
        <v/>
      </c>
      <c r="M801" s="24"/>
      <c r="N801" s="27" t="str">
        <f aca="false">IF(B801="","",IFERROR(1000-SUMPRODUCT(MAX(ISNUMBER(SEARCH(Rules!$A$5:$A$204,B801))*(Rules!$A$5:$A$204&lt;&gt;"")*(1000-ROW(Rules!$A$5:$A$204)))),""))</f>
        <v/>
      </c>
    </row>
    <row r="802" customFormat="false" ht="15" hidden="false" customHeight="false" outlineLevel="0" collapsed="false">
      <c r="A802" s="23"/>
      <c r="B802" s="24"/>
      <c r="C802" s="25"/>
      <c r="D802" s="24"/>
      <c r="E802" s="21" t="str">
        <f aca="false">IF(OR(B802="",N(N802)=0,N802=1000),IF(B802="","","Check"),INDEX(Rules!$B:$B,N802))</f>
        <v/>
      </c>
      <c r="F802" s="21" t="str">
        <f aca="false">IF(OR(B802="",N(N802)=0,N802=1000),"",INDEX(Rules!$C:$C,N802))</f>
        <v/>
      </c>
      <c r="G802" s="24"/>
      <c r="H802" s="24"/>
      <c r="I802" s="20" t="str">
        <f aca="false">IF(B802="","",IF(G802&lt;&gt;"",G802,E802))</f>
        <v/>
      </c>
      <c r="J802" s="21" t="str">
        <f aca="false">IF(B802="","",IF(H802&lt;&gt;"",H802,F802))</f>
        <v/>
      </c>
      <c r="K802" s="26" t="str">
        <f aca="false">IF(A802="","",DATE(YEAR(A802),MONTH(A802),1))</f>
        <v/>
      </c>
      <c r="L802" s="21" t="str">
        <f aca="false">IF(J802="",IF(B802="","",IF(N(C802)&gt;=0,"Income","Expense")),IFERROR(INDEX(Lists!$B$2:$B$30,MATCH(J802,Lists!$A$2:$A$30,0)),""))</f>
        <v/>
      </c>
      <c r="M802" s="24"/>
      <c r="N802" s="27" t="str">
        <f aca="false">IF(B802="","",IFERROR(1000-SUMPRODUCT(MAX(ISNUMBER(SEARCH(Rules!$A$5:$A$204,B802))*(Rules!$A$5:$A$204&lt;&gt;"")*(1000-ROW(Rules!$A$5:$A$204)))),""))</f>
        <v/>
      </c>
    </row>
    <row r="803" customFormat="false" ht="15" hidden="false" customHeight="false" outlineLevel="0" collapsed="false">
      <c r="A803" s="23"/>
      <c r="B803" s="24"/>
      <c r="C803" s="25"/>
      <c r="D803" s="24"/>
      <c r="E803" s="21" t="str">
        <f aca="false">IF(OR(B803="",N(N803)=0,N803=1000),IF(B803="","","Check"),INDEX(Rules!$B:$B,N803))</f>
        <v/>
      </c>
      <c r="F803" s="21" t="str">
        <f aca="false">IF(OR(B803="",N(N803)=0,N803=1000),"",INDEX(Rules!$C:$C,N803))</f>
        <v/>
      </c>
      <c r="G803" s="24"/>
      <c r="H803" s="24"/>
      <c r="I803" s="20" t="str">
        <f aca="false">IF(B803="","",IF(G803&lt;&gt;"",G803,E803))</f>
        <v/>
      </c>
      <c r="J803" s="21" t="str">
        <f aca="false">IF(B803="","",IF(H803&lt;&gt;"",H803,F803))</f>
        <v/>
      </c>
      <c r="K803" s="26" t="str">
        <f aca="false">IF(A803="","",DATE(YEAR(A803),MONTH(A803),1))</f>
        <v/>
      </c>
      <c r="L803" s="21" t="str">
        <f aca="false">IF(J803="",IF(B803="","",IF(N(C803)&gt;=0,"Income","Expense")),IFERROR(INDEX(Lists!$B$2:$B$30,MATCH(J803,Lists!$A$2:$A$30,0)),""))</f>
        <v/>
      </c>
      <c r="M803" s="24"/>
      <c r="N803" s="27" t="str">
        <f aca="false">IF(B803="","",IFERROR(1000-SUMPRODUCT(MAX(ISNUMBER(SEARCH(Rules!$A$5:$A$204,B803))*(Rules!$A$5:$A$204&lt;&gt;"")*(1000-ROW(Rules!$A$5:$A$204)))),""))</f>
        <v/>
      </c>
    </row>
    <row r="804" customFormat="false" ht="15" hidden="false" customHeight="false" outlineLevel="0" collapsed="false">
      <c r="A804" s="23"/>
      <c r="B804" s="24"/>
      <c r="C804" s="25"/>
      <c r="D804" s="24"/>
      <c r="E804" s="21" t="str">
        <f aca="false">IF(OR(B804="",N(N804)=0,N804=1000),IF(B804="","","Check"),INDEX(Rules!$B:$B,N804))</f>
        <v/>
      </c>
      <c r="F804" s="21" t="str">
        <f aca="false">IF(OR(B804="",N(N804)=0,N804=1000),"",INDEX(Rules!$C:$C,N804))</f>
        <v/>
      </c>
      <c r="G804" s="24"/>
      <c r="H804" s="24"/>
      <c r="I804" s="20" t="str">
        <f aca="false">IF(B804="","",IF(G804&lt;&gt;"",G804,E804))</f>
        <v/>
      </c>
      <c r="J804" s="21" t="str">
        <f aca="false">IF(B804="","",IF(H804&lt;&gt;"",H804,F804))</f>
        <v/>
      </c>
      <c r="K804" s="26" t="str">
        <f aca="false">IF(A804="","",DATE(YEAR(A804),MONTH(A804),1))</f>
        <v/>
      </c>
      <c r="L804" s="21" t="str">
        <f aca="false">IF(J804="",IF(B804="","",IF(N(C804)&gt;=0,"Income","Expense")),IFERROR(INDEX(Lists!$B$2:$B$30,MATCH(J804,Lists!$A$2:$A$30,0)),""))</f>
        <v/>
      </c>
      <c r="M804" s="24"/>
      <c r="N804" s="27" t="str">
        <f aca="false">IF(B804="","",IFERROR(1000-SUMPRODUCT(MAX(ISNUMBER(SEARCH(Rules!$A$5:$A$204,B804))*(Rules!$A$5:$A$204&lt;&gt;"")*(1000-ROW(Rules!$A$5:$A$204)))),""))</f>
        <v/>
      </c>
    </row>
    <row r="805" customFormat="false" ht="15" hidden="false" customHeight="false" outlineLevel="0" collapsed="false">
      <c r="A805" s="23"/>
      <c r="B805" s="24"/>
      <c r="C805" s="25"/>
      <c r="D805" s="24"/>
      <c r="E805" s="21" t="str">
        <f aca="false">IF(OR(B805="",N(N805)=0,N805=1000),IF(B805="","","Check"),INDEX(Rules!$B:$B,N805))</f>
        <v/>
      </c>
      <c r="F805" s="21" t="str">
        <f aca="false">IF(OR(B805="",N(N805)=0,N805=1000),"",INDEX(Rules!$C:$C,N805))</f>
        <v/>
      </c>
      <c r="G805" s="24"/>
      <c r="H805" s="24"/>
      <c r="I805" s="20" t="str">
        <f aca="false">IF(B805="","",IF(G805&lt;&gt;"",G805,E805))</f>
        <v/>
      </c>
      <c r="J805" s="21" t="str">
        <f aca="false">IF(B805="","",IF(H805&lt;&gt;"",H805,F805))</f>
        <v/>
      </c>
      <c r="K805" s="26" t="str">
        <f aca="false">IF(A805="","",DATE(YEAR(A805),MONTH(A805),1))</f>
        <v/>
      </c>
      <c r="L805" s="21" t="str">
        <f aca="false">IF(J805="",IF(B805="","",IF(N(C805)&gt;=0,"Income","Expense")),IFERROR(INDEX(Lists!$B$2:$B$30,MATCH(J805,Lists!$A$2:$A$30,0)),""))</f>
        <v/>
      </c>
      <c r="M805" s="24"/>
      <c r="N805" s="27" t="str">
        <f aca="false">IF(B805="","",IFERROR(1000-SUMPRODUCT(MAX(ISNUMBER(SEARCH(Rules!$A$5:$A$204,B805))*(Rules!$A$5:$A$204&lt;&gt;"")*(1000-ROW(Rules!$A$5:$A$204)))),""))</f>
        <v/>
      </c>
    </row>
    <row r="806" customFormat="false" ht="15" hidden="false" customHeight="false" outlineLevel="0" collapsed="false">
      <c r="A806" s="23"/>
      <c r="B806" s="24"/>
      <c r="C806" s="25"/>
      <c r="D806" s="24"/>
      <c r="E806" s="21" t="str">
        <f aca="false">IF(OR(B806="",N(N806)=0,N806=1000),IF(B806="","","Check"),INDEX(Rules!$B:$B,N806))</f>
        <v/>
      </c>
      <c r="F806" s="21" t="str">
        <f aca="false">IF(OR(B806="",N(N806)=0,N806=1000),"",INDEX(Rules!$C:$C,N806))</f>
        <v/>
      </c>
      <c r="G806" s="24"/>
      <c r="H806" s="24"/>
      <c r="I806" s="20" t="str">
        <f aca="false">IF(B806="","",IF(G806&lt;&gt;"",G806,E806))</f>
        <v/>
      </c>
      <c r="J806" s="21" t="str">
        <f aca="false">IF(B806="","",IF(H806&lt;&gt;"",H806,F806))</f>
        <v/>
      </c>
      <c r="K806" s="26" t="str">
        <f aca="false">IF(A806="","",DATE(YEAR(A806),MONTH(A806),1))</f>
        <v/>
      </c>
      <c r="L806" s="21" t="str">
        <f aca="false">IF(J806="",IF(B806="","",IF(N(C806)&gt;=0,"Income","Expense")),IFERROR(INDEX(Lists!$B$2:$B$30,MATCH(J806,Lists!$A$2:$A$30,0)),""))</f>
        <v/>
      </c>
      <c r="M806" s="24"/>
      <c r="N806" s="27" t="str">
        <f aca="false">IF(B806="","",IFERROR(1000-SUMPRODUCT(MAX(ISNUMBER(SEARCH(Rules!$A$5:$A$204,B806))*(Rules!$A$5:$A$204&lt;&gt;"")*(1000-ROW(Rules!$A$5:$A$204)))),""))</f>
        <v/>
      </c>
    </row>
    <row r="807" customFormat="false" ht="15" hidden="false" customHeight="false" outlineLevel="0" collapsed="false">
      <c r="A807" s="23"/>
      <c r="B807" s="24"/>
      <c r="C807" s="25"/>
      <c r="D807" s="24"/>
      <c r="E807" s="21" t="str">
        <f aca="false">IF(OR(B807="",N(N807)=0,N807=1000),IF(B807="","","Check"),INDEX(Rules!$B:$B,N807))</f>
        <v/>
      </c>
      <c r="F807" s="21" t="str">
        <f aca="false">IF(OR(B807="",N(N807)=0,N807=1000),"",INDEX(Rules!$C:$C,N807))</f>
        <v/>
      </c>
      <c r="G807" s="24"/>
      <c r="H807" s="24"/>
      <c r="I807" s="20" t="str">
        <f aca="false">IF(B807="","",IF(G807&lt;&gt;"",G807,E807))</f>
        <v/>
      </c>
      <c r="J807" s="21" t="str">
        <f aca="false">IF(B807="","",IF(H807&lt;&gt;"",H807,F807))</f>
        <v/>
      </c>
      <c r="K807" s="26" t="str">
        <f aca="false">IF(A807="","",DATE(YEAR(A807),MONTH(A807),1))</f>
        <v/>
      </c>
      <c r="L807" s="21" t="str">
        <f aca="false">IF(J807="",IF(B807="","",IF(N(C807)&gt;=0,"Income","Expense")),IFERROR(INDEX(Lists!$B$2:$B$30,MATCH(J807,Lists!$A$2:$A$30,0)),""))</f>
        <v/>
      </c>
      <c r="M807" s="24"/>
      <c r="N807" s="27" t="str">
        <f aca="false">IF(B807="","",IFERROR(1000-SUMPRODUCT(MAX(ISNUMBER(SEARCH(Rules!$A$5:$A$204,B807))*(Rules!$A$5:$A$204&lt;&gt;"")*(1000-ROW(Rules!$A$5:$A$204)))),""))</f>
        <v/>
      </c>
    </row>
    <row r="808" customFormat="false" ht="15" hidden="false" customHeight="false" outlineLevel="0" collapsed="false">
      <c r="A808" s="23"/>
      <c r="B808" s="24"/>
      <c r="C808" s="25"/>
      <c r="D808" s="24"/>
      <c r="E808" s="21" t="str">
        <f aca="false">IF(OR(B808="",N(N808)=0,N808=1000),IF(B808="","","Check"),INDEX(Rules!$B:$B,N808))</f>
        <v/>
      </c>
      <c r="F808" s="21" t="str">
        <f aca="false">IF(OR(B808="",N(N808)=0,N808=1000),"",INDEX(Rules!$C:$C,N808))</f>
        <v/>
      </c>
      <c r="G808" s="24"/>
      <c r="H808" s="24"/>
      <c r="I808" s="20" t="str">
        <f aca="false">IF(B808="","",IF(G808&lt;&gt;"",G808,E808))</f>
        <v/>
      </c>
      <c r="J808" s="21" t="str">
        <f aca="false">IF(B808="","",IF(H808&lt;&gt;"",H808,F808))</f>
        <v/>
      </c>
      <c r="K808" s="26" t="str">
        <f aca="false">IF(A808="","",DATE(YEAR(A808),MONTH(A808),1))</f>
        <v/>
      </c>
      <c r="L808" s="21" t="str">
        <f aca="false">IF(J808="",IF(B808="","",IF(N(C808)&gt;=0,"Income","Expense")),IFERROR(INDEX(Lists!$B$2:$B$30,MATCH(J808,Lists!$A$2:$A$30,0)),""))</f>
        <v/>
      </c>
      <c r="M808" s="24"/>
      <c r="N808" s="27" t="str">
        <f aca="false">IF(B808="","",IFERROR(1000-SUMPRODUCT(MAX(ISNUMBER(SEARCH(Rules!$A$5:$A$204,B808))*(Rules!$A$5:$A$204&lt;&gt;"")*(1000-ROW(Rules!$A$5:$A$204)))),""))</f>
        <v/>
      </c>
    </row>
    <row r="809" customFormat="false" ht="15" hidden="false" customHeight="false" outlineLevel="0" collapsed="false">
      <c r="A809" s="23"/>
      <c r="B809" s="24"/>
      <c r="C809" s="25"/>
      <c r="D809" s="24"/>
      <c r="E809" s="21" t="str">
        <f aca="false">IF(OR(B809="",N(N809)=0,N809=1000),IF(B809="","","Check"),INDEX(Rules!$B:$B,N809))</f>
        <v/>
      </c>
      <c r="F809" s="21" t="str">
        <f aca="false">IF(OR(B809="",N(N809)=0,N809=1000),"",INDEX(Rules!$C:$C,N809))</f>
        <v/>
      </c>
      <c r="G809" s="24"/>
      <c r="H809" s="24"/>
      <c r="I809" s="20" t="str">
        <f aca="false">IF(B809="","",IF(G809&lt;&gt;"",G809,E809))</f>
        <v/>
      </c>
      <c r="J809" s="21" t="str">
        <f aca="false">IF(B809="","",IF(H809&lt;&gt;"",H809,F809))</f>
        <v/>
      </c>
      <c r="K809" s="26" t="str">
        <f aca="false">IF(A809="","",DATE(YEAR(A809),MONTH(A809),1))</f>
        <v/>
      </c>
      <c r="L809" s="21" t="str">
        <f aca="false">IF(J809="",IF(B809="","",IF(N(C809)&gt;=0,"Income","Expense")),IFERROR(INDEX(Lists!$B$2:$B$30,MATCH(J809,Lists!$A$2:$A$30,0)),""))</f>
        <v/>
      </c>
      <c r="M809" s="24"/>
      <c r="N809" s="27" t="str">
        <f aca="false">IF(B809="","",IFERROR(1000-SUMPRODUCT(MAX(ISNUMBER(SEARCH(Rules!$A$5:$A$204,B809))*(Rules!$A$5:$A$204&lt;&gt;"")*(1000-ROW(Rules!$A$5:$A$204)))),""))</f>
        <v/>
      </c>
    </row>
    <row r="810" customFormat="false" ht="15" hidden="false" customHeight="false" outlineLevel="0" collapsed="false">
      <c r="A810" s="23"/>
      <c r="B810" s="24"/>
      <c r="C810" s="25"/>
      <c r="D810" s="24"/>
      <c r="E810" s="21" t="str">
        <f aca="false">IF(OR(B810="",N(N810)=0,N810=1000),IF(B810="","","Check"),INDEX(Rules!$B:$B,N810))</f>
        <v/>
      </c>
      <c r="F810" s="21" t="str">
        <f aca="false">IF(OR(B810="",N(N810)=0,N810=1000),"",INDEX(Rules!$C:$C,N810))</f>
        <v/>
      </c>
      <c r="G810" s="24"/>
      <c r="H810" s="24"/>
      <c r="I810" s="20" t="str">
        <f aca="false">IF(B810="","",IF(G810&lt;&gt;"",G810,E810))</f>
        <v/>
      </c>
      <c r="J810" s="21" t="str">
        <f aca="false">IF(B810="","",IF(H810&lt;&gt;"",H810,F810))</f>
        <v/>
      </c>
      <c r="K810" s="26" t="str">
        <f aca="false">IF(A810="","",DATE(YEAR(A810),MONTH(A810),1))</f>
        <v/>
      </c>
      <c r="L810" s="21" t="str">
        <f aca="false">IF(J810="",IF(B810="","",IF(N(C810)&gt;=0,"Income","Expense")),IFERROR(INDEX(Lists!$B$2:$B$30,MATCH(J810,Lists!$A$2:$A$30,0)),""))</f>
        <v/>
      </c>
      <c r="M810" s="24"/>
      <c r="N810" s="27" t="str">
        <f aca="false">IF(B810="","",IFERROR(1000-SUMPRODUCT(MAX(ISNUMBER(SEARCH(Rules!$A$5:$A$204,B810))*(Rules!$A$5:$A$204&lt;&gt;"")*(1000-ROW(Rules!$A$5:$A$204)))),""))</f>
        <v/>
      </c>
    </row>
    <row r="811" customFormat="false" ht="15" hidden="false" customHeight="false" outlineLevel="0" collapsed="false">
      <c r="A811" s="23"/>
      <c r="B811" s="24"/>
      <c r="C811" s="25"/>
      <c r="D811" s="24"/>
      <c r="E811" s="21" t="str">
        <f aca="false">IF(OR(B811="",N(N811)=0,N811=1000),IF(B811="","","Check"),INDEX(Rules!$B:$B,N811))</f>
        <v/>
      </c>
      <c r="F811" s="21" t="str">
        <f aca="false">IF(OR(B811="",N(N811)=0,N811=1000),"",INDEX(Rules!$C:$C,N811))</f>
        <v/>
      </c>
      <c r="G811" s="24"/>
      <c r="H811" s="24"/>
      <c r="I811" s="20" t="str">
        <f aca="false">IF(B811="","",IF(G811&lt;&gt;"",G811,E811))</f>
        <v/>
      </c>
      <c r="J811" s="21" t="str">
        <f aca="false">IF(B811="","",IF(H811&lt;&gt;"",H811,F811))</f>
        <v/>
      </c>
      <c r="K811" s="26" t="str">
        <f aca="false">IF(A811="","",DATE(YEAR(A811),MONTH(A811),1))</f>
        <v/>
      </c>
      <c r="L811" s="21" t="str">
        <f aca="false">IF(J811="",IF(B811="","",IF(N(C811)&gt;=0,"Income","Expense")),IFERROR(INDEX(Lists!$B$2:$B$30,MATCH(J811,Lists!$A$2:$A$30,0)),""))</f>
        <v/>
      </c>
      <c r="M811" s="24"/>
      <c r="N811" s="27" t="str">
        <f aca="false">IF(B811="","",IFERROR(1000-SUMPRODUCT(MAX(ISNUMBER(SEARCH(Rules!$A$5:$A$204,B811))*(Rules!$A$5:$A$204&lt;&gt;"")*(1000-ROW(Rules!$A$5:$A$204)))),""))</f>
        <v/>
      </c>
    </row>
    <row r="812" customFormat="false" ht="15" hidden="false" customHeight="false" outlineLevel="0" collapsed="false">
      <c r="A812" s="23"/>
      <c r="B812" s="24"/>
      <c r="C812" s="25"/>
      <c r="D812" s="24"/>
      <c r="E812" s="21" t="str">
        <f aca="false">IF(OR(B812="",N(N812)=0,N812=1000),IF(B812="","","Check"),INDEX(Rules!$B:$B,N812))</f>
        <v/>
      </c>
      <c r="F812" s="21" t="str">
        <f aca="false">IF(OR(B812="",N(N812)=0,N812=1000),"",INDEX(Rules!$C:$C,N812))</f>
        <v/>
      </c>
      <c r="G812" s="24"/>
      <c r="H812" s="24"/>
      <c r="I812" s="20" t="str">
        <f aca="false">IF(B812="","",IF(G812&lt;&gt;"",G812,E812))</f>
        <v/>
      </c>
      <c r="J812" s="21" t="str">
        <f aca="false">IF(B812="","",IF(H812&lt;&gt;"",H812,F812))</f>
        <v/>
      </c>
      <c r="K812" s="26" t="str">
        <f aca="false">IF(A812="","",DATE(YEAR(A812),MONTH(A812),1))</f>
        <v/>
      </c>
      <c r="L812" s="21" t="str">
        <f aca="false">IF(J812="",IF(B812="","",IF(N(C812)&gt;=0,"Income","Expense")),IFERROR(INDEX(Lists!$B$2:$B$30,MATCH(J812,Lists!$A$2:$A$30,0)),""))</f>
        <v/>
      </c>
      <c r="M812" s="24"/>
      <c r="N812" s="27" t="str">
        <f aca="false">IF(B812="","",IFERROR(1000-SUMPRODUCT(MAX(ISNUMBER(SEARCH(Rules!$A$5:$A$204,B812))*(Rules!$A$5:$A$204&lt;&gt;"")*(1000-ROW(Rules!$A$5:$A$204)))),""))</f>
        <v/>
      </c>
    </row>
    <row r="813" customFormat="false" ht="15" hidden="false" customHeight="false" outlineLevel="0" collapsed="false">
      <c r="A813" s="23"/>
      <c r="B813" s="24"/>
      <c r="C813" s="25"/>
      <c r="D813" s="24"/>
      <c r="E813" s="21" t="str">
        <f aca="false">IF(OR(B813="",N(N813)=0,N813=1000),IF(B813="","","Check"),INDEX(Rules!$B:$B,N813))</f>
        <v/>
      </c>
      <c r="F813" s="21" t="str">
        <f aca="false">IF(OR(B813="",N(N813)=0,N813=1000),"",INDEX(Rules!$C:$C,N813))</f>
        <v/>
      </c>
      <c r="G813" s="24"/>
      <c r="H813" s="24"/>
      <c r="I813" s="20" t="str">
        <f aca="false">IF(B813="","",IF(G813&lt;&gt;"",G813,E813))</f>
        <v/>
      </c>
      <c r="J813" s="21" t="str">
        <f aca="false">IF(B813="","",IF(H813&lt;&gt;"",H813,F813))</f>
        <v/>
      </c>
      <c r="K813" s="26" t="str">
        <f aca="false">IF(A813="","",DATE(YEAR(A813),MONTH(A813),1))</f>
        <v/>
      </c>
      <c r="L813" s="21" t="str">
        <f aca="false">IF(J813="",IF(B813="","",IF(N(C813)&gt;=0,"Income","Expense")),IFERROR(INDEX(Lists!$B$2:$B$30,MATCH(J813,Lists!$A$2:$A$30,0)),""))</f>
        <v/>
      </c>
      <c r="M813" s="24"/>
      <c r="N813" s="27" t="str">
        <f aca="false">IF(B813="","",IFERROR(1000-SUMPRODUCT(MAX(ISNUMBER(SEARCH(Rules!$A$5:$A$204,B813))*(Rules!$A$5:$A$204&lt;&gt;"")*(1000-ROW(Rules!$A$5:$A$204)))),""))</f>
        <v/>
      </c>
    </row>
    <row r="814" customFormat="false" ht="15" hidden="false" customHeight="false" outlineLevel="0" collapsed="false">
      <c r="A814" s="23"/>
      <c r="B814" s="24"/>
      <c r="C814" s="25"/>
      <c r="D814" s="24"/>
      <c r="E814" s="21" t="str">
        <f aca="false">IF(OR(B814="",N(N814)=0,N814=1000),IF(B814="","","Check"),INDEX(Rules!$B:$B,N814))</f>
        <v/>
      </c>
      <c r="F814" s="21" t="str">
        <f aca="false">IF(OR(B814="",N(N814)=0,N814=1000),"",INDEX(Rules!$C:$C,N814))</f>
        <v/>
      </c>
      <c r="G814" s="24"/>
      <c r="H814" s="24"/>
      <c r="I814" s="20" t="str">
        <f aca="false">IF(B814="","",IF(G814&lt;&gt;"",G814,E814))</f>
        <v/>
      </c>
      <c r="J814" s="21" t="str">
        <f aca="false">IF(B814="","",IF(H814&lt;&gt;"",H814,F814))</f>
        <v/>
      </c>
      <c r="K814" s="26" t="str">
        <f aca="false">IF(A814="","",DATE(YEAR(A814),MONTH(A814),1))</f>
        <v/>
      </c>
      <c r="L814" s="21" t="str">
        <f aca="false">IF(J814="",IF(B814="","",IF(N(C814)&gt;=0,"Income","Expense")),IFERROR(INDEX(Lists!$B$2:$B$30,MATCH(J814,Lists!$A$2:$A$30,0)),""))</f>
        <v/>
      </c>
      <c r="M814" s="24"/>
      <c r="N814" s="27" t="str">
        <f aca="false">IF(B814="","",IFERROR(1000-SUMPRODUCT(MAX(ISNUMBER(SEARCH(Rules!$A$5:$A$204,B814))*(Rules!$A$5:$A$204&lt;&gt;"")*(1000-ROW(Rules!$A$5:$A$204)))),""))</f>
        <v/>
      </c>
    </row>
    <row r="815" customFormat="false" ht="15" hidden="false" customHeight="false" outlineLevel="0" collapsed="false">
      <c r="A815" s="23"/>
      <c r="B815" s="24"/>
      <c r="C815" s="25"/>
      <c r="D815" s="24"/>
      <c r="E815" s="21" t="str">
        <f aca="false">IF(OR(B815="",N(N815)=0,N815=1000),IF(B815="","","Check"),INDEX(Rules!$B:$B,N815))</f>
        <v/>
      </c>
      <c r="F815" s="21" t="str">
        <f aca="false">IF(OR(B815="",N(N815)=0,N815=1000),"",INDEX(Rules!$C:$C,N815))</f>
        <v/>
      </c>
      <c r="G815" s="24"/>
      <c r="H815" s="24"/>
      <c r="I815" s="20" t="str">
        <f aca="false">IF(B815="","",IF(G815&lt;&gt;"",G815,E815))</f>
        <v/>
      </c>
      <c r="J815" s="21" t="str">
        <f aca="false">IF(B815="","",IF(H815&lt;&gt;"",H815,F815))</f>
        <v/>
      </c>
      <c r="K815" s="26" t="str">
        <f aca="false">IF(A815="","",DATE(YEAR(A815),MONTH(A815),1))</f>
        <v/>
      </c>
      <c r="L815" s="21" t="str">
        <f aca="false">IF(J815="",IF(B815="","",IF(N(C815)&gt;=0,"Income","Expense")),IFERROR(INDEX(Lists!$B$2:$B$30,MATCH(J815,Lists!$A$2:$A$30,0)),""))</f>
        <v/>
      </c>
      <c r="M815" s="24"/>
      <c r="N815" s="27" t="str">
        <f aca="false">IF(B815="","",IFERROR(1000-SUMPRODUCT(MAX(ISNUMBER(SEARCH(Rules!$A$5:$A$204,B815))*(Rules!$A$5:$A$204&lt;&gt;"")*(1000-ROW(Rules!$A$5:$A$204)))),""))</f>
        <v/>
      </c>
    </row>
    <row r="816" customFormat="false" ht="15" hidden="false" customHeight="false" outlineLevel="0" collapsed="false">
      <c r="A816" s="23"/>
      <c r="B816" s="24"/>
      <c r="C816" s="25"/>
      <c r="D816" s="24"/>
      <c r="E816" s="21" t="str">
        <f aca="false">IF(OR(B816="",N(N816)=0,N816=1000),IF(B816="","","Check"),INDEX(Rules!$B:$B,N816))</f>
        <v/>
      </c>
      <c r="F816" s="21" t="str">
        <f aca="false">IF(OR(B816="",N(N816)=0,N816=1000),"",INDEX(Rules!$C:$C,N816))</f>
        <v/>
      </c>
      <c r="G816" s="24"/>
      <c r="H816" s="24"/>
      <c r="I816" s="20" t="str">
        <f aca="false">IF(B816="","",IF(G816&lt;&gt;"",G816,E816))</f>
        <v/>
      </c>
      <c r="J816" s="21" t="str">
        <f aca="false">IF(B816="","",IF(H816&lt;&gt;"",H816,F816))</f>
        <v/>
      </c>
      <c r="K816" s="26" t="str">
        <f aca="false">IF(A816="","",DATE(YEAR(A816),MONTH(A816),1))</f>
        <v/>
      </c>
      <c r="L816" s="21" t="str">
        <f aca="false">IF(J816="",IF(B816="","",IF(N(C816)&gt;=0,"Income","Expense")),IFERROR(INDEX(Lists!$B$2:$B$30,MATCH(J816,Lists!$A$2:$A$30,0)),""))</f>
        <v/>
      </c>
      <c r="M816" s="24"/>
      <c r="N816" s="27" t="str">
        <f aca="false">IF(B816="","",IFERROR(1000-SUMPRODUCT(MAX(ISNUMBER(SEARCH(Rules!$A$5:$A$204,B816))*(Rules!$A$5:$A$204&lt;&gt;"")*(1000-ROW(Rules!$A$5:$A$204)))),""))</f>
        <v/>
      </c>
    </row>
    <row r="817" customFormat="false" ht="15" hidden="false" customHeight="false" outlineLevel="0" collapsed="false">
      <c r="A817" s="23"/>
      <c r="B817" s="24"/>
      <c r="C817" s="25"/>
      <c r="D817" s="24"/>
      <c r="E817" s="21" t="str">
        <f aca="false">IF(OR(B817="",N(N817)=0,N817=1000),IF(B817="","","Check"),INDEX(Rules!$B:$B,N817))</f>
        <v/>
      </c>
      <c r="F817" s="21" t="str">
        <f aca="false">IF(OR(B817="",N(N817)=0,N817=1000),"",INDEX(Rules!$C:$C,N817))</f>
        <v/>
      </c>
      <c r="G817" s="24"/>
      <c r="H817" s="24"/>
      <c r="I817" s="20" t="str">
        <f aca="false">IF(B817="","",IF(G817&lt;&gt;"",G817,E817))</f>
        <v/>
      </c>
      <c r="J817" s="21" t="str">
        <f aca="false">IF(B817="","",IF(H817&lt;&gt;"",H817,F817))</f>
        <v/>
      </c>
      <c r="K817" s="26" t="str">
        <f aca="false">IF(A817="","",DATE(YEAR(A817),MONTH(A817),1))</f>
        <v/>
      </c>
      <c r="L817" s="21" t="str">
        <f aca="false">IF(J817="",IF(B817="","",IF(N(C817)&gt;=0,"Income","Expense")),IFERROR(INDEX(Lists!$B$2:$B$30,MATCH(J817,Lists!$A$2:$A$30,0)),""))</f>
        <v/>
      </c>
      <c r="M817" s="24"/>
      <c r="N817" s="27" t="str">
        <f aca="false">IF(B817="","",IFERROR(1000-SUMPRODUCT(MAX(ISNUMBER(SEARCH(Rules!$A$5:$A$204,B817))*(Rules!$A$5:$A$204&lt;&gt;"")*(1000-ROW(Rules!$A$5:$A$204)))),""))</f>
        <v/>
      </c>
    </row>
    <row r="818" customFormat="false" ht="15" hidden="false" customHeight="false" outlineLevel="0" collapsed="false">
      <c r="A818" s="23"/>
      <c r="B818" s="24"/>
      <c r="C818" s="25"/>
      <c r="D818" s="24"/>
      <c r="E818" s="21" t="str">
        <f aca="false">IF(OR(B818="",N(N818)=0,N818=1000),IF(B818="","","Check"),INDEX(Rules!$B:$B,N818))</f>
        <v/>
      </c>
      <c r="F818" s="21" t="str">
        <f aca="false">IF(OR(B818="",N(N818)=0,N818=1000),"",INDEX(Rules!$C:$C,N818))</f>
        <v/>
      </c>
      <c r="G818" s="24"/>
      <c r="H818" s="24"/>
      <c r="I818" s="20" t="str">
        <f aca="false">IF(B818="","",IF(G818&lt;&gt;"",G818,E818))</f>
        <v/>
      </c>
      <c r="J818" s="21" t="str">
        <f aca="false">IF(B818="","",IF(H818&lt;&gt;"",H818,F818))</f>
        <v/>
      </c>
      <c r="K818" s="26" t="str">
        <f aca="false">IF(A818="","",DATE(YEAR(A818),MONTH(A818),1))</f>
        <v/>
      </c>
      <c r="L818" s="21" t="str">
        <f aca="false">IF(J818="",IF(B818="","",IF(N(C818)&gt;=0,"Income","Expense")),IFERROR(INDEX(Lists!$B$2:$B$30,MATCH(J818,Lists!$A$2:$A$30,0)),""))</f>
        <v/>
      </c>
      <c r="M818" s="24"/>
      <c r="N818" s="27" t="str">
        <f aca="false">IF(B818="","",IFERROR(1000-SUMPRODUCT(MAX(ISNUMBER(SEARCH(Rules!$A$5:$A$204,B818))*(Rules!$A$5:$A$204&lt;&gt;"")*(1000-ROW(Rules!$A$5:$A$204)))),""))</f>
        <v/>
      </c>
    </row>
    <row r="819" customFormat="false" ht="15" hidden="false" customHeight="false" outlineLevel="0" collapsed="false">
      <c r="A819" s="23"/>
      <c r="B819" s="24"/>
      <c r="C819" s="25"/>
      <c r="D819" s="24"/>
      <c r="E819" s="21" t="str">
        <f aca="false">IF(OR(B819="",N(N819)=0,N819=1000),IF(B819="","","Check"),INDEX(Rules!$B:$B,N819))</f>
        <v/>
      </c>
      <c r="F819" s="21" t="str">
        <f aca="false">IF(OR(B819="",N(N819)=0,N819=1000),"",INDEX(Rules!$C:$C,N819))</f>
        <v/>
      </c>
      <c r="G819" s="24"/>
      <c r="H819" s="24"/>
      <c r="I819" s="20" t="str">
        <f aca="false">IF(B819="","",IF(G819&lt;&gt;"",G819,E819))</f>
        <v/>
      </c>
      <c r="J819" s="21" t="str">
        <f aca="false">IF(B819="","",IF(H819&lt;&gt;"",H819,F819))</f>
        <v/>
      </c>
      <c r="K819" s="26" t="str">
        <f aca="false">IF(A819="","",DATE(YEAR(A819),MONTH(A819),1))</f>
        <v/>
      </c>
      <c r="L819" s="21" t="str">
        <f aca="false">IF(J819="",IF(B819="","",IF(N(C819)&gt;=0,"Income","Expense")),IFERROR(INDEX(Lists!$B$2:$B$30,MATCH(J819,Lists!$A$2:$A$30,0)),""))</f>
        <v/>
      </c>
      <c r="M819" s="24"/>
      <c r="N819" s="27" t="str">
        <f aca="false">IF(B819="","",IFERROR(1000-SUMPRODUCT(MAX(ISNUMBER(SEARCH(Rules!$A$5:$A$204,B819))*(Rules!$A$5:$A$204&lt;&gt;"")*(1000-ROW(Rules!$A$5:$A$204)))),""))</f>
        <v/>
      </c>
    </row>
    <row r="820" customFormat="false" ht="15" hidden="false" customHeight="false" outlineLevel="0" collapsed="false">
      <c r="A820" s="23"/>
      <c r="B820" s="24"/>
      <c r="C820" s="25"/>
      <c r="D820" s="24"/>
      <c r="E820" s="21" t="str">
        <f aca="false">IF(OR(B820="",N(N820)=0,N820=1000),IF(B820="","","Check"),INDEX(Rules!$B:$B,N820))</f>
        <v/>
      </c>
      <c r="F820" s="21" t="str">
        <f aca="false">IF(OR(B820="",N(N820)=0,N820=1000),"",INDEX(Rules!$C:$C,N820))</f>
        <v/>
      </c>
      <c r="G820" s="24"/>
      <c r="H820" s="24"/>
      <c r="I820" s="20" t="str">
        <f aca="false">IF(B820="","",IF(G820&lt;&gt;"",G820,E820))</f>
        <v/>
      </c>
      <c r="J820" s="21" t="str">
        <f aca="false">IF(B820="","",IF(H820&lt;&gt;"",H820,F820))</f>
        <v/>
      </c>
      <c r="K820" s="26" t="str">
        <f aca="false">IF(A820="","",DATE(YEAR(A820),MONTH(A820),1))</f>
        <v/>
      </c>
      <c r="L820" s="21" t="str">
        <f aca="false">IF(J820="",IF(B820="","",IF(N(C820)&gt;=0,"Income","Expense")),IFERROR(INDEX(Lists!$B$2:$B$30,MATCH(J820,Lists!$A$2:$A$30,0)),""))</f>
        <v/>
      </c>
      <c r="M820" s="24"/>
      <c r="N820" s="27" t="str">
        <f aca="false">IF(B820="","",IFERROR(1000-SUMPRODUCT(MAX(ISNUMBER(SEARCH(Rules!$A$5:$A$204,B820))*(Rules!$A$5:$A$204&lt;&gt;"")*(1000-ROW(Rules!$A$5:$A$204)))),""))</f>
        <v/>
      </c>
    </row>
    <row r="821" customFormat="false" ht="15" hidden="false" customHeight="false" outlineLevel="0" collapsed="false">
      <c r="A821" s="23"/>
      <c r="B821" s="24"/>
      <c r="C821" s="25"/>
      <c r="D821" s="24"/>
      <c r="E821" s="21" t="str">
        <f aca="false">IF(OR(B821="",N(N821)=0,N821=1000),IF(B821="","","Check"),INDEX(Rules!$B:$B,N821))</f>
        <v/>
      </c>
      <c r="F821" s="21" t="str">
        <f aca="false">IF(OR(B821="",N(N821)=0,N821=1000),"",INDEX(Rules!$C:$C,N821))</f>
        <v/>
      </c>
      <c r="G821" s="24"/>
      <c r="H821" s="24"/>
      <c r="I821" s="20" t="str">
        <f aca="false">IF(B821="","",IF(G821&lt;&gt;"",G821,E821))</f>
        <v/>
      </c>
      <c r="J821" s="21" t="str">
        <f aca="false">IF(B821="","",IF(H821&lt;&gt;"",H821,F821))</f>
        <v/>
      </c>
      <c r="K821" s="26" t="str">
        <f aca="false">IF(A821="","",DATE(YEAR(A821),MONTH(A821),1))</f>
        <v/>
      </c>
      <c r="L821" s="21" t="str">
        <f aca="false">IF(J821="",IF(B821="","",IF(N(C821)&gt;=0,"Income","Expense")),IFERROR(INDEX(Lists!$B$2:$B$30,MATCH(J821,Lists!$A$2:$A$30,0)),""))</f>
        <v/>
      </c>
      <c r="M821" s="24"/>
      <c r="N821" s="27" t="str">
        <f aca="false">IF(B821="","",IFERROR(1000-SUMPRODUCT(MAX(ISNUMBER(SEARCH(Rules!$A$5:$A$204,B821))*(Rules!$A$5:$A$204&lt;&gt;"")*(1000-ROW(Rules!$A$5:$A$204)))),""))</f>
        <v/>
      </c>
    </row>
    <row r="822" customFormat="false" ht="15" hidden="false" customHeight="false" outlineLevel="0" collapsed="false">
      <c r="A822" s="23"/>
      <c r="B822" s="24"/>
      <c r="C822" s="25"/>
      <c r="D822" s="24"/>
      <c r="E822" s="21" t="str">
        <f aca="false">IF(OR(B822="",N(N822)=0,N822=1000),IF(B822="","","Check"),INDEX(Rules!$B:$B,N822))</f>
        <v/>
      </c>
      <c r="F822" s="21" t="str">
        <f aca="false">IF(OR(B822="",N(N822)=0,N822=1000),"",INDEX(Rules!$C:$C,N822))</f>
        <v/>
      </c>
      <c r="G822" s="24"/>
      <c r="H822" s="24"/>
      <c r="I822" s="20" t="str">
        <f aca="false">IF(B822="","",IF(G822&lt;&gt;"",G822,E822))</f>
        <v/>
      </c>
      <c r="J822" s="21" t="str">
        <f aca="false">IF(B822="","",IF(H822&lt;&gt;"",H822,F822))</f>
        <v/>
      </c>
      <c r="K822" s="26" t="str">
        <f aca="false">IF(A822="","",DATE(YEAR(A822),MONTH(A822),1))</f>
        <v/>
      </c>
      <c r="L822" s="21" t="str">
        <f aca="false">IF(J822="",IF(B822="","",IF(N(C822)&gt;=0,"Income","Expense")),IFERROR(INDEX(Lists!$B$2:$B$30,MATCH(J822,Lists!$A$2:$A$30,0)),""))</f>
        <v/>
      </c>
      <c r="M822" s="24"/>
      <c r="N822" s="27" t="str">
        <f aca="false">IF(B822="","",IFERROR(1000-SUMPRODUCT(MAX(ISNUMBER(SEARCH(Rules!$A$5:$A$204,B822))*(Rules!$A$5:$A$204&lt;&gt;"")*(1000-ROW(Rules!$A$5:$A$204)))),""))</f>
        <v/>
      </c>
    </row>
    <row r="823" customFormat="false" ht="15" hidden="false" customHeight="false" outlineLevel="0" collapsed="false">
      <c r="A823" s="23"/>
      <c r="B823" s="24"/>
      <c r="C823" s="25"/>
      <c r="D823" s="24"/>
      <c r="E823" s="21" t="str">
        <f aca="false">IF(OR(B823="",N(N823)=0,N823=1000),IF(B823="","","Check"),INDEX(Rules!$B:$B,N823))</f>
        <v/>
      </c>
      <c r="F823" s="21" t="str">
        <f aca="false">IF(OR(B823="",N(N823)=0,N823=1000),"",INDEX(Rules!$C:$C,N823))</f>
        <v/>
      </c>
      <c r="G823" s="24"/>
      <c r="H823" s="24"/>
      <c r="I823" s="20" t="str">
        <f aca="false">IF(B823="","",IF(G823&lt;&gt;"",G823,E823))</f>
        <v/>
      </c>
      <c r="J823" s="21" t="str">
        <f aca="false">IF(B823="","",IF(H823&lt;&gt;"",H823,F823))</f>
        <v/>
      </c>
      <c r="K823" s="26" t="str">
        <f aca="false">IF(A823="","",DATE(YEAR(A823),MONTH(A823),1))</f>
        <v/>
      </c>
      <c r="L823" s="21" t="str">
        <f aca="false">IF(J823="",IF(B823="","",IF(N(C823)&gt;=0,"Income","Expense")),IFERROR(INDEX(Lists!$B$2:$B$30,MATCH(J823,Lists!$A$2:$A$30,0)),""))</f>
        <v/>
      </c>
      <c r="M823" s="24"/>
      <c r="N823" s="27" t="str">
        <f aca="false">IF(B823="","",IFERROR(1000-SUMPRODUCT(MAX(ISNUMBER(SEARCH(Rules!$A$5:$A$204,B823))*(Rules!$A$5:$A$204&lt;&gt;"")*(1000-ROW(Rules!$A$5:$A$204)))),""))</f>
        <v/>
      </c>
    </row>
    <row r="824" customFormat="false" ht="15" hidden="false" customHeight="false" outlineLevel="0" collapsed="false">
      <c r="A824" s="23"/>
      <c r="B824" s="24"/>
      <c r="C824" s="25"/>
      <c r="D824" s="24"/>
      <c r="E824" s="21" t="str">
        <f aca="false">IF(OR(B824="",N(N824)=0,N824=1000),IF(B824="","","Check"),INDEX(Rules!$B:$B,N824))</f>
        <v/>
      </c>
      <c r="F824" s="21" t="str">
        <f aca="false">IF(OR(B824="",N(N824)=0,N824=1000),"",INDEX(Rules!$C:$C,N824))</f>
        <v/>
      </c>
      <c r="G824" s="24"/>
      <c r="H824" s="24"/>
      <c r="I824" s="20" t="str">
        <f aca="false">IF(B824="","",IF(G824&lt;&gt;"",G824,E824))</f>
        <v/>
      </c>
      <c r="J824" s="21" t="str">
        <f aca="false">IF(B824="","",IF(H824&lt;&gt;"",H824,F824))</f>
        <v/>
      </c>
      <c r="K824" s="26" t="str">
        <f aca="false">IF(A824="","",DATE(YEAR(A824),MONTH(A824),1))</f>
        <v/>
      </c>
      <c r="L824" s="21" t="str">
        <f aca="false">IF(J824="",IF(B824="","",IF(N(C824)&gt;=0,"Income","Expense")),IFERROR(INDEX(Lists!$B$2:$B$30,MATCH(J824,Lists!$A$2:$A$30,0)),""))</f>
        <v/>
      </c>
      <c r="M824" s="24"/>
      <c r="N824" s="27" t="str">
        <f aca="false">IF(B824="","",IFERROR(1000-SUMPRODUCT(MAX(ISNUMBER(SEARCH(Rules!$A$5:$A$204,B824))*(Rules!$A$5:$A$204&lt;&gt;"")*(1000-ROW(Rules!$A$5:$A$204)))),""))</f>
        <v/>
      </c>
    </row>
    <row r="825" customFormat="false" ht="15" hidden="false" customHeight="false" outlineLevel="0" collapsed="false">
      <c r="A825" s="23"/>
      <c r="B825" s="24"/>
      <c r="C825" s="25"/>
      <c r="D825" s="24"/>
      <c r="E825" s="21" t="str">
        <f aca="false">IF(OR(B825="",N(N825)=0,N825=1000),IF(B825="","","Check"),INDEX(Rules!$B:$B,N825))</f>
        <v/>
      </c>
      <c r="F825" s="21" t="str">
        <f aca="false">IF(OR(B825="",N(N825)=0,N825=1000),"",INDEX(Rules!$C:$C,N825))</f>
        <v/>
      </c>
      <c r="G825" s="24"/>
      <c r="H825" s="24"/>
      <c r="I825" s="20" t="str">
        <f aca="false">IF(B825="","",IF(G825&lt;&gt;"",G825,E825))</f>
        <v/>
      </c>
      <c r="J825" s="21" t="str">
        <f aca="false">IF(B825="","",IF(H825&lt;&gt;"",H825,F825))</f>
        <v/>
      </c>
      <c r="K825" s="26" t="str">
        <f aca="false">IF(A825="","",DATE(YEAR(A825),MONTH(A825),1))</f>
        <v/>
      </c>
      <c r="L825" s="21" t="str">
        <f aca="false">IF(J825="",IF(B825="","",IF(N(C825)&gt;=0,"Income","Expense")),IFERROR(INDEX(Lists!$B$2:$B$30,MATCH(J825,Lists!$A$2:$A$30,0)),""))</f>
        <v/>
      </c>
      <c r="M825" s="24"/>
      <c r="N825" s="27" t="str">
        <f aca="false">IF(B825="","",IFERROR(1000-SUMPRODUCT(MAX(ISNUMBER(SEARCH(Rules!$A$5:$A$204,B825))*(Rules!$A$5:$A$204&lt;&gt;"")*(1000-ROW(Rules!$A$5:$A$204)))),""))</f>
        <v/>
      </c>
    </row>
    <row r="826" customFormat="false" ht="15" hidden="false" customHeight="false" outlineLevel="0" collapsed="false">
      <c r="A826" s="23"/>
      <c r="B826" s="24"/>
      <c r="C826" s="25"/>
      <c r="D826" s="24"/>
      <c r="E826" s="21" t="str">
        <f aca="false">IF(OR(B826="",N(N826)=0,N826=1000),IF(B826="","","Check"),INDEX(Rules!$B:$B,N826))</f>
        <v/>
      </c>
      <c r="F826" s="21" t="str">
        <f aca="false">IF(OR(B826="",N(N826)=0,N826=1000),"",INDEX(Rules!$C:$C,N826))</f>
        <v/>
      </c>
      <c r="G826" s="24"/>
      <c r="H826" s="24"/>
      <c r="I826" s="20" t="str">
        <f aca="false">IF(B826="","",IF(G826&lt;&gt;"",G826,E826))</f>
        <v/>
      </c>
      <c r="J826" s="21" t="str">
        <f aca="false">IF(B826="","",IF(H826&lt;&gt;"",H826,F826))</f>
        <v/>
      </c>
      <c r="K826" s="26" t="str">
        <f aca="false">IF(A826="","",DATE(YEAR(A826),MONTH(A826),1))</f>
        <v/>
      </c>
      <c r="L826" s="21" t="str">
        <f aca="false">IF(J826="",IF(B826="","",IF(N(C826)&gt;=0,"Income","Expense")),IFERROR(INDEX(Lists!$B$2:$B$30,MATCH(J826,Lists!$A$2:$A$30,0)),""))</f>
        <v/>
      </c>
      <c r="M826" s="24"/>
      <c r="N826" s="27" t="str">
        <f aca="false">IF(B826="","",IFERROR(1000-SUMPRODUCT(MAX(ISNUMBER(SEARCH(Rules!$A$5:$A$204,B826))*(Rules!$A$5:$A$204&lt;&gt;"")*(1000-ROW(Rules!$A$5:$A$204)))),""))</f>
        <v/>
      </c>
    </row>
    <row r="827" customFormat="false" ht="15" hidden="false" customHeight="false" outlineLevel="0" collapsed="false">
      <c r="A827" s="23"/>
      <c r="B827" s="24"/>
      <c r="C827" s="25"/>
      <c r="D827" s="24"/>
      <c r="E827" s="21" t="str">
        <f aca="false">IF(OR(B827="",N(N827)=0,N827=1000),IF(B827="","","Check"),INDEX(Rules!$B:$B,N827))</f>
        <v/>
      </c>
      <c r="F827" s="21" t="str">
        <f aca="false">IF(OR(B827="",N(N827)=0,N827=1000),"",INDEX(Rules!$C:$C,N827))</f>
        <v/>
      </c>
      <c r="G827" s="24"/>
      <c r="H827" s="24"/>
      <c r="I827" s="20" t="str">
        <f aca="false">IF(B827="","",IF(G827&lt;&gt;"",G827,E827))</f>
        <v/>
      </c>
      <c r="J827" s="21" t="str">
        <f aca="false">IF(B827="","",IF(H827&lt;&gt;"",H827,F827))</f>
        <v/>
      </c>
      <c r="K827" s="26" t="str">
        <f aca="false">IF(A827="","",DATE(YEAR(A827),MONTH(A827),1))</f>
        <v/>
      </c>
      <c r="L827" s="21" t="str">
        <f aca="false">IF(J827="",IF(B827="","",IF(N(C827)&gt;=0,"Income","Expense")),IFERROR(INDEX(Lists!$B$2:$B$30,MATCH(J827,Lists!$A$2:$A$30,0)),""))</f>
        <v/>
      </c>
      <c r="M827" s="24"/>
      <c r="N827" s="27" t="str">
        <f aca="false">IF(B827="","",IFERROR(1000-SUMPRODUCT(MAX(ISNUMBER(SEARCH(Rules!$A$5:$A$204,B827))*(Rules!$A$5:$A$204&lt;&gt;"")*(1000-ROW(Rules!$A$5:$A$204)))),""))</f>
        <v/>
      </c>
    </row>
    <row r="828" customFormat="false" ht="15" hidden="false" customHeight="false" outlineLevel="0" collapsed="false">
      <c r="A828" s="23"/>
      <c r="B828" s="24"/>
      <c r="C828" s="25"/>
      <c r="D828" s="24"/>
      <c r="E828" s="21" t="str">
        <f aca="false">IF(OR(B828="",N(N828)=0,N828=1000),IF(B828="","","Check"),INDEX(Rules!$B:$B,N828))</f>
        <v/>
      </c>
      <c r="F828" s="21" t="str">
        <f aca="false">IF(OR(B828="",N(N828)=0,N828=1000),"",INDEX(Rules!$C:$C,N828))</f>
        <v/>
      </c>
      <c r="G828" s="24"/>
      <c r="H828" s="24"/>
      <c r="I828" s="20" t="str">
        <f aca="false">IF(B828="","",IF(G828&lt;&gt;"",G828,E828))</f>
        <v/>
      </c>
      <c r="J828" s="21" t="str">
        <f aca="false">IF(B828="","",IF(H828&lt;&gt;"",H828,F828))</f>
        <v/>
      </c>
      <c r="K828" s="26" t="str">
        <f aca="false">IF(A828="","",DATE(YEAR(A828),MONTH(A828),1))</f>
        <v/>
      </c>
      <c r="L828" s="21" t="str">
        <f aca="false">IF(J828="",IF(B828="","",IF(N(C828)&gt;=0,"Income","Expense")),IFERROR(INDEX(Lists!$B$2:$B$30,MATCH(J828,Lists!$A$2:$A$30,0)),""))</f>
        <v/>
      </c>
      <c r="M828" s="24"/>
      <c r="N828" s="27" t="str">
        <f aca="false">IF(B828="","",IFERROR(1000-SUMPRODUCT(MAX(ISNUMBER(SEARCH(Rules!$A$5:$A$204,B828))*(Rules!$A$5:$A$204&lt;&gt;"")*(1000-ROW(Rules!$A$5:$A$204)))),""))</f>
        <v/>
      </c>
    </row>
    <row r="829" customFormat="false" ht="15" hidden="false" customHeight="false" outlineLevel="0" collapsed="false">
      <c r="A829" s="23"/>
      <c r="B829" s="24"/>
      <c r="C829" s="25"/>
      <c r="D829" s="24"/>
      <c r="E829" s="21" t="str">
        <f aca="false">IF(OR(B829="",N(N829)=0,N829=1000),IF(B829="","","Check"),INDEX(Rules!$B:$B,N829))</f>
        <v/>
      </c>
      <c r="F829" s="21" t="str">
        <f aca="false">IF(OR(B829="",N(N829)=0,N829=1000),"",INDEX(Rules!$C:$C,N829))</f>
        <v/>
      </c>
      <c r="G829" s="24"/>
      <c r="H829" s="24"/>
      <c r="I829" s="20" t="str">
        <f aca="false">IF(B829="","",IF(G829&lt;&gt;"",G829,E829))</f>
        <v/>
      </c>
      <c r="J829" s="21" t="str">
        <f aca="false">IF(B829="","",IF(H829&lt;&gt;"",H829,F829))</f>
        <v/>
      </c>
      <c r="K829" s="26" t="str">
        <f aca="false">IF(A829="","",DATE(YEAR(A829),MONTH(A829),1))</f>
        <v/>
      </c>
      <c r="L829" s="21" t="str">
        <f aca="false">IF(J829="",IF(B829="","",IF(N(C829)&gt;=0,"Income","Expense")),IFERROR(INDEX(Lists!$B$2:$B$30,MATCH(J829,Lists!$A$2:$A$30,0)),""))</f>
        <v/>
      </c>
      <c r="M829" s="24"/>
      <c r="N829" s="27" t="str">
        <f aca="false">IF(B829="","",IFERROR(1000-SUMPRODUCT(MAX(ISNUMBER(SEARCH(Rules!$A$5:$A$204,B829))*(Rules!$A$5:$A$204&lt;&gt;"")*(1000-ROW(Rules!$A$5:$A$204)))),""))</f>
        <v/>
      </c>
    </row>
    <row r="830" customFormat="false" ht="15" hidden="false" customHeight="false" outlineLevel="0" collapsed="false">
      <c r="A830" s="23"/>
      <c r="B830" s="24"/>
      <c r="C830" s="25"/>
      <c r="D830" s="24"/>
      <c r="E830" s="21" t="str">
        <f aca="false">IF(OR(B830="",N(N830)=0,N830=1000),IF(B830="","","Check"),INDEX(Rules!$B:$B,N830))</f>
        <v/>
      </c>
      <c r="F830" s="21" t="str">
        <f aca="false">IF(OR(B830="",N(N830)=0,N830=1000),"",INDEX(Rules!$C:$C,N830))</f>
        <v/>
      </c>
      <c r="G830" s="24"/>
      <c r="H830" s="24"/>
      <c r="I830" s="20" t="str">
        <f aca="false">IF(B830="","",IF(G830&lt;&gt;"",G830,E830))</f>
        <v/>
      </c>
      <c r="J830" s="21" t="str">
        <f aca="false">IF(B830="","",IF(H830&lt;&gt;"",H830,F830))</f>
        <v/>
      </c>
      <c r="K830" s="26" t="str">
        <f aca="false">IF(A830="","",DATE(YEAR(A830),MONTH(A830),1))</f>
        <v/>
      </c>
      <c r="L830" s="21" t="str">
        <f aca="false">IF(J830="",IF(B830="","",IF(N(C830)&gt;=0,"Income","Expense")),IFERROR(INDEX(Lists!$B$2:$B$30,MATCH(J830,Lists!$A$2:$A$30,0)),""))</f>
        <v/>
      </c>
      <c r="M830" s="24"/>
      <c r="N830" s="27" t="str">
        <f aca="false">IF(B830="","",IFERROR(1000-SUMPRODUCT(MAX(ISNUMBER(SEARCH(Rules!$A$5:$A$204,B830))*(Rules!$A$5:$A$204&lt;&gt;"")*(1000-ROW(Rules!$A$5:$A$204)))),""))</f>
        <v/>
      </c>
    </row>
    <row r="831" customFormat="false" ht="15" hidden="false" customHeight="false" outlineLevel="0" collapsed="false">
      <c r="A831" s="23"/>
      <c r="B831" s="24"/>
      <c r="C831" s="25"/>
      <c r="D831" s="24"/>
      <c r="E831" s="21" t="str">
        <f aca="false">IF(OR(B831="",N(N831)=0,N831=1000),IF(B831="","","Check"),INDEX(Rules!$B:$B,N831))</f>
        <v/>
      </c>
      <c r="F831" s="21" t="str">
        <f aca="false">IF(OR(B831="",N(N831)=0,N831=1000),"",INDEX(Rules!$C:$C,N831))</f>
        <v/>
      </c>
      <c r="G831" s="24"/>
      <c r="H831" s="24"/>
      <c r="I831" s="20" t="str">
        <f aca="false">IF(B831="","",IF(G831&lt;&gt;"",G831,E831))</f>
        <v/>
      </c>
      <c r="J831" s="21" t="str">
        <f aca="false">IF(B831="","",IF(H831&lt;&gt;"",H831,F831))</f>
        <v/>
      </c>
      <c r="K831" s="26" t="str">
        <f aca="false">IF(A831="","",DATE(YEAR(A831),MONTH(A831),1))</f>
        <v/>
      </c>
      <c r="L831" s="21" t="str">
        <f aca="false">IF(J831="",IF(B831="","",IF(N(C831)&gt;=0,"Income","Expense")),IFERROR(INDEX(Lists!$B$2:$B$30,MATCH(J831,Lists!$A$2:$A$30,0)),""))</f>
        <v/>
      </c>
      <c r="M831" s="24"/>
      <c r="N831" s="27" t="str">
        <f aca="false">IF(B831="","",IFERROR(1000-SUMPRODUCT(MAX(ISNUMBER(SEARCH(Rules!$A$5:$A$204,B831))*(Rules!$A$5:$A$204&lt;&gt;"")*(1000-ROW(Rules!$A$5:$A$204)))),""))</f>
        <v/>
      </c>
    </row>
    <row r="832" customFormat="false" ht="15" hidden="false" customHeight="false" outlineLevel="0" collapsed="false">
      <c r="A832" s="23"/>
      <c r="B832" s="24"/>
      <c r="C832" s="25"/>
      <c r="D832" s="24"/>
      <c r="E832" s="21" t="str">
        <f aca="false">IF(OR(B832="",N(N832)=0,N832=1000),IF(B832="","","Check"),INDEX(Rules!$B:$B,N832))</f>
        <v/>
      </c>
      <c r="F832" s="21" t="str">
        <f aca="false">IF(OR(B832="",N(N832)=0,N832=1000),"",INDEX(Rules!$C:$C,N832))</f>
        <v/>
      </c>
      <c r="G832" s="24"/>
      <c r="H832" s="24"/>
      <c r="I832" s="20" t="str">
        <f aca="false">IF(B832="","",IF(G832&lt;&gt;"",G832,E832))</f>
        <v/>
      </c>
      <c r="J832" s="21" t="str">
        <f aca="false">IF(B832="","",IF(H832&lt;&gt;"",H832,F832))</f>
        <v/>
      </c>
      <c r="K832" s="26" t="str">
        <f aca="false">IF(A832="","",DATE(YEAR(A832),MONTH(A832),1))</f>
        <v/>
      </c>
      <c r="L832" s="21" t="str">
        <f aca="false">IF(J832="",IF(B832="","",IF(N(C832)&gt;=0,"Income","Expense")),IFERROR(INDEX(Lists!$B$2:$B$30,MATCH(J832,Lists!$A$2:$A$30,0)),""))</f>
        <v/>
      </c>
      <c r="M832" s="24"/>
      <c r="N832" s="27" t="str">
        <f aca="false">IF(B832="","",IFERROR(1000-SUMPRODUCT(MAX(ISNUMBER(SEARCH(Rules!$A$5:$A$204,B832))*(Rules!$A$5:$A$204&lt;&gt;"")*(1000-ROW(Rules!$A$5:$A$204)))),""))</f>
        <v/>
      </c>
    </row>
    <row r="833" customFormat="false" ht="15" hidden="false" customHeight="false" outlineLevel="0" collapsed="false">
      <c r="A833" s="23"/>
      <c r="B833" s="24"/>
      <c r="C833" s="25"/>
      <c r="D833" s="24"/>
      <c r="E833" s="21" t="str">
        <f aca="false">IF(OR(B833="",N(N833)=0,N833=1000),IF(B833="","","Check"),INDEX(Rules!$B:$B,N833))</f>
        <v/>
      </c>
      <c r="F833" s="21" t="str">
        <f aca="false">IF(OR(B833="",N(N833)=0,N833=1000),"",INDEX(Rules!$C:$C,N833))</f>
        <v/>
      </c>
      <c r="G833" s="24"/>
      <c r="H833" s="24"/>
      <c r="I833" s="20" t="str">
        <f aca="false">IF(B833="","",IF(G833&lt;&gt;"",G833,E833))</f>
        <v/>
      </c>
      <c r="J833" s="21" t="str">
        <f aca="false">IF(B833="","",IF(H833&lt;&gt;"",H833,F833))</f>
        <v/>
      </c>
      <c r="K833" s="26" t="str">
        <f aca="false">IF(A833="","",DATE(YEAR(A833),MONTH(A833),1))</f>
        <v/>
      </c>
      <c r="L833" s="21" t="str">
        <f aca="false">IF(J833="",IF(B833="","",IF(N(C833)&gt;=0,"Income","Expense")),IFERROR(INDEX(Lists!$B$2:$B$30,MATCH(J833,Lists!$A$2:$A$30,0)),""))</f>
        <v/>
      </c>
      <c r="M833" s="24"/>
      <c r="N833" s="27" t="str">
        <f aca="false">IF(B833="","",IFERROR(1000-SUMPRODUCT(MAX(ISNUMBER(SEARCH(Rules!$A$5:$A$204,B833))*(Rules!$A$5:$A$204&lt;&gt;"")*(1000-ROW(Rules!$A$5:$A$204)))),""))</f>
        <v/>
      </c>
    </row>
    <row r="834" customFormat="false" ht="15" hidden="false" customHeight="false" outlineLevel="0" collapsed="false">
      <c r="A834" s="23"/>
      <c r="B834" s="24"/>
      <c r="C834" s="25"/>
      <c r="D834" s="24"/>
      <c r="E834" s="21" t="str">
        <f aca="false">IF(OR(B834="",N(N834)=0,N834=1000),IF(B834="","","Check"),INDEX(Rules!$B:$B,N834))</f>
        <v/>
      </c>
      <c r="F834" s="21" t="str">
        <f aca="false">IF(OR(B834="",N(N834)=0,N834=1000),"",INDEX(Rules!$C:$C,N834))</f>
        <v/>
      </c>
      <c r="G834" s="24"/>
      <c r="H834" s="24"/>
      <c r="I834" s="20" t="str">
        <f aca="false">IF(B834="","",IF(G834&lt;&gt;"",G834,E834))</f>
        <v/>
      </c>
      <c r="J834" s="21" t="str">
        <f aca="false">IF(B834="","",IF(H834&lt;&gt;"",H834,F834))</f>
        <v/>
      </c>
      <c r="K834" s="26" t="str">
        <f aca="false">IF(A834="","",DATE(YEAR(A834),MONTH(A834),1))</f>
        <v/>
      </c>
      <c r="L834" s="21" t="str">
        <f aca="false">IF(J834="",IF(B834="","",IF(N(C834)&gt;=0,"Income","Expense")),IFERROR(INDEX(Lists!$B$2:$B$30,MATCH(J834,Lists!$A$2:$A$30,0)),""))</f>
        <v/>
      </c>
      <c r="M834" s="24"/>
      <c r="N834" s="27" t="str">
        <f aca="false">IF(B834="","",IFERROR(1000-SUMPRODUCT(MAX(ISNUMBER(SEARCH(Rules!$A$5:$A$204,B834))*(Rules!$A$5:$A$204&lt;&gt;"")*(1000-ROW(Rules!$A$5:$A$204)))),""))</f>
        <v/>
      </c>
    </row>
    <row r="835" customFormat="false" ht="15" hidden="false" customHeight="false" outlineLevel="0" collapsed="false">
      <c r="A835" s="23"/>
      <c r="B835" s="24"/>
      <c r="C835" s="25"/>
      <c r="D835" s="24"/>
      <c r="E835" s="21" t="str">
        <f aca="false">IF(OR(B835="",N(N835)=0,N835=1000),IF(B835="","","Check"),INDEX(Rules!$B:$B,N835))</f>
        <v/>
      </c>
      <c r="F835" s="21" t="str">
        <f aca="false">IF(OR(B835="",N(N835)=0,N835=1000),"",INDEX(Rules!$C:$C,N835))</f>
        <v/>
      </c>
      <c r="G835" s="24"/>
      <c r="H835" s="24"/>
      <c r="I835" s="20" t="str">
        <f aca="false">IF(B835="","",IF(G835&lt;&gt;"",G835,E835))</f>
        <v/>
      </c>
      <c r="J835" s="21" t="str">
        <f aca="false">IF(B835="","",IF(H835&lt;&gt;"",H835,F835))</f>
        <v/>
      </c>
      <c r="K835" s="26" t="str">
        <f aca="false">IF(A835="","",DATE(YEAR(A835),MONTH(A835),1))</f>
        <v/>
      </c>
      <c r="L835" s="21" t="str">
        <f aca="false">IF(J835="",IF(B835="","",IF(N(C835)&gt;=0,"Income","Expense")),IFERROR(INDEX(Lists!$B$2:$B$30,MATCH(J835,Lists!$A$2:$A$30,0)),""))</f>
        <v/>
      </c>
      <c r="M835" s="24"/>
      <c r="N835" s="27" t="str">
        <f aca="false">IF(B835="","",IFERROR(1000-SUMPRODUCT(MAX(ISNUMBER(SEARCH(Rules!$A$5:$A$204,B835))*(Rules!$A$5:$A$204&lt;&gt;"")*(1000-ROW(Rules!$A$5:$A$204)))),""))</f>
        <v/>
      </c>
    </row>
    <row r="836" customFormat="false" ht="15" hidden="false" customHeight="false" outlineLevel="0" collapsed="false">
      <c r="A836" s="23"/>
      <c r="B836" s="24"/>
      <c r="C836" s="25"/>
      <c r="D836" s="24"/>
      <c r="E836" s="21" t="str">
        <f aca="false">IF(OR(B836="",N(N836)=0,N836=1000),IF(B836="","","Check"),INDEX(Rules!$B:$B,N836))</f>
        <v/>
      </c>
      <c r="F836" s="21" t="str">
        <f aca="false">IF(OR(B836="",N(N836)=0,N836=1000),"",INDEX(Rules!$C:$C,N836))</f>
        <v/>
      </c>
      <c r="G836" s="24"/>
      <c r="H836" s="24"/>
      <c r="I836" s="20" t="str">
        <f aca="false">IF(B836="","",IF(G836&lt;&gt;"",G836,E836))</f>
        <v/>
      </c>
      <c r="J836" s="21" t="str">
        <f aca="false">IF(B836="","",IF(H836&lt;&gt;"",H836,F836))</f>
        <v/>
      </c>
      <c r="K836" s="26" t="str">
        <f aca="false">IF(A836="","",DATE(YEAR(A836),MONTH(A836),1))</f>
        <v/>
      </c>
      <c r="L836" s="21" t="str">
        <f aca="false">IF(J836="",IF(B836="","",IF(N(C836)&gt;=0,"Income","Expense")),IFERROR(INDEX(Lists!$B$2:$B$30,MATCH(J836,Lists!$A$2:$A$30,0)),""))</f>
        <v/>
      </c>
      <c r="M836" s="24"/>
      <c r="N836" s="27" t="str">
        <f aca="false">IF(B836="","",IFERROR(1000-SUMPRODUCT(MAX(ISNUMBER(SEARCH(Rules!$A$5:$A$204,B836))*(Rules!$A$5:$A$204&lt;&gt;"")*(1000-ROW(Rules!$A$5:$A$204)))),""))</f>
        <v/>
      </c>
    </row>
    <row r="837" customFormat="false" ht="15" hidden="false" customHeight="false" outlineLevel="0" collapsed="false">
      <c r="A837" s="23"/>
      <c r="B837" s="24"/>
      <c r="C837" s="25"/>
      <c r="D837" s="24"/>
      <c r="E837" s="21" t="str">
        <f aca="false">IF(OR(B837="",N(N837)=0,N837=1000),IF(B837="","","Check"),INDEX(Rules!$B:$B,N837))</f>
        <v/>
      </c>
      <c r="F837" s="21" t="str">
        <f aca="false">IF(OR(B837="",N(N837)=0,N837=1000),"",INDEX(Rules!$C:$C,N837))</f>
        <v/>
      </c>
      <c r="G837" s="24"/>
      <c r="H837" s="24"/>
      <c r="I837" s="20" t="str">
        <f aca="false">IF(B837="","",IF(G837&lt;&gt;"",G837,E837))</f>
        <v/>
      </c>
      <c r="J837" s="21" t="str">
        <f aca="false">IF(B837="","",IF(H837&lt;&gt;"",H837,F837))</f>
        <v/>
      </c>
      <c r="K837" s="26" t="str">
        <f aca="false">IF(A837="","",DATE(YEAR(A837),MONTH(A837),1))</f>
        <v/>
      </c>
      <c r="L837" s="21" t="str">
        <f aca="false">IF(J837="",IF(B837="","",IF(N(C837)&gt;=0,"Income","Expense")),IFERROR(INDEX(Lists!$B$2:$B$30,MATCH(J837,Lists!$A$2:$A$30,0)),""))</f>
        <v/>
      </c>
      <c r="M837" s="24"/>
      <c r="N837" s="27" t="str">
        <f aca="false">IF(B837="","",IFERROR(1000-SUMPRODUCT(MAX(ISNUMBER(SEARCH(Rules!$A$5:$A$204,B837))*(Rules!$A$5:$A$204&lt;&gt;"")*(1000-ROW(Rules!$A$5:$A$204)))),""))</f>
        <v/>
      </c>
    </row>
    <row r="838" customFormat="false" ht="15" hidden="false" customHeight="false" outlineLevel="0" collapsed="false">
      <c r="A838" s="23"/>
      <c r="B838" s="24"/>
      <c r="C838" s="25"/>
      <c r="D838" s="24"/>
      <c r="E838" s="21" t="str">
        <f aca="false">IF(OR(B838="",N(N838)=0,N838=1000),IF(B838="","","Check"),INDEX(Rules!$B:$B,N838))</f>
        <v/>
      </c>
      <c r="F838" s="21" t="str">
        <f aca="false">IF(OR(B838="",N(N838)=0,N838=1000),"",INDEX(Rules!$C:$C,N838))</f>
        <v/>
      </c>
      <c r="G838" s="24"/>
      <c r="H838" s="24"/>
      <c r="I838" s="20" t="str">
        <f aca="false">IF(B838="","",IF(G838&lt;&gt;"",G838,E838))</f>
        <v/>
      </c>
      <c r="J838" s="21" t="str">
        <f aca="false">IF(B838="","",IF(H838&lt;&gt;"",H838,F838))</f>
        <v/>
      </c>
      <c r="K838" s="26" t="str">
        <f aca="false">IF(A838="","",DATE(YEAR(A838),MONTH(A838),1))</f>
        <v/>
      </c>
      <c r="L838" s="21" t="str">
        <f aca="false">IF(J838="",IF(B838="","",IF(N(C838)&gt;=0,"Income","Expense")),IFERROR(INDEX(Lists!$B$2:$B$30,MATCH(J838,Lists!$A$2:$A$30,0)),""))</f>
        <v/>
      </c>
      <c r="M838" s="24"/>
      <c r="N838" s="27" t="str">
        <f aca="false">IF(B838="","",IFERROR(1000-SUMPRODUCT(MAX(ISNUMBER(SEARCH(Rules!$A$5:$A$204,B838))*(Rules!$A$5:$A$204&lt;&gt;"")*(1000-ROW(Rules!$A$5:$A$204)))),""))</f>
        <v/>
      </c>
    </row>
    <row r="839" customFormat="false" ht="15" hidden="false" customHeight="false" outlineLevel="0" collapsed="false">
      <c r="A839" s="23"/>
      <c r="B839" s="24"/>
      <c r="C839" s="25"/>
      <c r="D839" s="24"/>
      <c r="E839" s="21" t="str">
        <f aca="false">IF(OR(B839="",N(N839)=0,N839=1000),IF(B839="","","Check"),INDEX(Rules!$B:$B,N839))</f>
        <v/>
      </c>
      <c r="F839" s="21" t="str">
        <f aca="false">IF(OR(B839="",N(N839)=0,N839=1000),"",INDEX(Rules!$C:$C,N839))</f>
        <v/>
      </c>
      <c r="G839" s="24"/>
      <c r="H839" s="24"/>
      <c r="I839" s="20" t="str">
        <f aca="false">IF(B839="","",IF(G839&lt;&gt;"",G839,E839))</f>
        <v/>
      </c>
      <c r="J839" s="21" t="str">
        <f aca="false">IF(B839="","",IF(H839&lt;&gt;"",H839,F839))</f>
        <v/>
      </c>
      <c r="K839" s="26" t="str">
        <f aca="false">IF(A839="","",DATE(YEAR(A839),MONTH(A839),1))</f>
        <v/>
      </c>
      <c r="L839" s="21" t="str">
        <f aca="false">IF(J839="",IF(B839="","",IF(N(C839)&gt;=0,"Income","Expense")),IFERROR(INDEX(Lists!$B$2:$B$30,MATCH(J839,Lists!$A$2:$A$30,0)),""))</f>
        <v/>
      </c>
      <c r="M839" s="24"/>
      <c r="N839" s="27" t="str">
        <f aca="false">IF(B839="","",IFERROR(1000-SUMPRODUCT(MAX(ISNUMBER(SEARCH(Rules!$A$5:$A$204,B839))*(Rules!$A$5:$A$204&lt;&gt;"")*(1000-ROW(Rules!$A$5:$A$204)))),""))</f>
        <v/>
      </c>
    </row>
    <row r="840" customFormat="false" ht="15" hidden="false" customHeight="false" outlineLevel="0" collapsed="false">
      <c r="A840" s="23"/>
      <c r="B840" s="24"/>
      <c r="C840" s="25"/>
      <c r="D840" s="24"/>
      <c r="E840" s="21" t="str">
        <f aca="false">IF(OR(B840="",N(N840)=0,N840=1000),IF(B840="","","Check"),INDEX(Rules!$B:$B,N840))</f>
        <v/>
      </c>
      <c r="F840" s="21" t="str">
        <f aca="false">IF(OR(B840="",N(N840)=0,N840=1000),"",INDEX(Rules!$C:$C,N840))</f>
        <v/>
      </c>
      <c r="G840" s="24"/>
      <c r="H840" s="24"/>
      <c r="I840" s="20" t="str">
        <f aca="false">IF(B840="","",IF(G840&lt;&gt;"",G840,E840))</f>
        <v/>
      </c>
      <c r="J840" s="21" t="str">
        <f aca="false">IF(B840="","",IF(H840&lt;&gt;"",H840,F840))</f>
        <v/>
      </c>
      <c r="K840" s="26" t="str">
        <f aca="false">IF(A840="","",DATE(YEAR(A840),MONTH(A840),1))</f>
        <v/>
      </c>
      <c r="L840" s="21" t="str">
        <f aca="false">IF(J840="",IF(B840="","",IF(N(C840)&gt;=0,"Income","Expense")),IFERROR(INDEX(Lists!$B$2:$B$30,MATCH(J840,Lists!$A$2:$A$30,0)),""))</f>
        <v/>
      </c>
      <c r="M840" s="24"/>
      <c r="N840" s="27" t="str">
        <f aca="false">IF(B840="","",IFERROR(1000-SUMPRODUCT(MAX(ISNUMBER(SEARCH(Rules!$A$5:$A$204,B840))*(Rules!$A$5:$A$204&lt;&gt;"")*(1000-ROW(Rules!$A$5:$A$204)))),""))</f>
        <v/>
      </c>
    </row>
    <row r="841" customFormat="false" ht="15" hidden="false" customHeight="false" outlineLevel="0" collapsed="false">
      <c r="A841" s="23"/>
      <c r="B841" s="24"/>
      <c r="C841" s="25"/>
      <c r="D841" s="24"/>
      <c r="E841" s="21" t="str">
        <f aca="false">IF(OR(B841="",N(N841)=0,N841=1000),IF(B841="","","Check"),INDEX(Rules!$B:$B,N841))</f>
        <v/>
      </c>
      <c r="F841" s="21" t="str">
        <f aca="false">IF(OR(B841="",N(N841)=0,N841=1000),"",INDEX(Rules!$C:$C,N841))</f>
        <v/>
      </c>
      <c r="G841" s="24"/>
      <c r="H841" s="24"/>
      <c r="I841" s="20" t="str">
        <f aca="false">IF(B841="","",IF(G841&lt;&gt;"",G841,E841))</f>
        <v/>
      </c>
      <c r="J841" s="21" t="str">
        <f aca="false">IF(B841="","",IF(H841&lt;&gt;"",H841,F841))</f>
        <v/>
      </c>
      <c r="K841" s="26" t="str">
        <f aca="false">IF(A841="","",DATE(YEAR(A841),MONTH(A841),1))</f>
        <v/>
      </c>
      <c r="L841" s="21" t="str">
        <f aca="false">IF(J841="",IF(B841="","",IF(N(C841)&gt;=0,"Income","Expense")),IFERROR(INDEX(Lists!$B$2:$B$30,MATCH(J841,Lists!$A$2:$A$30,0)),""))</f>
        <v/>
      </c>
      <c r="M841" s="24"/>
      <c r="N841" s="27" t="str">
        <f aca="false">IF(B841="","",IFERROR(1000-SUMPRODUCT(MAX(ISNUMBER(SEARCH(Rules!$A$5:$A$204,B841))*(Rules!$A$5:$A$204&lt;&gt;"")*(1000-ROW(Rules!$A$5:$A$204)))),""))</f>
        <v/>
      </c>
    </row>
    <row r="842" customFormat="false" ht="15" hidden="false" customHeight="false" outlineLevel="0" collapsed="false">
      <c r="A842" s="23"/>
      <c r="B842" s="24"/>
      <c r="C842" s="25"/>
      <c r="D842" s="24"/>
      <c r="E842" s="21" t="str">
        <f aca="false">IF(OR(B842="",N(N842)=0,N842=1000),IF(B842="","","Check"),INDEX(Rules!$B:$B,N842))</f>
        <v/>
      </c>
      <c r="F842" s="21" t="str">
        <f aca="false">IF(OR(B842="",N(N842)=0,N842=1000),"",INDEX(Rules!$C:$C,N842))</f>
        <v/>
      </c>
      <c r="G842" s="24"/>
      <c r="H842" s="24"/>
      <c r="I842" s="20" t="str">
        <f aca="false">IF(B842="","",IF(G842&lt;&gt;"",G842,E842))</f>
        <v/>
      </c>
      <c r="J842" s="21" t="str">
        <f aca="false">IF(B842="","",IF(H842&lt;&gt;"",H842,F842))</f>
        <v/>
      </c>
      <c r="K842" s="26" t="str">
        <f aca="false">IF(A842="","",DATE(YEAR(A842),MONTH(A842),1))</f>
        <v/>
      </c>
      <c r="L842" s="21" t="str">
        <f aca="false">IF(J842="",IF(B842="","",IF(N(C842)&gt;=0,"Income","Expense")),IFERROR(INDEX(Lists!$B$2:$B$30,MATCH(J842,Lists!$A$2:$A$30,0)),""))</f>
        <v/>
      </c>
      <c r="M842" s="24"/>
      <c r="N842" s="27" t="str">
        <f aca="false">IF(B842="","",IFERROR(1000-SUMPRODUCT(MAX(ISNUMBER(SEARCH(Rules!$A$5:$A$204,B842))*(Rules!$A$5:$A$204&lt;&gt;"")*(1000-ROW(Rules!$A$5:$A$204)))),""))</f>
        <v/>
      </c>
    </row>
    <row r="843" customFormat="false" ht="15" hidden="false" customHeight="false" outlineLevel="0" collapsed="false">
      <c r="A843" s="23"/>
      <c r="B843" s="24"/>
      <c r="C843" s="25"/>
      <c r="D843" s="24"/>
      <c r="E843" s="21" t="str">
        <f aca="false">IF(OR(B843="",N(N843)=0,N843=1000),IF(B843="","","Check"),INDEX(Rules!$B:$B,N843))</f>
        <v/>
      </c>
      <c r="F843" s="21" t="str">
        <f aca="false">IF(OR(B843="",N(N843)=0,N843=1000),"",INDEX(Rules!$C:$C,N843))</f>
        <v/>
      </c>
      <c r="G843" s="24"/>
      <c r="H843" s="24"/>
      <c r="I843" s="20" t="str">
        <f aca="false">IF(B843="","",IF(G843&lt;&gt;"",G843,E843))</f>
        <v/>
      </c>
      <c r="J843" s="21" t="str">
        <f aca="false">IF(B843="","",IF(H843&lt;&gt;"",H843,F843))</f>
        <v/>
      </c>
      <c r="K843" s="26" t="str">
        <f aca="false">IF(A843="","",DATE(YEAR(A843),MONTH(A843),1))</f>
        <v/>
      </c>
      <c r="L843" s="21" t="str">
        <f aca="false">IF(J843="",IF(B843="","",IF(N(C843)&gt;=0,"Income","Expense")),IFERROR(INDEX(Lists!$B$2:$B$30,MATCH(J843,Lists!$A$2:$A$30,0)),""))</f>
        <v/>
      </c>
      <c r="M843" s="24"/>
      <c r="N843" s="27" t="str">
        <f aca="false">IF(B843="","",IFERROR(1000-SUMPRODUCT(MAX(ISNUMBER(SEARCH(Rules!$A$5:$A$204,B843))*(Rules!$A$5:$A$204&lt;&gt;"")*(1000-ROW(Rules!$A$5:$A$204)))),""))</f>
        <v/>
      </c>
    </row>
    <row r="844" customFormat="false" ht="15" hidden="false" customHeight="false" outlineLevel="0" collapsed="false">
      <c r="A844" s="23"/>
      <c r="B844" s="24"/>
      <c r="C844" s="25"/>
      <c r="D844" s="24"/>
      <c r="E844" s="21" t="str">
        <f aca="false">IF(OR(B844="",N(N844)=0,N844=1000),IF(B844="","","Check"),INDEX(Rules!$B:$B,N844))</f>
        <v/>
      </c>
      <c r="F844" s="21" t="str">
        <f aca="false">IF(OR(B844="",N(N844)=0,N844=1000),"",INDEX(Rules!$C:$C,N844))</f>
        <v/>
      </c>
      <c r="G844" s="24"/>
      <c r="H844" s="24"/>
      <c r="I844" s="20" t="str">
        <f aca="false">IF(B844="","",IF(G844&lt;&gt;"",G844,E844))</f>
        <v/>
      </c>
      <c r="J844" s="21" t="str">
        <f aca="false">IF(B844="","",IF(H844&lt;&gt;"",H844,F844))</f>
        <v/>
      </c>
      <c r="K844" s="26" t="str">
        <f aca="false">IF(A844="","",DATE(YEAR(A844),MONTH(A844),1))</f>
        <v/>
      </c>
      <c r="L844" s="21" t="str">
        <f aca="false">IF(J844="",IF(B844="","",IF(N(C844)&gt;=0,"Income","Expense")),IFERROR(INDEX(Lists!$B$2:$B$30,MATCH(J844,Lists!$A$2:$A$30,0)),""))</f>
        <v/>
      </c>
      <c r="M844" s="24"/>
      <c r="N844" s="27" t="str">
        <f aca="false">IF(B844="","",IFERROR(1000-SUMPRODUCT(MAX(ISNUMBER(SEARCH(Rules!$A$5:$A$204,B844))*(Rules!$A$5:$A$204&lt;&gt;"")*(1000-ROW(Rules!$A$5:$A$204)))),""))</f>
        <v/>
      </c>
    </row>
    <row r="845" customFormat="false" ht="15" hidden="false" customHeight="false" outlineLevel="0" collapsed="false">
      <c r="A845" s="23"/>
      <c r="B845" s="24"/>
      <c r="C845" s="25"/>
      <c r="D845" s="24"/>
      <c r="E845" s="21" t="str">
        <f aca="false">IF(OR(B845="",N(N845)=0,N845=1000),IF(B845="","","Check"),INDEX(Rules!$B:$B,N845))</f>
        <v/>
      </c>
      <c r="F845" s="21" t="str">
        <f aca="false">IF(OR(B845="",N(N845)=0,N845=1000),"",INDEX(Rules!$C:$C,N845))</f>
        <v/>
      </c>
      <c r="G845" s="24"/>
      <c r="H845" s="24"/>
      <c r="I845" s="20" t="str">
        <f aca="false">IF(B845="","",IF(G845&lt;&gt;"",G845,E845))</f>
        <v/>
      </c>
      <c r="J845" s="21" t="str">
        <f aca="false">IF(B845="","",IF(H845&lt;&gt;"",H845,F845))</f>
        <v/>
      </c>
      <c r="K845" s="26" t="str">
        <f aca="false">IF(A845="","",DATE(YEAR(A845),MONTH(A845),1))</f>
        <v/>
      </c>
      <c r="L845" s="21" t="str">
        <f aca="false">IF(J845="",IF(B845="","",IF(N(C845)&gt;=0,"Income","Expense")),IFERROR(INDEX(Lists!$B$2:$B$30,MATCH(J845,Lists!$A$2:$A$30,0)),""))</f>
        <v/>
      </c>
      <c r="M845" s="24"/>
      <c r="N845" s="27" t="str">
        <f aca="false">IF(B845="","",IFERROR(1000-SUMPRODUCT(MAX(ISNUMBER(SEARCH(Rules!$A$5:$A$204,B845))*(Rules!$A$5:$A$204&lt;&gt;"")*(1000-ROW(Rules!$A$5:$A$204)))),""))</f>
        <v/>
      </c>
    </row>
    <row r="846" customFormat="false" ht="15" hidden="false" customHeight="false" outlineLevel="0" collapsed="false">
      <c r="A846" s="23"/>
      <c r="B846" s="24"/>
      <c r="C846" s="25"/>
      <c r="D846" s="24"/>
      <c r="E846" s="21" t="str">
        <f aca="false">IF(OR(B846="",N(N846)=0,N846=1000),IF(B846="","","Check"),INDEX(Rules!$B:$B,N846))</f>
        <v/>
      </c>
      <c r="F846" s="21" t="str">
        <f aca="false">IF(OR(B846="",N(N846)=0,N846=1000),"",INDEX(Rules!$C:$C,N846))</f>
        <v/>
      </c>
      <c r="G846" s="24"/>
      <c r="H846" s="24"/>
      <c r="I846" s="20" t="str">
        <f aca="false">IF(B846="","",IF(G846&lt;&gt;"",G846,E846))</f>
        <v/>
      </c>
      <c r="J846" s="21" t="str">
        <f aca="false">IF(B846="","",IF(H846&lt;&gt;"",H846,F846))</f>
        <v/>
      </c>
      <c r="K846" s="26" t="str">
        <f aca="false">IF(A846="","",DATE(YEAR(A846),MONTH(A846),1))</f>
        <v/>
      </c>
      <c r="L846" s="21" t="str">
        <f aca="false">IF(J846="",IF(B846="","",IF(N(C846)&gt;=0,"Income","Expense")),IFERROR(INDEX(Lists!$B$2:$B$30,MATCH(J846,Lists!$A$2:$A$30,0)),""))</f>
        <v/>
      </c>
      <c r="M846" s="24"/>
      <c r="N846" s="27" t="str">
        <f aca="false">IF(B846="","",IFERROR(1000-SUMPRODUCT(MAX(ISNUMBER(SEARCH(Rules!$A$5:$A$204,B846))*(Rules!$A$5:$A$204&lt;&gt;"")*(1000-ROW(Rules!$A$5:$A$204)))),""))</f>
        <v/>
      </c>
    </row>
    <row r="847" customFormat="false" ht="15" hidden="false" customHeight="false" outlineLevel="0" collapsed="false">
      <c r="A847" s="23"/>
      <c r="B847" s="24"/>
      <c r="C847" s="25"/>
      <c r="D847" s="24"/>
      <c r="E847" s="21" t="str">
        <f aca="false">IF(OR(B847="",N(N847)=0,N847=1000),IF(B847="","","Check"),INDEX(Rules!$B:$B,N847))</f>
        <v/>
      </c>
      <c r="F847" s="21" t="str">
        <f aca="false">IF(OR(B847="",N(N847)=0,N847=1000),"",INDEX(Rules!$C:$C,N847))</f>
        <v/>
      </c>
      <c r="G847" s="24"/>
      <c r="H847" s="24"/>
      <c r="I847" s="20" t="str">
        <f aca="false">IF(B847="","",IF(G847&lt;&gt;"",G847,E847))</f>
        <v/>
      </c>
      <c r="J847" s="21" t="str">
        <f aca="false">IF(B847="","",IF(H847&lt;&gt;"",H847,F847))</f>
        <v/>
      </c>
      <c r="K847" s="26" t="str">
        <f aca="false">IF(A847="","",DATE(YEAR(A847),MONTH(A847),1))</f>
        <v/>
      </c>
      <c r="L847" s="21" t="str">
        <f aca="false">IF(J847="",IF(B847="","",IF(N(C847)&gt;=0,"Income","Expense")),IFERROR(INDEX(Lists!$B$2:$B$30,MATCH(J847,Lists!$A$2:$A$30,0)),""))</f>
        <v/>
      </c>
      <c r="M847" s="24"/>
      <c r="N847" s="27" t="str">
        <f aca="false">IF(B847="","",IFERROR(1000-SUMPRODUCT(MAX(ISNUMBER(SEARCH(Rules!$A$5:$A$204,B847))*(Rules!$A$5:$A$204&lt;&gt;"")*(1000-ROW(Rules!$A$5:$A$204)))),""))</f>
        <v/>
      </c>
    </row>
    <row r="848" customFormat="false" ht="15" hidden="false" customHeight="false" outlineLevel="0" collapsed="false">
      <c r="A848" s="23"/>
      <c r="B848" s="24"/>
      <c r="C848" s="25"/>
      <c r="D848" s="24"/>
      <c r="E848" s="21" t="str">
        <f aca="false">IF(OR(B848="",N(N848)=0,N848=1000),IF(B848="","","Check"),INDEX(Rules!$B:$B,N848))</f>
        <v/>
      </c>
      <c r="F848" s="21" t="str">
        <f aca="false">IF(OR(B848="",N(N848)=0,N848=1000),"",INDEX(Rules!$C:$C,N848))</f>
        <v/>
      </c>
      <c r="G848" s="24"/>
      <c r="H848" s="24"/>
      <c r="I848" s="20" t="str">
        <f aca="false">IF(B848="","",IF(G848&lt;&gt;"",G848,E848))</f>
        <v/>
      </c>
      <c r="J848" s="21" t="str">
        <f aca="false">IF(B848="","",IF(H848&lt;&gt;"",H848,F848))</f>
        <v/>
      </c>
      <c r="K848" s="26" t="str">
        <f aca="false">IF(A848="","",DATE(YEAR(A848),MONTH(A848),1))</f>
        <v/>
      </c>
      <c r="L848" s="21" t="str">
        <f aca="false">IF(J848="",IF(B848="","",IF(N(C848)&gt;=0,"Income","Expense")),IFERROR(INDEX(Lists!$B$2:$B$30,MATCH(J848,Lists!$A$2:$A$30,0)),""))</f>
        <v/>
      </c>
      <c r="M848" s="24"/>
      <c r="N848" s="27" t="str">
        <f aca="false">IF(B848="","",IFERROR(1000-SUMPRODUCT(MAX(ISNUMBER(SEARCH(Rules!$A$5:$A$204,B848))*(Rules!$A$5:$A$204&lt;&gt;"")*(1000-ROW(Rules!$A$5:$A$204)))),""))</f>
        <v/>
      </c>
    </row>
    <row r="849" customFormat="false" ht="15" hidden="false" customHeight="false" outlineLevel="0" collapsed="false">
      <c r="A849" s="23"/>
      <c r="B849" s="24"/>
      <c r="C849" s="25"/>
      <c r="D849" s="24"/>
      <c r="E849" s="21" t="str">
        <f aca="false">IF(OR(B849="",N(N849)=0,N849=1000),IF(B849="","","Check"),INDEX(Rules!$B:$B,N849))</f>
        <v/>
      </c>
      <c r="F849" s="21" t="str">
        <f aca="false">IF(OR(B849="",N(N849)=0,N849=1000),"",INDEX(Rules!$C:$C,N849))</f>
        <v/>
      </c>
      <c r="G849" s="24"/>
      <c r="H849" s="24"/>
      <c r="I849" s="20" t="str">
        <f aca="false">IF(B849="","",IF(G849&lt;&gt;"",G849,E849))</f>
        <v/>
      </c>
      <c r="J849" s="21" t="str">
        <f aca="false">IF(B849="","",IF(H849&lt;&gt;"",H849,F849))</f>
        <v/>
      </c>
      <c r="K849" s="26" t="str">
        <f aca="false">IF(A849="","",DATE(YEAR(A849),MONTH(A849),1))</f>
        <v/>
      </c>
      <c r="L849" s="21" t="str">
        <f aca="false">IF(J849="",IF(B849="","",IF(N(C849)&gt;=0,"Income","Expense")),IFERROR(INDEX(Lists!$B$2:$B$30,MATCH(J849,Lists!$A$2:$A$30,0)),""))</f>
        <v/>
      </c>
      <c r="M849" s="24"/>
      <c r="N849" s="27" t="str">
        <f aca="false">IF(B849="","",IFERROR(1000-SUMPRODUCT(MAX(ISNUMBER(SEARCH(Rules!$A$5:$A$204,B849))*(Rules!$A$5:$A$204&lt;&gt;"")*(1000-ROW(Rules!$A$5:$A$204)))),""))</f>
        <v/>
      </c>
    </row>
    <row r="850" customFormat="false" ht="15" hidden="false" customHeight="false" outlineLevel="0" collapsed="false">
      <c r="A850" s="23"/>
      <c r="B850" s="24"/>
      <c r="C850" s="25"/>
      <c r="D850" s="24"/>
      <c r="E850" s="21" t="str">
        <f aca="false">IF(OR(B850="",N(N850)=0,N850=1000),IF(B850="","","Check"),INDEX(Rules!$B:$B,N850))</f>
        <v/>
      </c>
      <c r="F850" s="21" t="str">
        <f aca="false">IF(OR(B850="",N(N850)=0,N850=1000),"",INDEX(Rules!$C:$C,N850))</f>
        <v/>
      </c>
      <c r="G850" s="24"/>
      <c r="H850" s="24"/>
      <c r="I850" s="20" t="str">
        <f aca="false">IF(B850="","",IF(G850&lt;&gt;"",G850,E850))</f>
        <v/>
      </c>
      <c r="J850" s="21" t="str">
        <f aca="false">IF(B850="","",IF(H850&lt;&gt;"",H850,F850))</f>
        <v/>
      </c>
      <c r="K850" s="26" t="str">
        <f aca="false">IF(A850="","",DATE(YEAR(A850),MONTH(A850),1))</f>
        <v/>
      </c>
      <c r="L850" s="21" t="str">
        <f aca="false">IF(J850="",IF(B850="","",IF(N(C850)&gt;=0,"Income","Expense")),IFERROR(INDEX(Lists!$B$2:$B$30,MATCH(J850,Lists!$A$2:$A$30,0)),""))</f>
        <v/>
      </c>
      <c r="M850" s="24"/>
      <c r="N850" s="27" t="str">
        <f aca="false">IF(B850="","",IFERROR(1000-SUMPRODUCT(MAX(ISNUMBER(SEARCH(Rules!$A$5:$A$204,B850))*(Rules!$A$5:$A$204&lt;&gt;"")*(1000-ROW(Rules!$A$5:$A$204)))),""))</f>
        <v/>
      </c>
    </row>
    <row r="851" customFormat="false" ht="15" hidden="false" customHeight="false" outlineLevel="0" collapsed="false">
      <c r="A851" s="23"/>
      <c r="B851" s="24"/>
      <c r="C851" s="25"/>
      <c r="D851" s="24"/>
      <c r="E851" s="21" t="str">
        <f aca="false">IF(OR(B851="",N(N851)=0,N851=1000),IF(B851="","","Check"),INDEX(Rules!$B:$B,N851))</f>
        <v/>
      </c>
      <c r="F851" s="21" t="str">
        <f aca="false">IF(OR(B851="",N(N851)=0,N851=1000),"",INDEX(Rules!$C:$C,N851))</f>
        <v/>
      </c>
      <c r="G851" s="24"/>
      <c r="H851" s="24"/>
      <c r="I851" s="20" t="str">
        <f aca="false">IF(B851="","",IF(G851&lt;&gt;"",G851,E851))</f>
        <v/>
      </c>
      <c r="J851" s="21" t="str">
        <f aca="false">IF(B851="","",IF(H851&lt;&gt;"",H851,F851))</f>
        <v/>
      </c>
      <c r="K851" s="26" t="str">
        <f aca="false">IF(A851="","",DATE(YEAR(A851),MONTH(A851),1))</f>
        <v/>
      </c>
      <c r="L851" s="21" t="str">
        <f aca="false">IF(J851="",IF(B851="","",IF(N(C851)&gt;=0,"Income","Expense")),IFERROR(INDEX(Lists!$B$2:$B$30,MATCH(J851,Lists!$A$2:$A$30,0)),""))</f>
        <v/>
      </c>
      <c r="M851" s="24"/>
      <c r="N851" s="27" t="str">
        <f aca="false">IF(B851="","",IFERROR(1000-SUMPRODUCT(MAX(ISNUMBER(SEARCH(Rules!$A$5:$A$204,B851))*(Rules!$A$5:$A$204&lt;&gt;"")*(1000-ROW(Rules!$A$5:$A$204)))),""))</f>
        <v/>
      </c>
    </row>
    <row r="852" customFormat="false" ht="15" hidden="false" customHeight="false" outlineLevel="0" collapsed="false">
      <c r="A852" s="23"/>
      <c r="B852" s="24"/>
      <c r="C852" s="25"/>
      <c r="D852" s="24"/>
      <c r="E852" s="21" t="str">
        <f aca="false">IF(OR(B852="",N(N852)=0,N852=1000),IF(B852="","","Check"),INDEX(Rules!$B:$B,N852))</f>
        <v/>
      </c>
      <c r="F852" s="21" t="str">
        <f aca="false">IF(OR(B852="",N(N852)=0,N852=1000),"",INDEX(Rules!$C:$C,N852))</f>
        <v/>
      </c>
      <c r="G852" s="24"/>
      <c r="H852" s="24"/>
      <c r="I852" s="20" t="str">
        <f aca="false">IF(B852="","",IF(G852&lt;&gt;"",G852,E852))</f>
        <v/>
      </c>
      <c r="J852" s="21" t="str">
        <f aca="false">IF(B852="","",IF(H852&lt;&gt;"",H852,F852))</f>
        <v/>
      </c>
      <c r="K852" s="26" t="str">
        <f aca="false">IF(A852="","",DATE(YEAR(A852),MONTH(A852),1))</f>
        <v/>
      </c>
      <c r="L852" s="21" t="str">
        <f aca="false">IF(J852="",IF(B852="","",IF(N(C852)&gt;=0,"Income","Expense")),IFERROR(INDEX(Lists!$B$2:$B$30,MATCH(J852,Lists!$A$2:$A$30,0)),""))</f>
        <v/>
      </c>
      <c r="M852" s="24"/>
      <c r="N852" s="27" t="str">
        <f aca="false">IF(B852="","",IFERROR(1000-SUMPRODUCT(MAX(ISNUMBER(SEARCH(Rules!$A$5:$A$204,B852))*(Rules!$A$5:$A$204&lt;&gt;"")*(1000-ROW(Rules!$A$5:$A$204)))),""))</f>
        <v/>
      </c>
    </row>
    <row r="853" customFormat="false" ht="15" hidden="false" customHeight="false" outlineLevel="0" collapsed="false">
      <c r="A853" s="23"/>
      <c r="B853" s="24"/>
      <c r="C853" s="25"/>
      <c r="D853" s="24"/>
      <c r="E853" s="21" t="str">
        <f aca="false">IF(OR(B853="",N(N853)=0,N853=1000),IF(B853="","","Check"),INDEX(Rules!$B:$B,N853))</f>
        <v/>
      </c>
      <c r="F853" s="21" t="str">
        <f aca="false">IF(OR(B853="",N(N853)=0,N853=1000),"",INDEX(Rules!$C:$C,N853))</f>
        <v/>
      </c>
      <c r="G853" s="24"/>
      <c r="H853" s="24"/>
      <c r="I853" s="20" t="str">
        <f aca="false">IF(B853="","",IF(G853&lt;&gt;"",G853,E853))</f>
        <v/>
      </c>
      <c r="J853" s="21" t="str">
        <f aca="false">IF(B853="","",IF(H853&lt;&gt;"",H853,F853))</f>
        <v/>
      </c>
      <c r="K853" s="26" t="str">
        <f aca="false">IF(A853="","",DATE(YEAR(A853),MONTH(A853),1))</f>
        <v/>
      </c>
      <c r="L853" s="21" t="str">
        <f aca="false">IF(J853="",IF(B853="","",IF(N(C853)&gt;=0,"Income","Expense")),IFERROR(INDEX(Lists!$B$2:$B$30,MATCH(J853,Lists!$A$2:$A$30,0)),""))</f>
        <v/>
      </c>
      <c r="M853" s="24"/>
      <c r="N853" s="27" t="str">
        <f aca="false">IF(B853="","",IFERROR(1000-SUMPRODUCT(MAX(ISNUMBER(SEARCH(Rules!$A$5:$A$204,B853))*(Rules!$A$5:$A$204&lt;&gt;"")*(1000-ROW(Rules!$A$5:$A$204)))),""))</f>
        <v/>
      </c>
    </row>
    <row r="854" customFormat="false" ht="15" hidden="false" customHeight="false" outlineLevel="0" collapsed="false">
      <c r="A854" s="23"/>
      <c r="B854" s="24"/>
      <c r="C854" s="25"/>
      <c r="D854" s="24"/>
      <c r="E854" s="21" t="str">
        <f aca="false">IF(OR(B854="",N(N854)=0,N854=1000),IF(B854="","","Check"),INDEX(Rules!$B:$B,N854))</f>
        <v/>
      </c>
      <c r="F854" s="21" t="str">
        <f aca="false">IF(OR(B854="",N(N854)=0,N854=1000),"",INDEX(Rules!$C:$C,N854))</f>
        <v/>
      </c>
      <c r="G854" s="24"/>
      <c r="H854" s="24"/>
      <c r="I854" s="20" t="str">
        <f aca="false">IF(B854="","",IF(G854&lt;&gt;"",G854,E854))</f>
        <v/>
      </c>
      <c r="J854" s="21" t="str">
        <f aca="false">IF(B854="","",IF(H854&lt;&gt;"",H854,F854))</f>
        <v/>
      </c>
      <c r="K854" s="26" t="str">
        <f aca="false">IF(A854="","",DATE(YEAR(A854),MONTH(A854),1))</f>
        <v/>
      </c>
      <c r="L854" s="21" t="str">
        <f aca="false">IF(J854="",IF(B854="","",IF(N(C854)&gt;=0,"Income","Expense")),IFERROR(INDEX(Lists!$B$2:$B$30,MATCH(J854,Lists!$A$2:$A$30,0)),""))</f>
        <v/>
      </c>
      <c r="M854" s="24"/>
      <c r="N854" s="27" t="str">
        <f aca="false">IF(B854="","",IFERROR(1000-SUMPRODUCT(MAX(ISNUMBER(SEARCH(Rules!$A$5:$A$204,B854))*(Rules!$A$5:$A$204&lt;&gt;"")*(1000-ROW(Rules!$A$5:$A$204)))),""))</f>
        <v/>
      </c>
    </row>
    <row r="855" customFormat="false" ht="15" hidden="false" customHeight="false" outlineLevel="0" collapsed="false">
      <c r="A855" s="23"/>
      <c r="B855" s="24"/>
      <c r="C855" s="25"/>
      <c r="D855" s="24"/>
      <c r="E855" s="21" t="str">
        <f aca="false">IF(OR(B855="",N(N855)=0,N855=1000),IF(B855="","","Check"),INDEX(Rules!$B:$B,N855))</f>
        <v/>
      </c>
      <c r="F855" s="21" t="str">
        <f aca="false">IF(OR(B855="",N(N855)=0,N855=1000),"",INDEX(Rules!$C:$C,N855))</f>
        <v/>
      </c>
      <c r="G855" s="24"/>
      <c r="H855" s="24"/>
      <c r="I855" s="20" t="str">
        <f aca="false">IF(B855="","",IF(G855&lt;&gt;"",G855,E855))</f>
        <v/>
      </c>
      <c r="J855" s="21" t="str">
        <f aca="false">IF(B855="","",IF(H855&lt;&gt;"",H855,F855))</f>
        <v/>
      </c>
      <c r="K855" s="26" t="str">
        <f aca="false">IF(A855="","",DATE(YEAR(A855),MONTH(A855),1))</f>
        <v/>
      </c>
      <c r="L855" s="21" t="str">
        <f aca="false">IF(J855="",IF(B855="","",IF(N(C855)&gt;=0,"Income","Expense")),IFERROR(INDEX(Lists!$B$2:$B$30,MATCH(J855,Lists!$A$2:$A$30,0)),""))</f>
        <v/>
      </c>
      <c r="M855" s="24"/>
      <c r="N855" s="27" t="str">
        <f aca="false">IF(B855="","",IFERROR(1000-SUMPRODUCT(MAX(ISNUMBER(SEARCH(Rules!$A$5:$A$204,B855))*(Rules!$A$5:$A$204&lt;&gt;"")*(1000-ROW(Rules!$A$5:$A$204)))),""))</f>
        <v/>
      </c>
    </row>
    <row r="856" customFormat="false" ht="15" hidden="false" customHeight="false" outlineLevel="0" collapsed="false">
      <c r="A856" s="23"/>
      <c r="B856" s="24"/>
      <c r="C856" s="25"/>
      <c r="D856" s="24"/>
      <c r="E856" s="21" t="str">
        <f aca="false">IF(OR(B856="",N(N856)=0,N856=1000),IF(B856="","","Check"),INDEX(Rules!$B:$B,N856))</f>
        <v/>
      </c>
      <c r="F856" s="21" t="str">
        <f aca="false">IF(OR(B856="",N(N856)=0,N856=1000),"",INDEX(Rules!$C:$C,N856))</f>
        <v/>
      </c>
      <c r="G856" s="24"/>
      <c r="H856" s="24"/>
      <c r="I856" s="20" t="str">
        <f aca="false">IF(B856="","",IF(G856&lt;&gt;"",G856,E856))</f>
        <v/>
      </c>
      <c r="J856" s="21" t="str">
        <f aca="false">IF(B856="","",IF(H856&lt;&gt;"",H856,F856))</f>
        <v/>
      </c>
      <c r="K856" s="26" t="str">
        <f aca="false">IF(A856="","",DATE(YEAR(A856),MONTH(A856),1))</f>
        <v/>
      </c>
      <c r="L856" s="21" t="str">
        <f aca="false">IF(J856="",IF(B856="","",IF(N(C856)&gt;=0,"Income","Expense")),IFERROR(INDEX(Lists!$B$2:$B$30,MATCH(J856,Lists!$A$2:$A$30,0)),""))</f>
        <v/>
      </c>
      <c r="M856" s="24"/>
      <c r="N856" s="27" t="str">
        <f aca="false">IF(B856="","",IFERROR(1000-SUMPRODUCT(MAX(ISNUMBER(SEARCH(Rules!$A$5:$A$204,B856))*(Rules!$A$5:$A$204&lt;&gt;"")*(1000-ROW(Rules!$A$5:$A$204)))),""))</f>
        <v/>
      </c>
    </row>
    <row r="857" customFormat="false" ht="15" hidden="false" customHeight="false" outlineLevel="0" collapsed="false">
      <c r="A857" s="23"/>
      <c r="B857" s="24"/>
      <c r="C857" s="25"/>
      <c r="D857" s="24"/>
      <c r="E857" s="21" t="str">
        <f aca="false">IF(OR(B857="",N(N857)=0,N857=1000),IF(B857="","","Check"),INDEX(Rules!$B:$B,N857))</f>
        <v/>
      </c>
      <c r="F857" s="21" t="str">
        <f aca="false">IF(OR(B857="",N(N857)=0,N857=1000),"",INDEX(Rules!$C:$C,N857))</f>
        <v/>
      </c>
      <c r="G857" s="24"/>
      <c r="H857" s="24"/>
      <c r="I857" s="20" t="str">
        <f aca="false">IF(B857="","",IF(G857&lt;&gt;"",G857,E857))</f>
        <v/>
      </c>
      <c r="J857" s="21" t="str">
        <f aca="false">IF(B857="","",IF(H857&lt;&gt;"",H857,F857))</f>
        <v/>
      </c>
      <c r="K857" s="26" t="str">
        <f aca="false">IF(A857="","",DATE(YEAR(A857),MONTH(A857),1))</f>
        <v/>
      </c>
      <c r="L857" s="21" t="str">
        <f aca="false">IF(J857="",IF(B857="","",IF(N(C857)&gt;=0,"Income","Expense")),IFERROR(INDEX(Lists!$B$2:$B$30,MATCH(J857,Lists!$A$2:$A$30,0)),""))</f>
        <v/>
      </c>
      <c r="M857" s="24"/>
      <c r="N857" s="27" t="str">
        <f aca="false">IF(B857="","",IFERROR(1000-SUMPRODUCT(MAX(ISNUMBER(SEARCH(Rules!$A$5:$A$204,B857))*(Rules!$A$5:$A$204&lt;&gt;"")*(1000-ROW(Rules!$A$5:$A$204)))),""))</f>
        <v/>
      </c>
    </row>
    <row r="858" customFormat="false" ht="15" hidden="false" customHeight="false" outlineLevel="0" collapsed="false">
      <c r="A858" s="23"/>
      <c r="B858" s="24"/>
      <c r="C858" s="25"/>
      <c r="D858" s="24"/>
      <c r="E858" s="21" t="str">
        <f aca="false">IF(OR(B858="",N(N858)=0,N858=1000),IF(B858="","","Check"),INDEX(Rules!$B:$B,N858))</f>
        <v/>
      </c>
      <c r="F858" s="21" t="str">
        <f aca="false">IF(OR(B858="",N(N858)=0,N858=1000),"",INDEX(Rules!$C:$C,N858))</f>
        <v/>
      </c>
      <c r="G858" s="24"/>
      <c r="H858" s="24"/>
      <c r="I858" s="20" t="str">
        <f aca="false">IF(B858="","",IF(G858&lt;&gt;"",G858,E858))</f>
        <v/>
      </c>
      <c r="J858" s="21" t="str">
        <f aca="false">IF(B858="","",IF(H858&lt;&gt;"",H858,F858))</f>
        <v/>
      </c>
      <c r="K858" s="26" t="str">
        <f aca="false">IF(A858="","",DATE(YEAR(A858),MONTH(A858),1))</f>
        <v/>
      </c>
      <c r="L858" s="21" t="str">
        <f aca="false">IF(J858="",IF(B858="","",IF(N(C858)&gt;=0,"Income","Expense")),IFERROR(INDEX(Lists!$B$2:$B$30,MATCH(J858,Lists!$A$2:$A$30,0)),""))</f>
        <v/>
      </c>
      <c r="M858" s="24"/>
      <c r="N858" s="27" t="str">
        <f aca="false">IF(B858="","",IFERROR(1000-SUMPRODUCT(MAX(ISNUMBER(SEARCH(Rules!$A$5:$A$204,B858))*(Rules!$A$5:$A$204&lt;&gt;"")*(1000-ROW(Rules!$A$5:$A$204)))),""))</f>
        <v/>
      </c>
    </row>
    <row r="859" customFormat="false" ht="15" hidden="false" customHeight="false" outlineLevel="0" collapsed="false">
      <c r="A859" s="23"/>
      <c r="B859" s="24"/>
      <c r="C859" s="25"/>
      <c r="D859" s="24"/>
      <c r="E859" s="21" t="str">
        <f aca="false">IF(OR(B859="",N(N859)=0,N859=1000),IF(B859="","","Check"),INDEX(Rules!$B:$B,N859))</f>
        <v/>
      </c>
      <c r="F859" s="21" t="str">
        <f aca="false">IF(OR(B859="",N(N859)=0,N859=1000),"",INDEX(Rules!$C:$C,N859))</f>
        <v/>
      </c>
      <c r="G859" s="24"/>
      <c r="H859" s="24"/>
      <c r="I859" s="20" t="str">
        <f aca="false">IF(B859="","",IF(G859&lt;&gt;"",G859,E859))</f>
        <v/>
      </c>
      <c r="J859" s="21" t="str">
        <f aca="false">IF(B859="","",IF(H859&lt;&gt;"",H859,F859))</f>
        <v/>
      </c>
      <c r="K859" s="26" t="str">
        <f aca="false">IF(A859="","",DATE(YEAR(A859),MONTH(A859),1))</f>
        <v/>
      </c>
      <c r="L859" s="21" t="str">
        <f aca="false">IF(J859="",IF(B859="","",IF(N(C859)&gt;=0,"Income","Expense")),IFERROR(INDEX(Lists!$B$2:$B$30,MATCH(J859,Lists!$A$2:$A$30,0)),""))</f>
        <v/>
      </c>
      <c r="M859" s="24"/>
      <c r="N859" s="27" t="str">
        <f aca="false">IF(B859="","",IFERROR(1000-SUMPRODUCT(MAX(ISNUMBER(SEARCH(Rules!$A$5:$A$204,B859))*(Rules!$A$5:$A$204&lt;&gt;"")*(1000-ROW(Rules!$A$5:$A$204)))),""))</f>
        <v/>
      </c>
    </row>
    <row r="860" customFormat="false" ht="15" hidden="false" customHeight="false" outlineLevel="0" collapsed="false">
      <c r="A860" s="23"/>
      <c r="B860" s="24"/>
      <c r="C860" s="25"/>
      <c r="D860" s="24"/>
      <c r="E860" s="21" t="str">
        <f aca="false">IF(OR(B860="",N(N860)=0,N860=1000),IF(B860="","","Check"),INDEX(Rules!$B:$B,N860))</f>
        <v/>
      </c>
      <c r="F860" s="21" t="str">
        <f aca="false">IF(OR(B860="",N(N860)=0,N860=1000),"",INDEX(Rules!$C:$C,N860))</f>
        <v/>
      </c>
      <c r="G860" s="24"/>
      <c r="H860" s="24"/>
      <c r="I860" s="20" t="str">
        <f aca="false">IF(B860="","",IF(G860&lt;&gt;"",G860,E860))</f>
        <v/>
      </c>
      <c r="J860" s="21" t="str">
        <f aca="false">IF(B860="","",IF(H860&lt;&gt;"",H860,F860))</f>
        <v/>
      </c>
      <c r="K860" s="26" t="str">
        <f aca="false">IF(A860="","",DATE(YEAR(A860),MONTH(A860),1))</f>
        <v/>
      </c>
      <c r="L860" s="21" t="str">
        <f aca="false">IF(J860="",IF(B860="","",IF(N(C860)&gt;=0,"Income","Expense")),IFERROR(INDEX(Lists!$B$2:$B$30,MATCH(J860,Lists!$A$2:$A$30,0)),""))</f>
        <v/>
      </c>
      <c r="M860" s="24"/>
      <c r="N860" s="27" t="str">
        <f aca="false">IF(B860="","",IFERROR(1000-SUMPRODUCT(MAX(ISNUMBER(SEARCH(Rules!$A$5:$A$204,B860))*(Rules!$A$5:$A$204&lt;&gt;"")*(1000-ROW(Rules!$A$5:$A$204)))),""))</f>
        <v/>
      </c>
    </row>
    <row r="861" customFormat="false" ht="15" hidden="false" customHeight="false" outlineLevel="0" collapsed="false">
      <c r="A861" s="23"/>
      <c r="B861" s="24"/>
      <c r="C861" s="25"/>
      <c r="D861" s="24"/>
      <c r="E861" s="21" t="str">
        <f aca="false">IF(OR(B861="",N(N861)=0,N861=1000),IF(B861="","","Check"),INDEX(Rules!$B:$B,N861))</f>
        <v/>
      </c>
      <c r="F861" s="21" t="str">
        <f aca="false">IF(OR(B861="",N(N861)=0,N861=1000),"",INDEX(Rules!$C:$C,N861))</f>
        <v/>
      </c>
      <c r="G861" s="24"/>
      <c r="H861" s="24"/>
      <c r="I861" s="20" t="str">
        <f aca="false">IF(B861="","",IF(G861&lt;&gt;"",G861,E861))</f>
        <v/>
      </c>
      <c r="J861" s="21" t="str">
        <f aca="false">IF(B861="","",IF(H861&lt;&gt;"",H861,F861))</f>
        <v/>
      </c>
      <c r="K861" s="26" t="str">
        <f aca="false">IF(A861="","",DATE(YEAR(A861),MONTH(A861),1))</f>
        <v/>
      </c>
      <c r="L861" s="21" t="str">
        <f aca="false">IF(J861="",IF(B861="","",IF(N(C861)&gt;=0,"Income","Expense")),IFERROR(INDEX(Lists!$B$2:$B$30,MATCH(J861,Lists!$A$2:$A$30,0)),""))</f>
        <v/>
      </c>
      <c r="M861" s="24"/>
      <c r="N861" s="27" t="str">
        <f aca="false">IF(B861="","",IFERROR(1000-SUMPRODUCT(MAX(ISNUMBER(SEARCH(Rules!$A$5:$A$204,B861))*(Rules!$A$5:$A$204&lt;&gt;"")*(1000-ROW(Rules!$A$5:$A$204)))),""))</f>
        <v/>
      </c>
    </row>
    <row r="862" customFormat="false" ht="15" hidden="false" customHeight="false" outlineLevel="0" collapsed="false">
      <c r="A862" s="23"/>
      <c r="B862" s="24"/>
      <c r="C862" s="25"/>
      <c r="D862" s="24"/>
      <c r="E862" s="21" t="str">
        <f aca="false">IF(OR(B862="",N(N862)=0,N862=1000),IF(B862="","","Check"),INDEX(Rules!$B:$B,N862))</f>
        <v/>
      </c>
      <c r="F862" s="21" t="str">
        <f aca="false">IF(OR(B862="",N(N862)=0,N862=1000),"",INDEX(Rules!$C:$C,N862))</f>
        <v/>
      </c>
      <c r="G862" s="24"/>
      <c r="H862" s="24"/>
      <c r="I862" s="20" t="str">
        <f aca="false">IF(B862="","",IF(G862&lt;&gt;"",G862,E862))</f>
        <v/>
      </c>
      <c r="J862" s="21" t="str">
        <f aca="false">IF(B862="","",IF(H862&lt;&gt;"",H862,F862))</f>
        <v/>
      </c>
      <c r="K862" s="26" t="str">
        <f aca="false">IF(A862="","",DATE(YEAR(A862),MONTH(A862),1))</f>
        <v/>
      </c>
      <c r="L862" s="21" t="str">
        <f aca="false">IF(J862="",IF(B862="","",IF(N(C862)&gt;=0,"Income","Expense")),IFERROR(INDEX(Lists!$B$2:$B$30,MATCH(J862,Lists!$A$2:$A$30,0)),""))</f>
        <v/>
      </c>
      <c r="M862" s="24"/>
      <c r="N862" s="27" t="str">
        <f aca="false">IF(B862="","",IFERROR(1000-SUMPRODUCT(MAX(ISNUMBER(SEARCH(Rules!$A$5:$A$204,B862))*(Rules!$A$5:$A$204&lt;&gt;"")*(1000-ROW(Rules!$A$5:$A$204)))),""))</f>
        <v/>
      </c>
    </row>
    <row r="863" customFormat="false" ht="15" hidden="false" customHeight="false" outlineLevel="0" collapsed="false">
      <c r="A863" s="23"/>
      <c r="B863" s="24"/>
      <c r="C863" s="25"/>
      <c r="D863" s="24"/>
      <c r="E863" s="21" t="str">
        <f aca="false">IF(OR(B863="",N(N863)=0,N863=1000),IF(B863="","","Check"),INDEX(Rules!$B:$B,N863))</f>
        <v/>
      </c>
      <c r="F863" s="21" t="str">
        <f aca="false">IF(OR(B863="",N(N863)=0,N863=1000),"",INDEX(Rules!$C:$C,N863))</f>
        <v/>
      </c>
      <c r="G863" s="24"/>
      <c r="H863" s="24"/>
      <c r="I863" s="20" t="str">
        <f aca="false">IF(B863="","",IF(G863&lt;&gt;"",G863,E863))</f>
        <v/>
      </c>
      <c r="J863" s="21" t="str">
        <f aca="false">IF(B863="","",IF(H863&lt;&gt;"",H863,F863))</f>
        <v/>
      </c>
      <c r="K863" s="26" t="str">
        <f aca="false">IF(A863="","",DATE(YEAR(A863),MONTH(A863),1))</f>
        <v/>
      </c>
      <c r="L863" s="21" t="str">
        <f aca="false">IF(J863="",IF(B863="","",IF(N(C863)&gt;=0,"Income","Expense")),IFERROR(INDEX(Lists!$B$2:$B$30,MATCH(J863,Lists!$A$2:$A$30,0)),""))</f>
        <v/>
      </c>
      <c r="M863" s="24"/>
      <c r="N863" s="27" t="str">
        <f aca="false">IF(B863="","",IFERROR(1000-SUMPRODUCT(MAX(ISNUMBER(SEARCH(Rules!$A$5:$A$204,B863))*(Rules!$A$5:$A$204&lt;&gt;"")*(1000-ROW(Rules!$A$5:$A$204)))),""))</f>
        <v/>
      </c>
    </row>
    <row r="864" customFormat="false" ht="15" hidden="false" customHeight="false" outlineLevel="0" collapsed="false">
      <c r="A864" s="23"/>
      <c r="B864" s="24"/>
      <c r="C864" s="25"/>
      <c r="D864" s="24"/>
      <c r="E864" s="21" t="str">
        <f aca="false">IF(OR(B864="",N(N864)=0,N864=1000),IF(B864="","","Check"),INDEX(Rules!$B:$B,N864))</f>
        <v/>
      </c>
      <c r="F864" s="21" t="str">
        <f aca="false">IF(OR(B864="",N(N864)=0,N864=1000),"",INDEX(Rules!$C:$C,N864))</f>
        <v/>
      </c>
      <c r="G864" s="24"/>
      <c r="H864" s="24"/>
      <c r="I864" s="20" t="str">
        <f aca="false">IF(B864="","",IF(G864&lt;&gt;"",G864,E864))</f>
        <v/>
      </c>
      <c r="J864" s="21" t="str">
        <f aca="false">IF(B864="","",IF(H864&lt;&gt;"",H864,F864))</f>
        <v/>
      </c>
      <c r="K864" s="26" t="str">
        <f aca="false">IF(A864="","",DATE(YEAR(A864),MONTH(A864),1))</f>
        <v/>
      </c>
      <c r="L864" s="21" t="str">
        <f aca="false">IF(J864="",IF(B864="","",IF(N(C864)&gt;=0,"Income","Expense")),IFERROR(INDEX(Lists!$B$2:$B$30,MATCH(J864,Lists!$A$2:$A$30,0)),""))</f>
        <v/>
      </c>
      <c r="M864" s="24"/>
      <c r="N864" s="27" t="str">
        <f aca="false">IF(B864="","",IFERROR(1000-SUMPRODUCT(MAX(ISNUMBER(SEARCH(Rules!$A$5:$A$204,B864))*(Rules!$A$5:$A$204&lt;&gt;"")*(1000-ROW(Rules!$A$5:$A$204)))),""))</f>
        <v/>
      </c>
    </row>
    <row r="865" customFormat="false" ht="15" hidden="false" customHeight="false" outlineLevel="0" collapsed="false">
      <c r="A865" s="23"/>
      <c r="B865" s="24"/>
      <c r="C865" s="25"/>
      <c r="D865" s="24"/>
      <c r="E865" s="21" t="str">
        <f aca="false">IF(OR(B865="",N(N865)=0,N865=1000),IF(B865="","","Check"),INDEX(Rules!$B:$B,N865))</f>
        <v/>
      </c>
      <c r="F865" s="21" t="str">
        <f aca="false">IF(OR(B865="",N(N865)=0,N865=1000),"",INDEX(Rules!$C:$C,N865))</f>
        <v/>
      </c>
      <c r="G865" s="24"/>
      <c r="H865" s="24"/>
      <c r="I865" s="20" t="str">
        <f aca="false">IF(B865="","",IF(G865&lt;&gt;"",G865,E865))</f>
        <v/>
      </c>
      <c r="J865" s="21" t="str">
        <f aca="false">IF(B865="","",IF(H865&lt;&gt;"",H865,F865))</f>
        <v/>
      </c>
      <c r="K865" s="26" t="str">
        <f aca="false">IF(A865="","",DATE(YEAR(A865),MONTH(A865),1))</f>
        <v/>
      </c>
      <c r="L865" s="21" t="str">
        <f aca="false">IF(J865="",IF(B865="","",IF(N(C865)&gt;=0,"Income","Expense")),IFERROR(INDEX(Lists!$B$2:$B$30,MATCH(J865,Lists!$A$2:$A$30,0)),""))</f>
        <v/>
      </c>
      <c r="M865" s="24"/>
      <c r="N865" s="27" t="str">
        <f aca="false">IF(B865="","",IFERROR(1000-SUMPRODUCT(MAX(ISNUMBER(SEARCH(Rules!$A$5:$A$204,B865))*(Rules!$A$5:$A$204&lt;&gt;"")*(1000-ROW(Rules!$A$5:$A$204)))),""))</f>
        <v/>
      </c>
    </row>
    <row r="866" customFormat="false" ht="15" hidden="false" customHeight="false" outlineLevel="0" collapsed="false">
      <c r="A866" s="23"/>
      <c r="B866" s="24"/>
      <c r="C866" s="25"/>
      <c r="D866" s="24"/>
      <c r="E866" s="21" t="str">
        <f aca="false">IF(OR(B866="",N(N866)=0,N866=1000),IF(B866="","","Check"),INDEX(Rules!$B:$B,N866))</f>
        <v/>
      </c>
      <c r="F866" s="21" t="str">
        <f aca="false">IF(OR(B866="",N(N866)=0,N866=1000),"",INDEX(Rules!$C:$C,N866))</f>
        <v/>
      </c>
      <c r="G866" s="24"/>
      <c r="H866" s="24"/>
      <c r="I866" s="20" t="str">
        <f aca="false">IF(B866="","",IF(G866&lt;&gt;"",G866,E866))</f>
        <v/>
      </c>
      <c r="J866" s="21" t="str">
        <f aca="false">IF(B866="","",IF(H866&lt;&gt;"",H866,F866))</f>
        <v/>
      </c>
      <c r="K866" s="26" t="str">
        <f aca="false">IF(A866="","",DATE(YEAR(A866),MONTH(A866),1))</f>
        <v/>
      </c>
      <c r="L866" s="21" t="str">
        <f aca="false">IF(J866="",IF(B866="","",IF(N(C866)&gt;=0,"Income","Expense")),IFERROR(INDEX(Lists!$B$2:$B$30,MATCH(J866,Lists!$A$2:$A$30,0)),""))</f>
        <v/>
      </c>
      <c r="M866" s="24"/>
      <c r="N866" s="27" t="str">
        <f aca="false">IF(B866="","",IFERROR(1000-SUMPRODUCT(MAX(ISNUMBER(SEARCH(Rules!$A$5:$A$204,B866))*(Rules!$A$5:$A$204&lt;&gt;"")*(1000-ROW(Rules!$A$5:$A$204)))),""))</f>
        <v/>
      </c>
    </row>
    <row r="867" customFormat="false" ht="15" hidden="false" customHeight="false" outlineLevel="0" collapsed="false">
      <c r="A867" s="23"/>
      <c r="B867" s="24"/>
      <c r="C867" s="25"/>
      <c r="D867" s="24"/>
      <c r="E867" s="21" t="str">
        <f aca="false">IF(OR(B867="",N(N867)=0,N867=1000),IF(B867="","","Check"),INDEX(Rules!$B:$B,N867))</f>
        <v/>
      </c>
      <c r="F867" s="21" t="str">
        <f aca="false">IF(OR(B867="",N(N867)=0,N867=1000),"",INDEX(Rules!$C:$C,N867))</f>
        <v/>
      </c>
      <c r="G867" s="24"/>
      <c r="H867" s="24"/>
      <c r="I867" s="20" t="str">
        <f aca="false">IF(B867="","",IF(G867&lt;&gt;"",G867,E867))</f>
        <v/>
      </c>
      <c r="J867" s="21" t="str">
        <f aca="false">IF(B867="","",IF(H867&lt;&gt;"",H867,F867))</f>
        <v/>
      </c>
      <c r="K867" s="26" t="str">
        <f aca="false">IF(A867="","",DATE(YEAR(A867),MONTH(A867),1))</f>
        <v/>
      </c>
      <c r="L867" s="21" t="str">
        <f aca="false">IF(J867="",IF(B867="","",IF(N(C867)&gt;=0,"Income","Expense")),IFERROR(INDEX(Lists!$B$2:$B$30,MATCH(J867,Lists!$A$2:$A$30,0)),""))</f>
        <v/>
      </c>
      <c r="M867" s="24"/>
      <c r="N867" s="27" t="str">
        <f aca="false">IF(B867="","",IFERROR(1000-SUMPRODUCT(MAX(ISNUMBER(SEARCH(Rules!$A$5:$A$204,B867))*(Rules!$A$5:$A$204&lt;&gt;"")*(1000-ROW(Rules!$A$5:$A$204)))),""))</f>
        <v/>
      </c>
    </row>
    <row r="868" customFormat="false" ht="15" hidden="false" customHeight="false" outlineLevel="0" collapsed="false">
      <c r="A868" s="23"/>
      <c r="B868" s="24"/>
      <c r="C868" s="25"/>
      <c r="D868" s="24"/>
      <c r="E868" s="21" t="str">
        <f aca="false">IF(OR(B868="",N(N868)=0,N868=1000),IF(B868="","","Check"),INDEX(Rules!$B:$B,N868))</f>
        <v/>
      </c>
      <c r="F868" s="21" t="str">
        <f aca="false">IF(OR(B868="",N(N868)=0,N868=1000),"",INDEX(Rules!$C:$C,N868))</f>
        <v/>
      </c>
      <c r="G868" s="24"/>
      <c r="H868" s="24"/>
      <c r="I868" s="20" t="str">
        <f aca="false">IF(B868="","",IF(G868&lt;&gt;"",G868,E868))</f>
        <v/>
      </c>
      <c r="J868" s="21" t="str">
        <f aca="false">IF(B868="","",IF(H868&lt;&gt;"",H868,F868))</f>
        <v/>
      </c>
      <c r="K868" s="26" t="str">
        <f aca="false">IF(A868="","",DATE(YEAR(A868),MONTH(A868),1))</f>
        <v/>
      </c>
      <c r="L868" s="21" t="str">
        <f aca="false">IF(J868="",IF(B868="","",IF(N(C868)&gt;=0,"Income","Expense")),IFERROR(INDEX(Lists!$B$2:$B$30,MATCH(J868,Lists!$A$2:$A$30,0)),""))</f>
        <v/>
      </c>
      <c r="M868" s="24"/>
      <c r="N868" s="27" t="str">
        <f aca="false">IF(B868="","",IFERROR(1000-SUMPRODUCT(MAX(ISNUMBER(SEARCH(Rules!$A$5:$A$204,B868))*(Rules!$A$5:$A$204&lt;&gt;"")*(1000-ROW(Rules!$A$5:$A$204)))),""))</f>
        <v/>
      </c>
    </row>
    <row r="869" customFormat="false" ht="15" hidden="false" customHeight="false" outlineLevel="0" collapsed="false">
      <c r="A869" s="23"/>
      <c r="B869" s="24"/>
      <c r="C869" s="25"/>
      <c r="D869" s="24"/>
      <c r="E869" s="21" t="str">
        <f aca="false">IF(OR(B869="",N(N869)=0,N869=1000),IF(B869="","","Check"),INDEX(Rules!$B:$B,N869))</f>
        <v/>
      </c>
      <c r="F869" s="21" t="str">
        <f aca="false">IF(OR(B869="",N(N869)=0,N869=1000),"",INDEX(Rules!$C:$C,N869))</f>
        <v/>
      </c>
      <c r="G869" s="24"/>
      <c r="H869" s="24"/>
      <c r="I869" s="20" t="str">
        <f aca="false">IF(B869="","",IF(G869&lt;&gt;"",G869,E869))</f>
        <v/>
      </c>
      <c r="J869" s="21" t="str">
        <f aca="false">IF(B869="","",IF(H869&lt;&gt;"",H869,F869))</f>
        <v/>
      </c>
      <c r="K869" s="26" t="str">
        <f aca="false">IF(A869="","",DATE(YEAR(A869),MONTH(A869),1))</f>
        <v/>
      </c>
      <c r="L869" s="21" t="str">
        <f aca="false">IF(J869="",IF(B869="","",IF(N(C869)&gt;=0,"Income","Expense")),IFERROR(INDEX(Lists!$B$2:$B$30,MATCH(J869,Lists!$A$2:$A$30,0)),""))</f>
        <v/>
      </c>
      <c r="M869" s="24"/>
      <c r="N869" s="27" t="str">
        <f aca="false">IF(B869="","",IFERROR(1000-SUMPRODUCT(MAX(ISNUMBER(SEARCH(Rules!$A$5:$A$204,B869))*(Rules!$A$5:$A$204&lt;&gt;"")*(1000-ROW(Rules!$A$5:$A$204)))),""))</f>
        <v/>
      </c>
    </row>
    <row r="870" customFormat="false" ht="15" hidden="false" customHeight="false" outlineLevel="0" collapsed="false">
      <c r="A870" s="23"/>
      <c r="B870" s="24"/>
      <c r="C870" s="25"/>
      <c r="D870" s="24"/>
      <c r="E870" s="21" t="str">
        <f aca="false">IF(OR(B870="",N(N870)=0,N870=1000),IF(B870="","","Check"),INDEX(Rules!$B:$B,N870))</f>
        <v/>
      </c>
      <c r="F870" s="21" t="str">
        <f aca="false">IF(OR(B870="",N(N870)=0,N870=1000),"",INDEX(Rules!$C:$C,N870))</f>
        <v/>
      </c>
      <c r="G870" s="24"/>
      <c r="H870" s="24"/>
      <c r="I870" s="20" t="str">
        <f aca="false">IF(B870="","",IF(G870&lt;&gt;"",G870,E870))</f>
        <v/>
      </c>
      <c r="J870" s="21" t="str">
        <f aca="false">IF(B870="","",IF(H870&lt;&gt;"",H870,F870))</f>
        <v/>
      </c>
      <c r="K870" s="26" t="str">
        <f aca="false">IF(A870="","",DATE(YEAR(A870),MONTH(A870),1))</f>
        <v/>
      </c>
      <c r="L870" s="21" t="str">
        <f aca="false">IF(J870="",IF(B870="","",IF(N(C870)&gt;=0,"Income","Expense")),IFERROR(INDEX(Lists!$B$2:$B$30,MATCH(J870,Lists!$A$2:$A$30,0)),""))</f>
        <v/>
      </c>
      <c r="M870" s="24"/>
      <c r="N870" s="27" t="str">
        <f aca="false">IF(B870="","",IFERROR(1000-SUMPRODUCT(MAX(ISNUMBER(SEARCH(Rules!$A$5:$A$204,B870))*(Rules!$A$5:$A$204&lt;&gt;"")*(1000-ROW(Rules!$A$5:$A$204)))),""))</f>
        <v/>
      </c>
    </row>
    <row r="871" customFormat="false" ht="15" hidden="false" customHeight="false" outlineLevel="0" collapsed="false">
      <c r="A871" s="23"/>
      <c r="B871" s="24"/>
      <c r="C871" s="25"/>
      <c r="D871" s="24"/>
      <c r="E871" s="21" t="str">
        <f aca="false">IF(OR(B871="",N(N871)=0,N871=1000),IF(B871="","","Check"),INDEX(Rules!$B:$B,N871))</f>
        <v/>
      </c>
      <c r="F871" s="21" t="str">
        <f aca="false">IF(OR(B871="",N(N871)=0,N871=1000),"",INDEX(Rules!$C:$C,N871))</f>
        <v/>
      </c>
      <c r="G871" s="24"/>
      <c r="H871" s="24"/>
      <c r="I871" s="20" t="str">
        <f aca="false">IF(B871="","",IF(G871&lt;&gt;"",G871,E871))</f>
        <v/>
      </c>
      <c r="J871" s="21" t="str">
        <f aca="false">IF(B871="","",IF(H871&lt;&gt;"",H871,F871))</f>
        <v/>
      </c>
      <c r="K871" s="26" t="str">
        <f aca="false">IF(A871="","",DATE(YEAR(A871),MONTH(A871),1))</f>
        <v/>
      </c>
      <c r="L871" s="21" t="str">
        <f aca="false">IF(J871="",IF(B871="","",IF(N(C871)&gt;=0,"Income","Expense")),IFERROR(INDEX(Lists!$B$2:$B$30,MATCH(J871,Lists!$A$2:$A$30,0)),""))</f>
        <v/>
      </c>
      <c r="M871" s="24"/>
      <c r="N871" s="27" t="str">
        <f aca="false">IF(B871="","",IFERROR(1000-SUMPRODUCT(MAX(ISNUMBER(SEARCH(Rules!$A$5:$A$204,B871))*(Rules!$A$5:$A$204&lt;&gt;"")*(1000-ROW(Rules!$A$5:$A$204)))),""))</f>
        <v/>
      </c>
    </row>
    <row r="872" customFormat="false" ht="15" hidden="false" customHeight="false" outlineLevel="0" collapsed="false">
      <c r="A872" s="23"/>
      <c r="B872" s="24"/>
      <c r="C872" s="25"/>
      <c r="D872" s="24"/>
      <c r="E872" s="21" t="str">
        <f aca="false">IF(OR(B872="",N(N872)=0,N872=1000),IF(B872="","","Check"),INDEX(Rules!$B:$B,N872))</f>
        <v/>
      </c>
      <c r="F872" s="21" t="str">
        <f aca="false">IF(OR(B872="",N(N872)=0,N872=1000),"",INDEX(Rules!$C:$C,N872))</f>
        <v/>
      </c>
      <c r="G872" s="24"/>
      <c r="H872" s="24"/>
      <c r="I872" s="20" t="str">
        <f aca="false">IF(B872="","",IF(G872&lt;&gt;"",G872,E872))</f>
        <v/>
      </c>
      <c r="J872" s="21" t="str">
        <f aca="false">IF(B872="","",IF(H872&lt;&gt;"",H872,F872))</f>
        <v/>
      </c>
      <c r="K872" s="26" t="str">
        <f aca="false">IF(A872="","",DATE(YEAR(A872),MONTH(A872),1))</f>
        <v/>
      </c>
      <c r="L872" s="21" t="str">
        <f aca="false">IF(J872="",IF(B872="","",IF(N(C872)&gt;=0,"Income","Expense")),IFERROR(INDEX(Lists!$B$2:$B$30,MATCH(J872,Lists!$A$2:$A$30,0)),""))</f>
        <v/>
      </c>
      <c r="M872" s="24"/>
      <c r="N872" s="27" t="str">
        <f aca="false">IF(B872="","",IFERROR(1000-SUMPRODUCT(MAX(ISNUMBER(SEARCH(Rules!$A$5:$A$204,B872))*(Rules!$A$5:$A$204&lt;&gt;"")*(1000-ROW(Rules!$A$5:$A$204)))),""))</f>
        <v/>
      </c>
    </row>
    <row r="873" customFormat="false" ht="15" hidden="false" customHeight="false" outlineLevel="0" collapsed="false">
      <c r="A873" s="23"/>
      <c r="B873" s="24"/>
      <c r="C873" s="25"/>
      <c r="D873" s="24"/>
      <c r="E873" s="21" t="str">
        <f aca="false">IF(OR(B873="",N(N873)=0,N873=1000),IF(B873="","","Check"),INDEX(Rules!$B:$B,N873))</f>
        <v/>
      </c>
      <c r="F873" s="21" t="str">
        <f aca="false">IF(OR(B873="",N(N873)=0,N873=1000),"",INDEX(Rules!$C:$C,N873))</f>
        <v/>
      </c>
      <c r="G873" s="24"/>
      <c r="H873" s="24"/>
      <c r="I873" s="20" t="str">
        <f aca="false">IF(B873="","",IF(G873&lt;&gt;"",G873,E873))</f>
        <v/>
      </c>
      <c r="J873" s="21" t="str">
        <f aca="false">IF(B873="","",IF(H873&lt;&gt;"",H873,F873))</f>
        <v/>
      </c>
      <c r="K873" s="26" t="str">
        <f aca="false">IF(A873="","",DATE(YEAR(A873),MONTH(A873),1))</f>
        <v/>
      </c>
      <c r="L873" s="21" t="str">
        <f aca="false">IF(J873="",IF(B873="","",IF(N(C873)&gt;=0,"Income","Expense")),IFERROR(INDEX(Lists!$B$2:$B$30,MATCH(J873,Lists!$A$2:$A$30,0)),""))</f>
        <v/>
      </c>
      <c r="M873" s="24"/>
      <c r="N873" s="27" t="str">
        <f aca="false">IF(B873="","",IFERROR(1000-SUMPRODUCT(MAX(ISNUMBER(SEARCH(Rules!$A$5:$A$204,B873))*(Rules!$A$5:$A$204&lt;&gt;"")*(1000-ROW(Rules!$A$5:$A$204)))),""))</f>
        <v/>
      </c>
    </row>
    <row r="874" customFormat="false" ht="15" hidden="false" customHeight="false" outlineLevel="0" collapsed="false">
      <c r="A874" s="23"/>
      <c r="B874" s="24"/>
      <c r="C874" s="25"/>
      <c r="D874" s="24"/>
      <c r="E874" s="21" t="str">
        <f aca="false">IF(OR(B874="",N(N874)=0,N874=1000),IF(B874="","","Check"),INDEX(Rules!$B:$B,N874))</f>
        <v/>
      </c>
      <c r="F874" s="21" t="str">
        <f aca="false">IF(OR(B874="",N(N874)=0,N874=1000),"",INDEX(Rules!$C:$C,N874))</f>
        <v/>
      </c>
      <c r="G874" s="24"/>
      <c r="H874" s="24"/>
      <c r="I874" s="20" t="str">
        <f aca="false">IF(B874="","",IF(G874&lt;&gt;"",G874,E874))</f>
        <v/>
      </c>
      <c r="J874" s="21" t="str">
        <f aca="false">IF(B874="","",IF(H874&lt;&gt;"",H874,F874))</f>
        <v/>
      </c>
      <c r="K874" s="26" t="str">
        <f aca="false">IF(A874="","",DATE(YEAR(A874),MONTH(A874),1))</f>
        <v/>
      </c>
      <c r="L874" s="21" t="str">
        <f aca="false">IF(J874="",IF(B874="","",IF(N(C874)&gt;=0,"Income","Expense")),IFERROR(INDEX(Lists!$B$2:$B$30,MATCH(J874,Lists!$A$2:$A$30,0)),""))</f>
        <v/>
      </c>
      <c r="M874" s="24"/>
      <c r="N874" s="27" t="str">
        <f aca="false">IF(B874="","",IFERROR(1000-SUMPRODUCT(MAX(ISNUMBER(SEARCH(Rules!$A$5:$A$204,B874))*(Rules!$A$5:$A$204&lt;&gt;"")*(1000-ROW(Rules!$A$5:$A$204)))),""))</f>
        <v/>
      </c>
    </row>
    <row r="875" customFormat="false" ht="15" hidden="false" customHeight="false" outlineLevel="0" collapsed="false">
      <c r="A875" s="23"/>
      <c r="B875" s="24"/>
      <c r="C875" s="25"/>
      <c r="D875" s="24"/>
      <c r="E875" s="21" t="str">
        <f aca="false">IF(OR(B875="",N(N875)=0,N875=1000),IF(B875="","","Check"),INDEX(Rules!$B:$B,N875))</f>
        <v/>
      </c>
      <c r="F875" s="21" t="str">
        <f aca="false">IF(OR(B875="",N(N875)=0,N875=1000),"",INDEX(Rules!$C:$C,N875))</f>
        <v/>
      </c>
      <c r="G875" s="24"/>
      <c r="H875" s="24"/>
      <c r="I875" s="20" t="str">
        <f aca="false">IF(B875="","",IF(G875&lt;&gt;"",G875,E875))</f>
        <v/>
      </c>
      <c r="J875" s="21" t="str">
        <f aca="false">IF(B875="","",IF(H875&lt;&gt;"",H875,F875))</f>
        <v/>
      </c>
      <c r="K875" s="26" t="str">
        <f aca="false">IF(A875="","",DATE(YEAR(A875),MONTH(A875),1))</f>
        <v/>
      </c>
      <c r="L875" s="21" t="str">
        <f aca="false">IF(J875="",IF(B875="","",IF(N(C875)&gt;=0,"Income","Expense")),IFERROR(INDEX(Lists!$B$2:$B$30,MATCH(J875,Lists!$A$2:$A$30,0)),""))</f>
        <v/>
      </c>
      <c r="M875" s="24"/>
      <c r="N875" s="27" t="str">
        <f aca="false">IF(B875="","",IFERROR(1000-SUMPRODUCT(MAX(ISNUMBER(SEARCH(Rules!$A$5:$A$204,B875))*(Rules!$A$5:$A$204&lt;&gt;"")*(1000-ROW(Rules!$A$5:$A$204)))),""))</f>
        <v/>
      </c>
    </row>
    <row r="876" customFormat="false" ht="15" hidden="false" customHeight="false" outlineLevel="0" collapsed="false">
      <c r="A876" s="23"/>
      <c r="B876" s="24"/>
      <c r="C876" s="25"/>
      <c r="D876" s="24"/>
      <c r="E876" s="21" t="str">
        <f aca="false">IF(OR(B876="",N(N876)=0,N876=1000),IF(B876="","","Check"),INDEX(Rules!$B:$B,N876))</f>
        <v/>
      </c>
      <c r="F876" s="21" t="str">
        <f aca="false">IF(OR(B876="",N(N876)=0,N876=1000),"",INDEX(Rules!$C:$C,N876))</f>
        <v/>
      </c>
      <c r="G876" s="24"/>
      <c r="H876" s="24"/>
      <c r="I876" s="20" t="str">
        <f aca="false">IF(B876="","",IF(G876&lt;&gt;"",G876,E876))</f>
        <v/>
      </c>
      <c r="J876" s="21" t="str">
        <f aca="false">IF(B876="","",IF(H876&lt;&gt;"",H876,F876))</f>
        <v/>
      </c>
      <c r="K876" s="26" t="str">
        <f aca="false">IF(A876="","",DATE(YEAR(A876),MONTH(A876),1))</f>
        <v/>
      </c>
      <c r="L876" s="21" t="str">
        <f aca="false">IF(J876="",IF(B876="","",IF(N(C876)&gt;=0,"Income","Expense")),IFERROR(INDEX(Lists!$B$2:$B$30,MATCH(J876,Lists!$A$2:$A$30,0)),""))</f>
        <v/>
      </c>
      <c r="M876" s="24"/>
      <c r="N876" s="27" t="str">
        <f aca="false">IF(B876="","",IFERROR(1000-SUMPRODUCT(MAX(ISNUMBER(SEARCH(Rules!$A$5:$A$204,B876))*(Rules!$A$5:$A$204&lt;&gt;"")*(1000-ROW(Rules!$A$5:$A$204)))),""))</f>
        <v/>
      </c>
    </row>
    <row r="877" customFormat="false" ht="15" hidden="false" customHeight="false" outlineLevel="0" collapsed="false">
      <c r="A877" s="23"/>
      <c r="B877" s="24"/>
      <c r="C877" s="25"/>
      <c r="D877" s="24"/>
      <c r="E877" s="21" t="str">
        <f aca="false">IF(OR(B877="",N(N877)=0,N877=1000),IF(B877="","","Check"),INDEX(Rules!$B:$B,N877))</f>
        <v/>
      </c>
      <c r="F877" s="21" t="str">
        <f aca="false">IF(OR(B877="",N(N877)=0,N877=1000),"",INDEX(Rules!$C:$C,N877))</f>
        <v/>
      </c>
      <c r="G877" s="24"/>
      <c r="H877" s="24"/>
      <c r="I877" s="20" t="str">
        <f aca="false">IF(B877="","",IF(G877&lt;&gt;"",G877,E877))</f>
        <v/>
      </c>
      <c r="J877" s="21" t="str">
        <f aca="false">IF(B877="","",IF(H877&lt;&gt;"",H877,F877))</f>
        <v/>
      </c>
      <c r="K877" s="26" t="str">
        <f aca="false">IF(A877="","",DATE(YEAR(A877),MONTH(A877),1))</f>
        <v/>
      </c>
      <c r="L877" s="21" t="str">
        <f aca="false">IF(J877="",IF(B877="","",IF(N(C877)&gt;=0,"Income","Expense")),IFERROR(INDEX(Lists!$B$2:$B$30,MATCH(J877,Lists!$A$2:$A$30,0)),""))</f>
        <v/>
      </c>
      <c r="M877" s="24"/>
      <c r="N877" s="27" t="str">
        <f aca="false">IF(B877="","",IFERROR(1000-SUMPRODUCT(MAX(ISNUMBER(SEARCH(Rules!$A$5:$A$204,B877))*(Rules!$A$5:$A$204&lt;&gt;"")*(1000-ROW(Rules!$A$5:$A$204)))),""))</f>
        <v/>
      </c>
    </row>
    <row r="878" customFormat="false" ht="15" hidden="false" customHeight="false" outlineLevel="0" collapsed="false">
      <c r="A878" s="23"/>
      <c r="B878" s="24"/>
      <c r="C878" s="25"/>
      <c r="D878" s="24"/>
      <c r="E878" s="21" t="str">
        <f aca="false">IF(OR(B878="",N(N878)=0,N878=1000),IF(B878="","","Check"),INDEX(Rules!$B:$B,N878))</f>
        <v/>
      </c>
      <c r="F878" s="21" t="str">
        <f aca="false">IF(OR(B878="",N(N878)=0,N878=1000),"",INDEX(Rules!$C:$C,N878))</f>
        <v/>
      </c>
      <c r="G878" s="24"/>
      <c r="H878" s="24"/>
      <c r="I878" s="20" t="str">
        <f aca="false">IF(B878="","",IF(G878&lt;&gt;"",G878,E878))</f>
        <v/>
      </c>
      <c r="J878" s="21" t="str">
        <f aca="false">IF(B878="","",IF(H878&lt;&gt;"",H878,F878))</f>
        <v/>
      </c>
      <c r="K878" s="26" t="str">
        <f aca="false">IF(A878="","",DATE(YEAR(A878),MONTH(A878),1))</f>
        <v/>
      </c>
      <c r="L878" s="21" t="str">
        <f aca="false">IF(J878="",IF(B878="","",IF(N(C878)&gt;=0,"Income","Expense")),IFERROR(INDEX(Lists!$B$2:$B$30,MATCH(J878,Lists!$A$2:$A$30,0)),""))</f>
        <v/>
      </c>
      <c r="M878" s="24"/>
      <c r="N878" s="27" t="str">
        <f aca="false">IF(B878="","",IFERROR(1000-SUMPRODUCT(MAX(ISNUMBER(SEARCH(Rules!$A$5:$A$204,B878))*(Rules!$A$5:$A$204&lt;&gt;"")*(1000-ROW(Rules!$A$5:$A$204)))),""))</f>
        <v/>
      </c>
    </row>
    <row r="879" customFormat="false" ht="15" hidden="false" customHeight="false" outlineLevel="0" collapsed="false">
      <c r="A879" s="23"/>
      <c r="B879" s="24"/>
      <c r="C879" s="25"/>
      <c r="D879" s="24"/>
      <c r="E879" s="21" t="str">
        <f aca="false">IF(OR(B879="",N(N879)=0,N879=1000),IF(B879="","","Check"),INDEX(Rules!$B:$B,N879))</f>
        <v/>
      </c>
      <c r="F879" s="21" t="str">
        <f aca="false">IF(OR(B879="",N(N879)=0,N879=1000),"",INDEX(Rules!$C:$C,N879))</f>
        <v/>
      </c>
      <c r="G879" s="24"/>
      <c r="H879" s="24"/>
      <c r="I879" s="20" t="str">
        <f aca="false">IF(B879="","",IF(G879&lt;&gt;"",G879,E879))</f>
        <v/>
      </c>
      <c r="J879" s="21" t="str">
        <f aca="false">IF(B879="","",IF(H879&lt;&gt;"",H879,F879))</f>
        <v/>
      </c>
      <c r="K879" s="26" t="str">
        <f aca="false">IF(A879="","",DATE(YEAR(A879),MONTH(A879),1))</f>
        <v/>
      </c>
      <c r="L879" s="21" t="str">
        <f aca="false">IF(J879="",IF(B879="","",IF(N(C879)&gt;=0,"Income","Expense")),IFERROR(INDEX(Lists!$B$2:$B$30,MATCH(J879,Lists!$A$2:$A$30,0)),""))</f>
        <v/>
      </c>
      <c r="M879" s="24"/>
      <c r="N879" s="27" t="str">
        <f aca="false">IF(B879="","",IFERROR(1000-SUMPRODUCT(MAX(ISNUMBER(SEARCH(Rules!$A$5:$A$204,B879))*(Rules!$A$5:$A$204&lt;&gt;"")*(1000-ROW(Rules!$A$5:$A$204)))),""))</f>
        <v/>
      </c>
    </row>
    <row r="880" customFormat="false" ht="15" hidden="false" customHeight="false" outlineLevel="0" collapsed="false">
      <c r="A880" s="23"/>
      <c r="B880" s="24"/>
      <c r="C880" s="25"/>
      <c r="D880" s="24"/>
      <c r="E880" s="21" t="str">
        <f aca="false">IF(OR(B880="",N(N880)=0,N880=1000),IF(B880="","","Check"),INDEX(Rules!$B:$B,N880))</f>
        <v/>
      </c>
      <c r="F880" s="21" t="str">
        <f aca="false">IF(OR(B880="",N(N880)=0,N880=1000),"",INDEX(Rules!$C:$C,N880))</f>
        <v/>
      </c>
      <c r="G880" s="24"/>
      <c r="H880" s="24"/>
      <c r="I880" s="20" t="str">
        <f aca="false">IF(B880="","",IF(G880&lt;&gt;"",G880,E880))</f>
        <v/>
      </c>
      <c r="J880" s="21" t="str">
        <f aca="false">IF(B880="","",IF(H880&lt;&gt;"",H880,F880))</f>
        <v/>
      </c>
      <c r="K880" s="26" t="str">
        <f aca="false">IF(A880="","",DATE(YEAR(A880),MONTH(A880),1))</f>
        <v/>
      </c>
      <c r="L880" s="21" t="str">
        <f aca="false">IF(J880="",IF(B880="","",IF(N(C880)&gt;=0,"Income","Expense")),IFERROR(INDEX(Lists!$B$2:$B$30,MATCH(J880,Lists!$A$2:$A$30,0)),""))</f>
        <v/>
      </c>
      <c r="M880" s="24"/>
      <c r="N880" s="27" t="str">
        <f aca="false">IF(B880="","",IFERROR(1000-SUMPRODUCT(MAX(ISNUMBER(SEARCH(Rules!$A$5:$A$204,B880))*(Rules!$A$5:$A$204&lt;&gt;"")*(1000-ROW(Rules!$A$5:$A$204)))),""))</f>
        <v/>
      </c>
    </row>
    <row r="881" customFormat="false" ht="15" hidden="false" customHeight="false" outlineLevel="0" collapsed="false">
      <c r="A881" s="23"/>
      <c r="B881" s="24"/>
      <c r="C881" s="25"/>
      <c r="D881" s="24"/>
      <c r="E881" s="21" t="str">
        <f aca="false">IF(OR(B881="",N(N881)=0,N881=1000),IF(B881="","","Check"),INDEX(Rules!$B:$B,N881))</f>
        <v/>
      </c>
      <c r="F881" s="21" t="str">
        <f aca="false">IF(OR(B881="",N(N881)=0,N881=1000),"",INDEX(Rules!$C:$C,N881))</f>
        <v/>
      </c>
      <c r="G881" s="24"/>
      <c r="H881" s="24"/>
      <c r="I881" s="20" t="str">
        <f aca="false">IF(B881="","",IF(G881&lt;&gt;"",G881,E881))</f>
        <v/>
      </c>
      <c r="J881" s="21" t="str">
        <f aca="false">IF(B881="","",IF(H881&lt;&gt;"",H881,F881))</f>
        <v/>
      </c>
      <c r="K881" s="26" t="str">
        <f aca="false">IF(A881="","",DATE(YEAR(A881),MONTH(A881),1))</f>
        <v/>
      </c>
      <c r="L881" s="21" t="str">
        <f aca="false">IF(J881="",IF(B881="","",IF(N(C881)&gt;=0,"Income","Expense")),IFERROR(INDEX(Lists!$B$2:$B$30,MATCH(J881,Lists!$A$2:$A$30,0)),""))</f>
        <v/>
      </c>
      <c r="M881" s="24"/>
      <c r="N881" s="27" t="str">
        <f aca="false">IF(B881="","",IFERROR(1000-SUMPRODUCT(MAX(ISNUMBER(SEARCH(Rules!$A$5:$A$204,B881))*(Rules!$A$5:$A$204&lt;&gt;"")*(1000-ROW(Rules!$A$5:$A$204)))),""))</f>
        <v/>
      </c>
    </row>
    <row r="882" customFormat="false" ht="15" hidden="false" customHeight="false" outlineLevel="0" collapsed="false">
      <c r="A882" s="23"/>
      <c r="B882" s="24"/>
      <c r="C882" s="25"/>
      <c r="D882" s="24"/>
      <c r="E882" s="21" t="str">
        <f aca="false">IF(OR(B882="",N(N882)=0,N882=1000),IF(B882="","","Check"),INDEX(Rules!$B:$B,N882))</f>
        <v/>
      </c>
      <c r="F882" s="21" t="str">
        <f aca="false">IF(OR(B882="",N(N882)=0,N882=1000),"",INDEX(Rules!$C:$C,N882))</f>
        <v/>
      </c>
      <c r="G882" s="24"/>
      <c r="H882" s="24"/>
      <c r="I882" s="20" t="str">
        <f aca="false">IF(B882="","",IF(G882&lt;&gt;"",G882,E882))</f>
        <v/>
      </c>
      <c r="J882" s="21" t="str">
        <f aca="false">IF(B882="","",IF(H882&lt;&gt;"",H882,F882))</f>
        <v/>
      </c>
      <c r="K882" s="26" t="str">
        <f aca="false">IF(A882="","",DATE(YEAR(A882),MONTH(A882),1))</f>
        <v/>
      </c>
      <c r="L882" s="21" t="str">
        <f aca="false">IF(J882="",IF(B882="","",IF(N(C882)&gt;=0,"Income","Expense")),IFERROR(INDEX(Lists!$B$2:$B$30,MATCH(J882,Lists!$A$2:$A$30,0)),""))</f>
        <v/>
      </c>
      <c r="M882" s="24"/>
      <c r="N882" s="27" t="str">
        <f aca="false">IF(B882="","",IFERROR(1000-SUMPRODUCT(MAX(ISNUMBER(SEARCH(Rules!$A$5:$A$204,B882))*(Rules!$A$5:$A$204&lt;&gt;"")*(1000-ROW(Rules!$A$5:$A$204)))),""))</f>
        <v/>
      </c>
    </row>
    <row r="883" customFormat="false" ht="15" hidden="false" customHeight="false" outlineLevel="0" collapsed="false">
      <c r="A883" s="23"/>
      <c r="B883" s="24"/>
      <c r="C883" s="25"/>
      <c r="D883" s="24"/>
      <c r="E883" s="21" t="str">
        <f aca="false">IF(OR(B883="",N(N883)=0,N883=1000),IF(B883="","","Check"),INDEX(Rules!$B:$B,N883))</f>
        <v/>
      </c>
      <c r="F883" s="21" t="str">
        <f aca="false">IF(OR(B883="",N(N883)=0,N883=1000),"",INDEX(Rules!$C:$C,N883))</f>
        <v/>
      </c>
      <c r="G883" s="24"/>
      <c r="H883" s="24"/>
      <c r="I883" s="20" t="str">
        <f aca="false">IF(B883="","",IF(G883&lt;&gt;"",G883,E883))</f>
        <v/>
      </c>
      <c r="J883" s="21" t="str">
        <f aca="false">IF(B883="","",IF(H883&lt;&gt;"",H883,F883))</f>
        <v/>
      </c>
      <c r="K883" s="26" t="str">
        <f aca="false">IF(A883="","",DATE(YEAR(A883),MONTH(A883),1))</f>
        <v/>
      </c>
      <c r="L883" s="21" t="str">
        <f aca="false">IF(J883="",IF(B883="","",IF(N(C883)&gt;=0,"Income","Expense")),IFERROR(INDEX(Lists!$B$2:$B$30,MATCH(J883,Lists!$A$2:$A$30,0)),""))</f>
        <v/>
      </c>
      <c r="M883" s="24"/>
      <c r="N883" s="27" t="str">
        <f aca="false">IF(B883="","",IFERROR(1000-SUMPRODUCT(MAX(ISNUMBER(SEARCH(Rules!$A$5:$A$204,B883))*(Rules!$A$5:$A$204&lt;&gt;"")*(1000-ROW(Rules!$A$5:$A$204)))),""))</f>
        <v/>
      </c>
    </row>
    <row r="884" customFormat="false" ht="15" hidden="false" customHeight="false" outlineLevel="0" collapsed="false">
      <c r="A884" s="23"/>
      <c r="B884" s="24"/>
      <c r="C884" s="25"/>
      <c r="D884" s="24"/>
      <c r="E884" s="21" t="str">
        <f aca="false">IF(OR(B884="",N(N884)=0,N884=1000),IF(B884="","","Check"),INDEX(Rules!$B:$B,N884))</f>
        <v/>
      </c>
      <c r="F884" s="21" t="str">
        <f aca="false">IF(OR(B884="",N(N884)=0,N884=1000),"",INDEX(Rules!$C:$C,N884))</f>
        <v/>
      </c>
      <c r="G884" s="24"/>
      <c r="H884" s="24"/>
      <c r="I884" s="20" t="str">
        <f aca="false">IF(B884="","",IF(G884&lt;&gt;"",G884,E884))</f>
        <v/>
      </c>
      <c r="J884" s="21" t="str">
        <f aca="false">IF(B884="","",IF(H884&lt;&gt;"",H884,F884))</f>
        <v/>
      </c>
      <c r="K884" s="26" t="str">
        <f aca="false">IF(A884="","",DATE(YEAR(A884),MONTH(A884),1))</f>
        <v/>
      </c>
      <c r="L884" s="21" t="str">
        <f aca="false">IF(J884="",IF(B884="","",IF(N(C884)&gt;=0,"Income","Expense")),IFERROR(INDEX(Lists!$B$2:$B$30,MATCH(J884,Lists!$A$2:$A$30,0)),""))</f>
        <v/>
      </c>
      <c r="M884" s="24"/>
      <c r="N884" s="27" t="str">
        <f aca="false">IF(B884="","",IFERROR(1000-SUMPRODUCT(MAX(ISNUMBER(SEARCH(Rules!$A$5:$A$204,B884))*(Rules!$A$5:$A$204&lt;&gt;"")*(1000-ROW(Rules!$A$5:$A$204)))),""))</f>
        <v/>
      </c>
    </row>
    <row r="885" customFormat="false" ht="15" hidden="false" customHeight="false" outlineLevel="0" collapsed="false">
      <c r="A885" s="23"/>
      <c r="B885" s="24"/>
      <c r="C885" s="25"/>
      <c r="D885" s="24"/>
      <c r="E885" s="21" t="str">
        <f aca="false">IF(OR(B885="",N(N885)=0,N885=1000),IF(B885="","","Check"),INDEX(Rules!$B:$B,N885))</f>
        <v/>
      </c>
      <c r="F885" s="21" t="str">
        <f aca="false">IF(OR(B885="",N(N885)=0,N885=1000),"",INDEX(Rules!$C:$C,N885))</f>
        <v/>
      </c>
      <c r="G885" s="24"/>
      <c r="H885" s="24"/>
      <c r="I885" s="20" t="str">
        <f aca="false">IF(B885="","",IF(G885&lt;&gt;"",G885,E885))</f>
        <v/>
      </c>
      <c r="J885" s="21" t="str">
        <f aca="false">IF(B885="","",IF(H885&lt;&gt;"",H885,F885))</f>
        <v/>
      </c>
      <c r="K885" s="26" t="str">
        <f aca="false">IF(A885="","",DATE(YEAR(A885),MONTH(A885),1))</f>
        <v/>
      </c>
      <c r="L885" s="21" t="str">
        <f aca="false">IF(J885="",IF(B885="","",IF(N(C885)&gt;=0,"Income","Expense")),IFERROR(INDEX(Lists!$B$2:$B$30,MATCH(J885,Lists!$A$2:$A$30,0)),""))</f>
        <v/>
      </c>
      <c r="M885" s="24"/>
      <c r="N885" s="27" t="str">
        <f aca="false">IF(B885="","",IFERROR(1000-SUMPRODUCT(MAX(ISNUMBER(SEARCH(Rules!$A$5:$A$204,B885))*(Rules!$A$5:$A$204&lt;&gt;"")*(1000-ROW(Rules!$A$5:$A$204)))),""))</f>
        <v/>
      </c>
    </row>
    <row r="886" customFormat="false" ht="15" hidden="false" customHeight="false" outlineLevel="0" collapsed="false">
      <c r="A886" s="23"/>
      <c r="B886" s="24"/>
      <c r="C886" s="25"/>
      <c r="D886" s="24"/>
      <c r="E886" s="21" t="str">
        <f aca="false">IF(OR(B886="",N(N886)=0,N886=1000),IF(B886="","","Check"),INDEX(Rules!$B:$B,N886))</f>
        <v/>
      </c>
      <c r="F886" s="21" t="str">
        <f aca="false">IF(OR(B886="",N(N886)=0,N886=1000),"",INDEX(Rules!$C:$C,N886))</f>
        <v/>
      </c>
      <c r="G886" s="24"/>
      <c r="H886" s="24"/>
      <c r="I886" s="20" t="str">
        <f aca="false">IF(B886="","",IF(G886&lt;&gt;"",G886,E886))</f>
        <v/>
      </c>
      <c r="J886" s="21" t="str">
        <f aca="false">IF(B886="","",IF(H886&lt;&gt;"",H886,F886))</f>
        <v/>
      </c>
      <c r="K886" s="26" t="str">
        <f aca="false">IF(A886="","",DATE(YEAR(A886),MONTH(A886),1))</f>
        <v/>
      </c>
      <c r="L886" s="21" t="str">
        <f aca="false">IF(J886="",IF(B886="","",IF(N(C886)&gt;=0,"Income","Expense")),IFERROR(INDEX(Lists!$B$2:$B$30,MATCH(J886,Lists!$A$2:$A$30,0)),""))</f>
        <v/>
      </c>
      <c r="M886" s="24"/>
      <c r="N886" s="27" t="str">
        <f aca="false">IF(B886="","",IFERROR(1000-SUMPRODUCT(MAX(ISNUMBER(SEARCH(Rules!$A$5:$A$204,B886))*(Rules!$A$5:$A$204&lt;&gt;"")*(1000-ROW(Rules!$A$5:$A$204)))),""))</f>
        <v/>
      </c>
    </row>
    <row r="887" customFormat="false" ht="15" hidden="false" customHeight="false" outlineLevel="0" collapsed="false">
      <c r="A887" s="23"/>
      <c r="B887" s="24"/>
      <c r="C887" s="25"/>
      <c r="D887" s="24"/>
      <c r="E887" s="21" t="str">
        <f aca="false">IF(OR(B887="",N(N887)=0,N887=1000),IF(B887="","","Check"),INDEX(Rules!$B:$B,N887))</f>
        <v/>
      </c>
      <c r="F887" s="21" t="str">
        <f aca="false">IF(OR(B887="",N(N887)=0,N887=1000),"",INDEX(Rules!$C:$C,N887))</f>
        <v/>
      </c>
      <c r="G887" s="24"/>
      <c r="H887" s="24"/>
      <c r="I887" s="20" t="str">
        <f aca="false">IF(B887="","",IF(G887&lt;&gt;"",G887,E887))</f>
        <v/>
      </c>
      <c r="J887" s="21" t="str">
        <f aca="false">IF(B887="","",IF(H887&lt;&gt;"",H887,F887))</f>
        <v/>
      </c>
      <c r="K887" s="26" t="str">
        <f aca="false">IF(A887="","",DATE(YEAR(A887),MONTH(A887),1))</f>
        <v/>
      </c>
      <c r="L887" s="21" t="str">
        <f aca="false">IF(J887="",IF(B887="","",IF(N(C887)&gt;=0,"Income","Expense")),IFERROR(INDEX(Lists!$B$2:$B$30,MATCH(J887,Lists!$A$2:$A$30,0)),""))</f>
        <v/>
      </c>
      <c r="M887" s="24"/>
      <c r="N887" s="27" t="str">
        <f aca="false">IF(B887="","",IFERROR(1000-SUMPRODUCT(MAX(ISNUMBER(SEARCH(Rules!$A$5:$A$204,B887))*(Rules!$A$5:$A$204&lt;&gt;"")*(1000-ROW(Rules!$A$5:$A$204)))),""))</f>
        <v/>
      </c>
    </row>
    <row r="888" customFormat="false" ht="15" hidden="false" customHeight="false" outlineLevel="0" collapsed="false">
      <c r="A888" s="23"/>
      <c r="B888" s="24"/>
      <c r="C888" s="25"/>
      <c r="D888" s="24"/>
      <c r="E888" s="21" t="str">
        <f aca="false">IF(OR(B888="",N(N888)=0,N888=1000),IF(B888="","","Check"),INDEX(Rules!$B:$B,N888))</f>
        <v/>
      </c>
      <c r="F888" s="21" t="str">
        <f aca="false">IF(OR(B888="",N(N888)=0,N888=1000),"",INDEX(Rules!$C:$C,N888))</f>
        <v/>
      </c>
      <c r="G888" s="24"/>
      <c r="H888" s="24"/>
      <c r="I888" s="20" t="str">
        <f aca="false">IF(B888="","",IF(G888&lt;&gt;"",G888,E888))</f>
        <v/>
      </c>
      <c r="J888" s="21" t="str">
        <f aca="false">IF(B888="","",IF(H888&lt;&gt;"",H888,F888))</f>
        <v/>
      </c>
      <c r="K888" s="26" t="str">
        <f aca="false">IF(A888="","",DATE(YEAR(A888),MONTH(A888),1))</f>
        <v/>
      </c>
      <c r="L888" s="21" t="str">
        <f aca="false">IF(J888="",IF(B888="","",IF(N(C888)&gt;=0,"Income","Expense")),IFERROR(INDEX(Lists!$B$2:$B$30,MATCH(J888,Lists!$A$2:$A$30,0)),""))</f>
        <v/>
      </c>
      <c r="M888" s="24"/>
      <c r="N888" s="27" t="str">
        <f aca="false">IF(B888="","",IFERROR(1000-SUMPRODUCT(MAX(ISNUMBER(SEARCH(Rules!$A$5:$A$204,B888))*(Rules!$A$5:$A$204&lt;&gt;"")*(1000-ROW(Rules!$A$5:$A$204)))),""))</f>
        <v/>
      </c>
    </row>
    <row r="889" customFormat="false" ht="15" hidden="false" customHeight="false" outlineLevel="0" collapsed="false">
      <c r="A889" s="23"/>
      <c r="B889" s="24"/>
      <c r="C889" s="25"/>
      <c r="D889" s="24"/>
      <c r="E889" s="21" t="str">
        <f aca="false">IF(OR(B889="",N(N889)=0,N889=1000),IF(B889="","","Check"),INDEX(Rules!$B:$B,N889))</f>
        <v/>
      </c>
      <c r="F889" s="21" t="str">
        <f aca="false">IF(OR(B889="",N(N889)=0,N889=1000),"",INDEX(Rules!$C:$C,N889))</f>
        <v/>
      </c>
      <c r="G889" s="24"/>
      <c r="H889" s="24"/>
      <c r="I889" s="20" t="str">
        <f aca="false">IF(B889="","",IF(G889&lt;&gt;"",G889,E889))</f>
        <v/>
      </c>
      <c r="J889" s="21" t="str">
        <f aca="false">IF(B889="","",IF(H889&lt;&gt;"",H889,F889))</f>
        <v/>
      </c>
      <c r="K889" s="26" t="str">
        <f aca="false">IF(A889="","",DATE(YEAR(A889),MONTH(A889),1))</f>
        <v/>
      </c>
      <c r="L889" s="21" t="str">
        <f aca="false">IF(J889="",IF(B889="","",IF(N(C889)&gt;=0,"Income","Expense")),IFERROR(INDEX(Lists!$B$2:$B$30,MATCH(J889,Lists!$A$2:$A$30,0)),""))</f>
        <v/>
      </c>
      <c r="M889" s="24"/>
      <c r="N889" s="27" t="str">
        <f aca="false">IF(B889="","",IFERROR(1000-SUMPRODUCT(MAX(ISNUMBER(SEARCH(Rules!$A$5:$A$204,B889))*(Rules!$A$5:$A$204&lt;&gt;"")*(1000-ROW(Rules!$A$5:$A$204)))),""))</f>
        <v/>
      </c>
    </row>
    <row r="890" customFormat="false" ht="15" hidden="false" customHeight="false" outlineLevel="0" collapsed="false">
      <c r="A890" s="23"/>
      <c r="B890" s="24"/>
      <c r="C890" s="25"/>
      <c r="D890" s="24"/>
      <c r="E890" s="21" t="str">
        <f aca="false">IF(OR(B890="",N(N890)=0,N890=1000),IF(B890="","","Check"),INDEX(Rules!$B:$B,N890))</f>
        <v/>
      </c>
      <c r="F890" s="21" t="str">
        <f aca="false">IF(OR(B890="",N(N890)=0,N890=1000),"",INDEX(Rules!$C:$C,N890))</f>
        <v/>
      </c>
      <c r="G890" s="24"/>
      <c r="H890" s="24"/>
      <c r="I890" s="20" t="str">
        <f aca="false">IF(B890="","",IF(G890&lt;&gt;"",G890,E890))</f>
        <v/>
      </c>
      <c r="J890" s="21" t="str">
        <f aca="false">IF(B890="","",IF(H890&lt;&gt;"",H890,F890))</f>
        <v/>
      </c>
      <c r="K890" s="26" t="str">
        <f aca="false">IF(A890="","",DATE(YEAR(A890),MONTH(A890),1))</f>
        <v/>
      </c>
      <c r="L890" s="21" t="str">
        <f aca="false">IF(J890="",IF(B890="","",IF(N(C890)&gt;=0,"Income","Expense")),IFERROR(INDEX(Lists!$B$2:$B$30,MATCH(J890,Lists!$A$2:$A$30,0)),""))</f>
        <v/>
      </c>
      <c r="M890" s="24"/>
      <c r="N890" s="27" t="str">
        <f aca="false">IF(B890="","",IFERROR(1000-SUMPRODUCT(MAX(ISNUMBER(SEARCH(Rules!$A$5:$A$204,B890))*(Rules!$A$5:$A$204&lt;&gt;"")*(1000-ROW(Rules!$A$5:$A$204)))),""))</f>
        <v/>
      </c>
    </row>
    <row r="891" customFormat="false" ht="15" hidden="false" customHeight="false" outlineLevel="0" collapsed="false">
      <c r="A891" s="23"/>
      <c r="B891" s="24"/>
      <c r="C891" s="25"/>
      <c r="D891" s="24"/>
      <c r="E891" s="21" t="str">
        <f aca="false">IF(OR(B891="",N(N891)=0,N891=1000),IF(B891="","","Check"),INDEX(Rules!$B:$B,N891))</f>
        <v/>
      </c>
      <c r="F891" s="21" t="str">
        <f aca="false">IF(OR(B891="",N(N891)=0,N891=1000),"",INDEX(Rules!$C:$C,N891))</f>
        <v/>
      </c>
      <c r="G891" s="24"/>
      <c r="H891" s="24"/>
      <c r="I891" s="20" t="str">
        <f aca="false">IF(B891="","",IF(G891&lt;&gt;"",G891,E891))</f>
        <v/>
      </c>
      <c r="J891" s="21" t="str">
        <f aca="false">IF(B891="","",IF(H891&lt;&gt;"",H891,F891))</f>
        <v/>
      </c>
      <c r="K891" s="26" t="str">
        <f aca="false">IF(A891="","",DATE(YEAR(A891),MONTH(A891),1))</f>
        <v/>
      </c>
      <c r="L891" s="21" t="str">
        <f aca="false">IF(J891="",IF(B891="","",IF(N(C891)&gt;=0,"Income","Expense")),IFERROR(INDEX(Lists!$B$2:$B$30,MATCH(J891,Lists!$A$2:$A$30,0)),""))</f>
        <v/>
      </c>
      <c r="M891" s="24"/>
      <c r="N891" s="27" t="str">
        <f aca="false">IF(B891="","",IFERROR(1000-SUMPRODUCT(MAX(ISNUMBER(SEARCH(Rules!$A$5:$A$204,B891))*(Rules!$A$5:$A$204&lt;&gt;"")*(1000-ROW(Rules!$A$5:$A$204)))),""))</f>
        <v/>
      </c>
    </row>
    <row r="892" customFormat="false" ht="15" hidden="false" customHeight="false" outlineLevel="0" collapsed="false">
      <c r="A892" s="23"/>
      <c r="B892" s="24"/>
      <c r="C892" s="25"/>
      <c r="D892" s="24"/>
      <c r="E892" s="21" t="str">
        <f aca="false">IF(OR(B892="",N(N892)=0,N892=1000),IF(B892="","","Check"),INDEX(Rules!$B:$B,N892))</f>
        <v/>
      </c>
      <c r="F892" s="21" t="str">
        <f aca="false">IF(OR(B892="",N(N892)=0,N892=1000),"",INDEX(Rules!$C:$C,N892))</f>
        <v/>
      </c>
      <c r="G892" s="24"/>
      <c r="H892" s="24"/>
      <c r="I892" s="20" t="str">
        <f aca="false">IF(B892="","",IF(G892&lt;&gt;"",G892,E892))</f>
        <v/>
      </c>
      <c r="J892" s="21" t="str">
        <f aca="false">IF(B892="","",IF(H892&lt;&gt;"",H892,F892))</f>
        <v/>
      </c>
      <c r="K892" s="26" t="str">
        <f aca="false">IF(A892="","",DATE(YEAR(A892),MONTH(A892),1))</f>
        <v/>
      </c>
      <c r="L892" s="21" t="str">
        <f aca="false">IF(J892="",IF(B892="","",IF(N(C892)&gt;=0,"Income","Expense")),IFERROR(INDEX(Lists!$B$2:$B$30,MATCH(J892,Lists!$A$2:$A$30,0)),""))</f>
        <v/>
      </c>
      <c r="M892" s="24"/>
      <c r="N892" s="27" t="str">
        <f aca="false">IF(B892="","",IFERROR(1000-SUMPRODUCT(MAX(ISNUMBER(SEARCH(Rules!$A$5:$A$204,B892))*(Rules!$A$5:$A$204&lt;&gt;"")*(1000-ROW(Rules!$A$5:$A$204)))),""))</f>
        <v/>
      </c>
    </row>
    <row r="893" customFormat="false" ht="15" hidden="false" customHeight="false" outlineLevel="0" collapsed="false">
      <c r="A893" s="23"/>
      <c r="B893" s="24"/>
      <c r="C893" s="25"/>
      <c r="D893" s="24"/>
      <c r="E893" s="21" t="str">
        <f aca="false">IF(OR(B893="",N(N893)=0,N893=1000),IF(B893="","","Check"),INDEX(Rules!$B:$B,N893))</f>
        <v/>
      </c>
      <c r="F893" s="21" t="str">
        <f aca="false">IF(OR(B893="",N(N893)=0,N893=1000),"",INDEX(Rules!$C:$C,N893))</f>
        <v/>
      </c>
      <c r="G893" s="24"/>
      <c r="H893" s="24"/>
      <c r="I893" s="20" t="str">
        <f aca="false">IF(B893="","",IF(G893&lt;&gt;"",G893,E893))</f>
        <v/>
      </c>
      <c r="J893" s="21" t="str">
        <f aca="false">IF(B893="","",IF(H893&lt;&gt;"",H893,F893))</f>
        <v/>
      </c>
      <c r="K893" s="26" t="str">
        <f aca="false">IF(A893="","",DATE(YEAR(A893),MONTH(A893),1))</f>
        <v/>
      </c>
      <c r="L893" s="21" t="str">
        <f aca="false">IF(J893="",IF(B893="","",IF(N(C893)&gt;=0,"Income","Expense")),IFERROR(INDEX(Lists!$B$2:$B$30,MATCH(J893,Lists!$A$2:$A$30,0)),""))</f>
        <v/>
      </c>
      <c r="M893" s="24"/>
      <c r="N893" s="27" t="str">
        <f aca="false">IF(B893="","",IFERROR(1000-SUMPRODUCT(MAX(ISNUMBER(SEARCH(Rules!$A$5:$A$204,B893))*(Rules!$A$5:$A$204&lt;&gt;"")*(1000-ROW(Rules!$A$5:$A$204)))),""))</f>
        <v/>
      </c>
    </row>
    <row r="894" customFormat="false" ht="15" hidden="false" customHeight="false" outlineLevel="0" collapsed="false">
      <c r="A894" s="23"/>
      <c r="B894" s="24"/>
      <c r="C894" s="25"/>
      <c r="D894" s="24"/>
      <c r="E894" s="21" t="str">
        <f aca="false">IF(OR(B894="",N(N894)=0,N894=1000),IF(B894="","","Check"),INDEX(Rules!$B:$B,N894))</f>
        <v/>
      </c>
      <c r="F894" s="21" t="str">
        <f aca="false">IF(OR(B894="",N(N894)=0,N894=1000),"",INDEX(Rules!$C:$C,N894))</f>
        <v/>
      </c>
      <c r="G894" s="24"/>
      <c r="H894" s="24"/>
      <c r="I894" s="20" t="str">
        <f aca="false">IF(B894="","",IF(G894&lt;&gt;"",G894,E894))</f>
        <v/>
      </c>
      <c r="J894" s="21" t="str">
        <f aca="false">IF(B894="","",IF(H894&lt;&gt;"",H894,F894))</f>
        <v/>
      </c>
      <c r="K894" s="26" t="str">
        <f aca="false">IF(A894="","",DATE(YEAR(A894),MONTH(A894),1))</f>
        <v/>
      </c>
      <c r="L894" s="21" t="str">
        <f aca="false">IF(J894="",IF(B894="","",IF(N(C894)&gt;=0,"Income","Expense")),IFERROR(INDEX(Lists!$B$2:$B$30,MATCH(J894,Lists!$A$2:$A$30,0)),""))</f>
        <v/>
      </c>
      <c r="M894" s="24"/>
      <c r="N894" s="27" t="str">
        <f aca="false">IF(B894="","",IFERROR(1000-SUMPRODUCT(MAX(ISNUMBER(SEARCH(Rules!$A$5:$A$204,B894))*(Rules!$A$5:$A$204&lt;&gt;"")*(1000-ROW(Rules!$A$5:$A$204)))),""))</f>
        <v/>
      </c>
    </row>
    <row r="895" customFormat="false" ht="15" hidden="false" customHeight="false" outlineLevel="0" collapsed="false">
      <c r="A895" s="23"/>
      <c r="B895" s="24"/>
      <c r="C895" s="25"/>
      <c r="D895" s="24"/>
      <c r="E895" s="21" t="str">
        <f aca="false">IF(OR(B895="",N(N895)=0,N895=1000),IF(B895="","","Check"),INDEX(Rules!$B:$B,N895))</f>
        <v/>
      </c>
      <c r="F895" s="21" t="str">
        <f aca="false">IF(OR(B895="",N(N895)=0,N895=1000),"",INDEX(Rules!$C:$C,N895))</f>
        <v/>
      </c>
      <c r="G895" s="24"/>
      <c r="H895" s="24"/>
      <c r="I895" s="20" t="str">
        <f aca="false">IF(B895="","",IF(G895&lt;&gt;"",G895,E895))</f>
        <v/>
      </c>
      <c r="J895" s="21" t="str">
        <f aca="false">IF(B895="","",IF(H895&lt;&gt;"",H895,F895))</f>
        <v/>
      </c>
      <c r="K895" s="26" t="str">
        <f aca="false">IF(A895="","",DATE(YEAR(A895),MONTH(A895),1))</f>
        <v/>
      </c>
      <c r="L895" s="21" t="str">
        <f aca="false">IF(J895="",IF(B895="","",IF(N(C895)&gt;=0,"Income","Expense")),IFERROR(INDEX(Lists!$B$2:$B$30,MATCH(J895,Lists!$A$2:$A$30,0)),""))</f>
        <v/>
      </c>
      <c r="M895" s="24"/>
      <c r="N895" s="27" t="str">
        <f aca="false">IF(B895="","",IFERROR(1000-SUMPRODUCT(MAX(ISNUMBER(SEARCH(Rules!$A$5:$A$204,B895))*(Rules!$A$5:$A$204&lt;&gt;"")*(1000-ROW(Rules!$A$5:$A$204)))),""))</f>
        <v/>
      </c>
    </row>
    <row r="896" customFormat="false" ht="15" hidden="false" customHeight="false" outlineLevel="0" collapsed="false">
      <c r="A896" s="23"/>
      <c r="B896" s="24"/>
      <c r="C896" s="25"/>
      <c r="D896" s="24"/>
      <c r="E896" s="21" t="str">
        <f aca="false">IF(OR(B896="",N(N896)=0,N896=1000),IF(B896="","","Check"),INDEX(Rules!$B:$B,N896))</f>
        <v/>
      </c>
      <c r="F896" s="21" t="str">
        <f aca="false">IF(OR(B896="",N(N896)=0,N896=1000),"",INDEX(Rules!$C:$C,N896))</f>
        <v/>
      </c>
      <c r="G896" s="24"/>
      <c r="H896" s="24"/>
      <c r="I896" s="20" t="str">
        <f aca="false">IF(B896="","",IF(G896&lt;&gt;"",G896,E896))</f>
        <v/>
      </c>
      <c r="J896" s="21" t="str">
        <f aca="false">IF(B896="","",IF(H896&lt;&gt;"",H896,F896))</f>
        <v/>
      </c>
      <c r="K896" s="26" t="str">
        <f aca="false">IF(A896="","",DATE(YEAR(A896),MONTH(A896),1))</f>
        <v/>
      </c>
      <c r="L896" s="21" t="str">
        <f aca="false">IF(J896="",IF(B896="","",IF(N(C896)&gt;=0,"Income","Expense")),IFERROR(INDEX(Lists!$B$2:$B$30,MATCH(J896,Lists!$A$2:$A$30,0)),""))</f>
        <v/>
      </c>
      <c r="M896" s="24"/>
      <c r="N896" s="27" t="str">
        <f aca="false">IF(B896="","",IFERROR(1000-SUMPRODUCT(MAX(ISNUMBER(SEARCH(Rules!$A$5:$A$204,B896))*(Rules!$A$5:$A$204&lt;&gt;"")*(1000-ROW(Rules!$A$5:$A$204)))),""))</f>
        <v/>
      </c>
    </row>
    <row r="897" customFormat="false" ht="15" hidden="false" customHeight="false" outlineLevel="0" collapsed="false">
      <c r="A897" s="23"/>
      <c r="B897" s="24"/>
      <c r="C897" s="25"/>
      <c r="D897" s="24"/>
      <c r="E897" s="21" t="str">
        <f aca="false">IF(OR(B897="",N(N897)=0,N897=1000),IF(B897="","","Check"),INDEX(Rules!$B:$B,N897))</f>
        <v/>
      </c>
      <c r="F897" s="21" t="str">
        <f aca="false">IF(OR(B897="",N(N897)=0,N897=1000),"",INDEX(Rules!$C:$C,N897))</f>
        <v/>
      </c>
      <c r="G897" s="24"/>
      <c r="H897" s="24"/>
      <c r="I897" s="20" t="str">
        <f aca="false">IF(B897="","",IF(G897&lt;&gt;"",G897,E897))</f>
        <v/>
      </c>
      <c r="J897" s="21" t="str">
        <f aca="false">IF(B897="","",IF(H897&lt;&gt;"",H897,F897))</f>
        <v/>
      </c>
      <c r="K897" s="26" t="str">
        <f aca="false">IF(A897="","",DATE(YEAR(A897),MONTH(A897),1))</f>
        <v/>
      </c>
      <c r="L897" s="21" t="str">
        <f aca="false">IF(J897="",IF(B897="","",IF(N(C897)&gt;=0,"Income","Expense")),IFERROR(INDEX(Lists!$B$2:$B$30,MATCH(J897,Lists!$A$2:$A$30,0)),""))</f>
        <v/>
      </c>
      <c r="M897" s="24"/>
      <c r="N897" s="27" t="str">
        <f aca="false">IF(B897="","",IFERROR(1000-SUMPRODUCT(MAX(ISNUMBER(SEARCH(Rules!$A$5:$A$204,B897))*(Rules!$A$5:$A$204&lt;&gt;"")*(1000-ROW(Rules!$A$5:$A$204)))),""))</f>
        <v/>
      </c>
    </row>
    <row r="898" customFormat="false" ht="15" hidden="false" customHeight="false" outlineLevel="0" collapsed="false">
      <c r="A898" s="23"/>
      <c r="B898" s="24"/>
      <c r="C898" s="25"/>
      <c r="D898" s="24"/>
      <c r="E898" s="21" t="str">
        <f aca="false">IF(OR(B898="",N(N898)=0,N898=1000),IF(B898="","","Check"),INDEX(Rules!$B:$B,N898))</f>
        <v/>
      </c>
      <c r="F898" s="21" t="str">
        <f aca="false">IF(OR(B898="",N(N898)=0,N898=1000),"",INDEX(Rules!$C:$C,N898))</f>
        <v/>
      </c>
      <c r="G898" s="24"/>
      <c r="H898" s="24"/>
      <c r="I898" s="20" t="str">
        <f aca="false">IF(B898="","",IF(G898&lt;&gt;"",G898,E898))</f>
        <v/>
      </c>
      <c r="J898" s="21" t="str">
        <f aca="false">IF(B898="","",IF(H898&lt;&gt;"",H898,F898))</f>
        <v/>
      </c>
      <c r="K898" s="26" t="str">
        <f aca="false">IF(A898="","",DATE(YEAR(A898),MONTH(A898),1))</f>
        <v/>
      </c>
      <c r="L898" s="21" t="str">
        <f aca="false">IF(J898="",IF(B898="","",IF(N(C898)&gt;=0,"Income","Expense")),IFERROR(INDEX(Lists!$B$2:$B$30,MATCH(J898,Lists!$A$2:$A$30,0)),""))</f>
        <v/>
      </c>
      <c r="M898" s="24"/>
      <c r="N898" s="27" t="str">
        <f aca="false">IF(B898="","",IFERROR(1000-SUMPRODUCT(MAX(ISNUMBER(SEARCH(Rules!$A$5:$A$204,B898))*(Rules!$A$5:$A$204&lt;&gt;"")*(1000-ROW(Rules!$A$5:$A$204)))),""))</f>
        <v/>
      </c>
    </row>
    <row r="899" customFormat="false" ht="15" hidden="false" customHeight="false" outlineLevel="0" collapsed="false">
      <c r="A899" s="23"/>
      <c r="B899" s="24"/>
      <c r="C899" s="25"/>
      <c r="D899" s="24"/>
      <c r="E899" s="21" t="str">
        <f aca="false">IF(OR(B899="",N(N899)=0,N899=1000),IF(B899="","","Check"),INDEX(Rules!$B:$B,N899))</f>
        <v/>
      </c>
      <c r="F899" s="21" t="str">
        <f aca="false">IF(OR(B899="",N(N899)=0,N899=1000),"",INDEX(Rules!$C:$C,N899))</f>
        <v/>
      </c>
      <c r="G899" s="24"/>
      <c r="H899" s="24"/>
      <c r="I899" s="20" t="str">
        <f aca="false">IF(B899="","",IF(G899&lt;&gt;"",G899,E899))</f>
        <v/>
      </c>
      <c r="J899" s="21" t="str">
        <f aca="false">IF(B899="","",IF(H899&lt;&gt;"",H899,F899))</f>
        <v/>
      </c>
      <c r="K899" s="26" t="str">
        <f aca="false">IF(A899="","",DATE(YEAR(A899),MONTH(A899),1))</f>
        <v/>
      </c>
      <c r="L899" s="21" t="str">
        <f aca="false">IF(J899="",IF(B899="","",IF(N(C899)&gt;=0,"Income","Expense")),IFERROR(INDEX(Lists!$B$2:$B$30,MATCH(J899,Lists!$A$2:$A$30,0)),""))</f>
        <v/>
      </c>
      <c r="M899" s="24"/>
      <c r="N899" s="27" t="str">
        <f aca="false">IF(B899="","",IFERROR(1000-SUMPRODUCT(MAX(ISNUMBER(SEARCH(Rules!$A$5:$A$204,B899))*(Rules!$A$5:$A$204&lt;&gt;"")*(1000-ROW(Rules!$A$5:$A$204)))),""))</f>
        <v/>
      </c>
    </row>
    <row r="900" customFormat="false" ht="15" hidden="false" customHeight="false" outlineLevel="0" collapsed="false">
      <c r="A900" s="23"/>
      <c r="B900" s="24"/>
      <c r="C900" s="25"/>
      <c r="D900" s="24"/>
      <c r="E900" s="21" t="str">
        <f aca="false">IF(OR(B900="",N(N900)=0,N900=1000),IF(B900="","","Check"),INDEX(Rules!$B:$B,N900))</f>
        <v/>
      </c>
      <c r="F900" s="21" t="str">
        <f aca="false">IF(OR(B900="",N(N900)=0,N900=1000),"",INDEX(Rules!$C:$C,N900))</f>
        <v/>
      </c>
      <c r="G900" s="24"/>
      <c r="H900" s="24"/>
      <c r="I900" s="20" t="str">
        <f aca="false">IF(B900="","",IF(G900&lt;&gt;"",G900,E900))</f>
        <v/>
      </c>
      <c r="J900" s="21" t="str">
        <f aca="false">IF(B900="","",IF(H900&lt;&gt;"",H900,F900))</f>
        <v/>
      </c>
      <c r="K900" s="26" t="str">
        <f aca="false">IF(A900="","",DATE(YEAR(A900),MONTH(A900),1))</f>
        <v/>
      </c>
      <c r="L900" s="21" t="str">
        <f aca="false">IF(J900="",IF(B900="","",IF(N(C900)&gt;=0,"Income","Expense")),IFERROR(INDEX(Lists!$B$2:$B$30,MATCH(J900,Lists!$A$2:$A$30,0)),""))</f>
        <v/>
      </c>
      <c r="M900" s="24"/>
      <c r="N900" s="27" t="str">
        <f aca="false">IF(B900="","",IFERROR(1000-SUMPRODUCT(MAX(ISNUMBER(SEARCH(Rules!$A$5:$A$204,B900))*(Rules!$A$5:$A$204&lt;&gt;"")*(1000-ROW(Rules!$A$5:$A$204)))),""))</f>
        <v/>
      </c>
    </row>
    <row r="901" customFormat="false" ht="15" hidden="false" customHeight="false" outlineLevel="0" collapsed="false">
      <c r="A901" s="23"/>
      <c r="B901" s="24"/>
      <c r="C901" s="25"/>
      <c r="D901" s="24"/>
      <c r="E901" s="21" t="str">
        <f aca="false">IF(OR(B901="",N(N901)=0,N901=1000),IF(B901="","","Check"),INDEX(Rules!$B:$B,N901))</f>
        <v/>
      </c>
      <c r="F901" s="21" t="str">
        <f aca="false">IF(OR(B901="",N(N901)=0,N901=1000),"",INDEX(Rules!$C:$C,N901))</f>
        <v/>
      </c>
      <c r="G901" s="24"/>
      <c r="H901" s="24"/>
      <c r="I901" s="20" t="str">
        <f aca="false">IF(B901="","",IF(G901&lt;&gt;"",G901,E901))</f>
        <v/>
      </c>
      <c r="J901" s="21" t="str">
        <f aca="false">IF(B901="","",IF(H901&lt;&gt;"",H901,F901))</f>
        <v/>
      </c>
      <c r="K901" s="26" t="str">
        <f aca="false">IF(A901="","",DATE(YEAR(A901),MONTH(A901),1))</f>
        <v/>
      </c>
      <c r="L901" s="21" t="str">
        <f aca="false">IF(J901="",IF(B901="","",IF(N(C901)&gt;=0,"Income","Expense")),IFERROR(INDEX(Lists!$B$2:$B$30,MATCH(J901,Lists!$A$2:$A$30,0)),""))</f>
        <v/>
      </c>
      <c r="M901" s="24"/>
      <c r="N901" s="27" t="str">
        <f aca="false">IF(B901="","",IFERROR(1000-SUMPRODUCT(MAX(ISNUMBER(SEARCH(Rules!$A$5:$A$204,B901))*(Rules!$A$5:$A$204&lt;&gt;"")*(1000-ROW(Rules!$A$5:$A$204)))),""))</f>
        <v/>
      </c>
    </row>
    <row r="902" customFormat="false" ht="15" hidden="false" customHeight="false" outlineLevel="0" collapsed="false">
      <c r="A902" s="23"/>
      <c r="B902" s="24"/>
      <c r="C902" s="25"/>
      <c r="D902" s="24"/>
      <c r="E902" s="21" t="str">
        <f aca="false">IF(OR(B902="",N(N902)=0,N902=1000),IF(B902="","","Check"),INDEX(Rules!$B:$B,N902))</f>
        <v/>
      </c>
      <c r="F902" s="21" t="str">
        <f aca="false">IF(OR(B902="",N(N902)=0,N902=1000),"",INDEX(Rules!$C:$C,N902))</f>
        <v/>
      </c>
      <c r="G902" s="24"/>
      <c r="H902" s="24"/>
      <c r="I902" s="20" t="str">
        <f aca="false">IF(B902="","",IF(G902&lt;&gt;"",G902,E902))</f>
        <v/>
      </c>
      <c r="J902" s="21" t="str">
        <f aca="false">IF(B902="","",IF(H902&lt;&gt;"",H902,F902))</f>
        <v/>
      </c>
      <c r="K902" s="26" t="str">
        <f aca="false">IF(A902="","",DATE(YEAR(A902),MONTH(A902),1))</f>
        <v/>
      </c>
      <c r="L902" s="21" t="str">
        <f aca="false">IF(J902="",IF(B902="","",IF(N(C902)&gt;=0,"Income","Expense")),IFERROR(INDEX(Lists!$B$2:$B$30,MATCH(J902,Lists!$A$2:$A$30,0)),""))</f>
        <v/>
      </c>
      <c r="M902" s="24"/>
      <c r="N902" s="27" t="str">
        <f aca="false">IF(B902="","",IFERROR(1000-SUMPRODUCT(MAX(ISNUMBER(SEARCH(Rules!$A$5:$A$204,B902))*(Rules!$A$5:$A$204&lt;&gt;"")*(1000-ROW(Rules!$A$5:$A$204)))),""))</f>
        <v/>
      </c>
    </row>
    <row r="903" customFormat="false" ht="15" hidden="false" customHeight="false" outlineLevel="0" collapsed="false">
      <c r="A903" s="23"/>
      <c r="B903" s="24"/>
      <c r="C903" s="25"/>
      <c r="D903" s="24"/>
      <c r="E903" s="21" t="str">
        <f aca="false">IF(OR(B903="",N(N903)=0,N903=1000),IF(B903="","","Check"),INDEX(Rules!$B:$B,N903))</f>
        <v/>
      </c>
      <c r="F903" s="21" t="str">
        <f aca="false">IF(OR(B903="",N(N903)=0,N903=1000),"",INDEX(Rules!$C:$C,N903))</f>
        <v/>
      </c>
      <c r="G903" s="24"/>
      <c r="H903" s="24"/>
      <c r="I903" s="20" t="str">
        <f aca="false">IF(B903="","",IF(G903&lt;&gt;"",G903,E903))</f>
        <v/>
      </c>
      <c r="J903" s="21" t="str">
        <f aca="false">IF(B903="","",IF(H903&lt;&gt;"",H903,F903))</f>
        <v/>
      </c>
      <c r="K903" s="26" t="str">
        <f aca="false">IF(A903="","",DATE(YEAR(A903),MONTH(A903),1))</f>
        <v/>
      </c>
      <c r="L903" s="21" t="str">
        <f aca="false">IF(J903="",IF(B903="","",IF(N(C903)&gt;=0,"Income","Expense")),IFERROR(INDEX(Lists!$B$2:$B$30,MATCH(J903,Lists!$A$2:$A$30,0)),""))</f>
        <v/>
      </c>
      <c r="M903" s="24"/>
      <c r="N903" s="27" t="str">
        <f aca="false">IF(B903="","",IFERROR(1000-SUMPRODUCT(MAX(ISNUMBER(SEARCH(Rules!$A$5:$A$204,B903))*(Rules!$A$5:$A$204&lt;&gt;"")*(1000-ROW(Rules!$A$5:$A$204)))),""))</f>
        <v/>
      </c>
    </row>
    <row r="904" customFormat="false" ht="15" hidden="false" customHeight="false" outlineLevel="0" collapsed="false">
      <c r="A904" s="23"/>
      <c r="B904" s="24"/>
      <c r="C904" s="25"/>
      <c r="D904" s="24"/>
      <c r="E904" s="21" t="str">
        <f aca="false">IF(OR(B904="",N(N904)=0,N904=1000),IF(B904="","","Check"),INDEX(Rules!$B:$B,N904))</f>
        <v/>
      </c>
      <c r="F904" s="21" t="str">
        <f aca="false">IF(OR(B904="",N(N904)=0,N904=1000),"",INDEX(Rules!$C:$C,N904))</f>
        <v/>
      </c>
      <c r="G904" s="24"/>
      <c r="H904" s="24"/>
      <c r="I904" s="20" t="str">
        <f aca="false">IF(B904="","",IF(G904&lt;&gt;"",G904,E904))</f>
        <v/>
      </c>
      <c r="J904" s="21" t="str">
        <f aca="false">IF(B904="","",IF(H904&lt;&gt;"",H904,F904))</f>
        <v/>
      </c>
      <c r="K904" s="26" t="str">
        <f aca="false">IF(A904="","",DATE(YEAR(A904),MONTH(A904),1))</f>
        <v/>
      </c>
      <c r="L904" s="21" t="str">
        <f aca="false">IF(J904="",IF(B904="","",IF(N(C904)&gt;=0,"Income","Expense")),IFERROR(INDEX(Lists!$B$2:$B$30,MATCH(J904,Lists!$A$2:$A$30,0)),""))</f>
        <v/>
      </c>
      <c r="M904" s="24"/>
      <c r="N904" s="27" t="str">
        <f aca="false">IF(B904="","",IFERROR(1000-SUMPRODUCT(MAX(ISNUMBER(SEARCH(Rules!$A$5:$A$204,B904))*(Rules!$A$5:$A$204&lt;&gt;"")*(1000-ROW(Rules!$A$5:$A$204)))),""))</f>
        <v/>
      </c>
    </row>
    <row r="905" customFormat="false" ht="15" hidden="false" customHeight="false" outlineLevel="0" collapsed="false">
      <c r="A905" s="23"/>
      <c r="B905" s="24"/>
      <c r="C905" s="25"/>
      <c r="D905" s="24"/>
      <c r="E905" s="21" t="str">
        <f aca="false">IF(OR(B905="",N(N905)=0,N905=1000),IF(B905="","","Check"),INDEX(Rules!$B:$B,N905))</f>
        <v/>
      </c>
      <c r="F905" s="21" t="str">
        <f aca="false">IF(OR(B905="",N(N905)=0,N905=1000),"",INDEX(Rules!$C:$C,N905))</f>
        <v/>
      </c>
      <c r="G905" s="24"/>
      <c r="H905" s="24"/>
      <c r="I905" s="20" t="str">
        <f aca="false">IF(B905="","",IF(G905&lt;&gt;"",G905,E905))</f>
        <v/>
      </c>
      <c r="J905" s="21" t="str">
        <f aca="false">IF(B905="","",IF(H905&lt;&gt;"",H905,F905))</f>
        <v/>
      </c>
      <c r="K905" s="26" t="str">
        <f aca="false">IF(A905="","",DATE(YEAR(A905),MONTH(A905),1))</f>
        <v/>
      </c>
      <c r="L905" s="21" t="str">
        <f aca="false">IF(J905="",IF(B905="","",IF(N(C905)&gt;=0,"Income","Expense")),IFERROR(INDEX(Lists!$B$2:$B$30,MATCH(J905,Lists!$A$2:$A$30,0)),""))</f>
        <v/>
      </c>
      <c r="M905" s="24"/>
      <c r="N905" s="27" t="str">
        <f aca="false">IF(B905="","",IFERROR(1000-SUMPRODUCT(MAX(ISNUMBER(SEARCH(Rules!$A$5:$A$204,B905))*(Rules!$A$5:$A$204&lt;&gt;"")*(1000-ROW(Rules!$A$5:$A$204)))),""))</f>
        <v/>
      </c>
    </row>
    <row r="906" customFormat="false" ht="15" hidden="false" customHeight="false" outlineLevel="0" collapsed="false">
      <c r="A906" s="23"/>
      <c r="B906" s="24"/>
      <c r="C906" s="25"/>
      <c r="D906" s="24"/>
      <c r="E906" s="21" t="str">
        <f aca="false">IF(OR(B906="",N(N906)=0,N906=1000),IF(B906="","","Check"),INDEX(Rules!$B:$B,N906))</f>
        <v/>
      </c>
      <c r="F906" s="21" t="str">
        <f aca="false">IF(OR(B906="",N(N906)=0,N906=1000),"",INDEX(Rules!$C:$C,N906))</f>
        <v/>
      </c>
      <c r="G906" s="24"/>
      <c r="H906" s="24"/>
      <c r="I906" s="20" t="str">
        <f aca="false">IF(B906="","",IF(G906&lt;&gt;"",G906,E906))</f>
        <v/>
      </c>
      <c r="J906" s="21" t="str">
        <f aca="false">IF(B906="","",IF(H906&lt;&gt;"",H906,F906))</f>
        <v/>
      </c>
      <c r="K906" s="26" t="str">
        <f aca="false">IF(A906="","",DATE(YEAR(A906),MONTH(A906),1))</f>
        <v/>
      </c>
      <c r="L906" s="21" t="str">
        <f aca="false">IF(J906="",IF(B906="","",IF(N(C906)&gt;=0,"Income","Expense")),IFERROR(INDEX(Lists!$B$2:$B$30,MATCH(J906,Lists!$A$2:$A$30,0)),""))</f>
        <v/>
      </c>
      <c r="M906" s="24"/>
      <c r="N906" s="27" t="str">
        <f aca="false">IF(B906="","",IFERROR(1000-SUMPRODUCT(MAX(ISNUMBER(SEARCH(Rules!$A$5:$A$204,B906))*(Rules!$A$5:$A$204&lt;&gt;"")*(1000-ROW(Rules!$A$5:$A$204)))),""))</f>
        <v/>
      </c>
    </row>
    <row r="907" customFormat="false" ht="15" hidden="false" customHeight="false" outlineLevel="0" collapsed="false">
      <c r="A907" s="23"/>
      <c r="B907" s="24"/>
      <c r="C907" s="25"/>
      <c r="D907" s="24"/>
      <c r="E907" s="21" t="str">
        <f aca="false">IF(OR(B907="",N(N907)=0,N907=1000),IF(B907="","","Check"),INDEX(Rules!$B:$B,N907))</f>
        <v/>
      </c>
      <c r="F907" s="21" t="str">
        <f aca="false">IF(OR(B907="",N(N907)=0,N907=1000),"",INDEX(Rules!$C:$C,N907))</f>
        <v/>
      </c>
      <c r="G907" s="24"/>
      <c r="H907" s="24"/>
      <c r="I907" s="20" t="str">
        <f aca="false">IF(B907="","",IF(G907&lt;&gt;"",G907,E907))</f>
        <v/>
      </c>
      <c r="J907" s="21" t="str">
        <f aca="false">IF(B907="","",IF(H907&lt;&gt;"",H907,F907))</f>
        <v/>
      </c>
      <c r="K907" s="26" t="str">
        <f aca="false">IF(A907="","",DATE(YEAR(A907),MONTH(A907),1))</f>
        <v/>
      </c>
      <c r="L907" s="21" t="str">
        <f aca="false">IF(J907="",IF(B907="","",IF(N(C907)&gt;=0,"Income","Expense")),IFERROR(INDEX(Lists!$B$2:$B$30,MATCH(J907,Lists!$A$2:$A$30,0)),""))</f>
        <v/>
      </c>
      <c r="M907" s="24"/>
      <c r="N907" s="27" t="str">
        <f aca="false">IF(B907="","",IFERROR(1000-SUMPRODUCT(MAX(ISNUMBER(SEARCH(Rules!$A$5:$A$204,B907))*(Rules!$A$5:$A$204&lt;&gt;"")*(1000-ROW(Rules!$A$5:$A$204)))),""))</f>
        <v/>
      </c>
    </row>
    <row r="908" customFormat="false" ht="15" hidden="false" customHeight="false" outlineLevel="0" collapsed="false">
      <c r="A908" s="23"/>
      <c r="B908" s="24"/>
      <c r="C908" s="25"/>
      <c r="D908" s="24"/>
      <c r="E908" s="21" t="str">
        <f aca="false">IF(OR(B908="",N(N908)=0,N908=1000),IF(B908="","","Check"),INDEX(Rules!$B:$B,N908))</f>
        <v/>
      </c>
      <c r="F908" s="21" t="str">
        <f aca="false">IF(OR(B908="",N(N908)=0,N908=1000),"",INDEX(Rules!$C:$C,N908))</f>
        <v/>
      </c>
      <c r="G908" s="24"/>
      <c r="H908" s="24"/>
      <c r="I908" s="20" t="str">
        <f aca="false">IF(B908="","",IF(G908&lt;&gt;"",G908,E908))</f>
        <v/>
      </c>
      <c r="J908" s="21" t="str">
        <f aca="false">IF(B908="","",IF(H908&lt;&gt;"",H908,F908))</f>
        <v/>
      </c>
      <c r="K908" s="26" t="str">
        <f aca="false">IF(A908="","",DATE(YEAR(A908),MONTH(A908),1))</f>
        <v/>
      </c>
      <c r="L908" s="21" t="str">
        <f aca="false">IF(J908="",IF(B908="","",IF(N(C908)&gt;=0,"Income","Expense")),IFERROR(INDEX(Lists!$B$2:$B$30,MATCH(J908,Lists!$A$2:$A$30,0)),""))</f>
        <v/>
      </c>
      <c r="M908" s="24"/>
      <c r="N908" s="27" t="str">
        <f aca="false">IF(B908="","",IFERROR(1000-SUMPRODUCT(MAX(ISNUMBER(SEARCH(Rules!$A$5:$A$204,B908))*(Rules!$A$5:$A$204&lt;&gt;"")*(1000-ROW(Rules!$A$5:$A$204)))),""))</f>
        <v/>
      </c>
    </row>
    <row r="909" customFormat="false" ht="15" hidden="false" customHeight="false" outlineLevel="0" collapsed="false">
      <c r="A909" s="23"/>
      <c r="B909" s="24"/>
      <c r="C909" s="25"/>
      <c r="D909" s="24"/>
      <c r="E909" s="21" t="str">
        <f aca="false">IF(OR(B909="",N(N909)=0,N909=1000),IF(B909="","","Check"),INDEX(Rules!$B:$B,N909))</f>
        <v/>
      </c>
      <c r="F909" s="21" t="str">
        <f aca="false">IF(OR(B909="",N(N909)=0,N909=1000),"",INDEX(Rules!$C:$C,N909))</f>
        <v/>
      </c>
      <c r="G909" s="24"/>
      <c r="H909" s="24"/>
      <c r="I909" s="20" t="str">
        <f aca="false">IF(B909="","",IF(G909&lt;&gt;"",G909,E909))</f>
        <v/>
      </c>
      <c r="J909" s="21" t="str">
        <f aca="false">IF(B909="","",IF(H909&lt;&gt;"",H909,F909))</f>
        <v/>
      </c>
      <c r="K909" s="26" t="str">
        <f aca="false">IF(A909="","",DATE(YEAR(A909),MONTH(A909),1))</f>
        <v/>
      </c>
      <c r="L909" s="21" t="str">
        <f aca="false">IF(J909="",IF(B909="","",IF(N(C909)&gt;=0,"Income","Expense")),IFERROR(INDEX(Lists!$B$2:$B$30,MATCH(J909,Lists!$A$2:$A$30,0)),""))</f>
        <v/>
      </c>
      <c r="M909" s="24"/>
      <c r="N909" s="27" t="str">
        <f aca="false">IF(B909="","",IFERROR(1000-SUMPRODUCT(MAX(ISNUMBER(SEARCH(Rules!$A$5:$A$204,B909))*(Rules!$A$5:$A$204&lt;&gt;"")*(1000-ROW(Rules!$A$5:$A$204)))),""))</f>
        <v/>
      </c>
    </row>
    <row r="910" customFormat="false" ht="15" hidden="false" customHeight="false" outlineLevel="0" collapsed="false">
      <c r="A910" s="23"/>
      <c r="B910" s="24"/>
      <c r="C910" s="25"/>
      <c r="D910" s="24"/>
      <c r="E910" s="21" t="str">
        <f aca="false">IF(OR(B910="",N(N910)=0,N910=1000),IF(B910="","","Check"),INDEX(Rules!$B:$B,N910))</f>
        <v/>
      </c>
      <c r="F910" s="21" t="str">
        <f aca="false">IF(OR(B910="",N(N910)=0,N910=1000),"",INDEX(Rules!$C:$C,N910))</f>
        <v/>
      </c>
      <c r="G910" s="24"/>
      <c r="H910" s="24"/>
      <c r="I910" s="20" t="str">
        <f aca="false">IF(B910="","",IF(G910&lt;&gt;"",G910,E910))</f>
        <v/>
      </c>
      <c r="J910" s="21" t="str">
        <f aca="false">IF(B910="","",IF(H910&lt;&gt;"",H910,F910))</f>
        <v/>
      </c>
      <c r="K910" s="26" t="str">
        <f aca="false">IF(A910="","",DATE(YEAR(A910),MONTH(A910),1))</f>
        <v/>
      </c>
      <c r="L910" s="21" t="str">
        <f aca="false">IF(J910="",IF(B910="","",IF(N(C910)&gt;=0,"Income","Expense")),IFERROR(INDEX(Lists!$B$2:$B$30,MATCH(J910,Lists!$A$2:$A$30,0)),""))</f>
        <v/>
      </c>
      <c r="M910" s="24"/>
      <c r="N910" s="27" t="str">
        <f aca="false">IF(B910="","",IFERROR(1000-SUMPRODUCT(MAX(ISNUMBER(SEARCH(Rules!$A$5:$A$204,B910))*(Rules!$A$5:$A$204&lt;&gt;"")*(1000-ROW(Rules!$A$5:$A$204)))),""))</f>
        <v/>
      </c>
    </row>
    <row r="911" customFormat="false" ht="15" hidden="false" customHeight="false" outlineLevel="0" collapsed="false">
      <c r="A911" s="23"/>
      <c r="B911" s="24"/>
      <c r="C911" s="25"/>
      <c r="D911" s="24"/>
      <c r="E911" s="21" t="str">
        <f aca="false">IF(OR(B911="",N(N911)=0,N911=1000),IF(B911="","","Check"),INDEX(Rules!$B:$B,N911))</f>
        <v/>
      </c>
      <c r="F911" s="21" t="str">
        <f aca="false">IF(OR(B911="",N(N911)=0,N911=1000),"",INDEX(Rules!$C:$C,N911))</f>
        <v/>
      </c>
      <c r="G911" s="24"/>
      <c r="H911" s="24"/>
      <c r="I911" s="20" t="str">
        <f aca="false">IF(B911="","",IF(G911&lt;&gt;"",G911,E911))</f>
        <v/>
      </c>
      <c r="J911" s="21" t="str">
        <f aca="false">IF(B911="","",IF(H911&lt;&gt;"",H911,F911))</f>
        <v/>
      </c>
      <c r="K911" s="26" t="str">
        <f aca="false">IF(A911="","",DATE(YEAR(A911),MONTH(A911),1))</f>
        <v/>
      </c>
      <c r="L911" s="21" t="str">
        <f aca="false">IF(J911="",IF(B911="","",IF(N(C911)&gt;=0,"Income","Expense")),IFERROR(INDEX(Lists!$B$2:$B$30,MATCH(J911,Lists!$A$2:$A$30,0)),""))</f>
        <v/>
      </c>
      <c r="M911" s="24"/>
      <c r="N911" s="27" t="str">
        <f aca="false">IF(B911="","",IFERROR(1000-SUMPRODUCT(MAX(ISNUMBER(SEARCH(Rules!$A$5:$A$204,B911))*(Rules!$A$5:$A$204&lt;&gt;"")*(1000-ROW(Rules!$A$5:$A$204)))),""))</f>
        <v/>
      </c>
    </row>
    <row r="912" customFormat="false" ht="15" hidden="false" customHeight="false" outlineLevel="0" collapsed="false">
      <c r="A912" s="23"/>
      <c r="B912" s="24"/>
      <c r="C912" s="25"/>
      <c r="D912" s="24"/>
      <c r="E912" s="21" t="str">
        <f aca="false">IF(OR(B912="",N(N912)=0,N912=1000),IF(B912="","","Check"),INDEX(Rules!$B:$B,N912))</f>
        <v/>
      </c>
      <c r="F912" s="21" t="str">
        <f aca="false">IF(OR(B912="",N(N912)=0,N912=1000),"",INDEX(Rules!$C:$C,N912))</f>
        <v/>
      </c>
      <c r="G912" s="24"/>
      <c r="H912" s="24"/>
      <c r="I912" s="20" t="str">
        <f aca="false">IF(B912="","",IF(G912&lt;&gt;"",G912,E912))</f>
        <v/>
      </c>
      <c r="J912" s="21" t="str">
        <f aca="false">IF(B912="","",IF(H912&lt;&gt;"",H912,F912))</f>
        <v/>
      </c>
      <c r="K912" s="26" t="str">
        <f aca="false">IF(A912="","",DATE(YEAR(A912),MONTH(A912),1))</f>
        <v/>
      </c>
      <c r="L912" s="21" t="str">
        <f aca="false">IF(J912="",IF(B912="","",IF(N(C912)&gt;=0,"Income","Expense")),IFERROR(INDEX(Lists!$B$2:$B$30,MATCH(J912,Lists!$A$2:$A$30,0)),""))</f>
        <v/>
      </c>
      <c r="M912" s="24"/>
      <c r="N912" s="27" t="str">
        <f aca="false">IF(B912="","",IFERROR(1000-SUMPRODUCT(MAX(ISNUMBER(SEARCH(Rules!$A$5:$A$204,B912))*(Rules!$A$5:$A$204&lt;&gt;"")*(1000-ROW(Rules!$A$5:$A$204)))),""))</f>
        <v/>
      </c>
    </row>
    <row r="913" customFormat="false" ht="15" hidden="false" customHeight="false" outlineLevel="0" collapsed="false">
      <c r="A913" s="23"/>
      <c r="B913" s="24"/>
      <c r="C913" s="25"/>
      <c r="D913" s="24"/>
      <c r="E913" s="21" t="str">
        <f aca="false">IF(OR(B913="",N(N913)=0,N913=1000),IF(B913="","","Check"),INDEX(Rules!$B:$B,N913))</f>
        <v/>
      </c>
      <c r="F913" s="21" t="str">
        <f aca="false">IF(OR(B913="",N(N913)=0,N913=1000),"",INDEX(Rules!$C:$C,N913))</f>
        <v/>
      </c>
      <c r="G913" s="24"/>
      <c r="H913" s="24"/>
      <c r="I913" s="20" t="str">
        <f aca="false">IF(B913="","",IF(G913&lt;&gt;"",G913,E913))</f>
        <v/>
      </c>
      <c r="J913" s="21" t="str">
        <f aca="false">IF(B913="","",IF(H913&lt;&gt;"",H913,F913))</f>
        <v/>
      </c>
      <c r="K913" s="26" t="str">
        <f aca="false">IF(A913="","",DATE(YEAR(A913),MONTH(A913),1))</f>
        <v/>
      </c>
      <c r="L913" s="21" t="str">
        <f aca="false">IF(J913="",IF(B913="","",IF(N(C913)&gt;=0,"Income","Expense")),IFERROR(INDEX(Lists!$B$2:$B$30,MATCH(J913,Lists!$A$2:$A$30,0)),""))</f>
        <v/>
      </c>
      <c r="M913" s="24"/>
      <c r="N913" s="27" t="str">
        <f aca="false">IF(B913="","",IFERROR(1000-SUMPRODUCT(MAX(ISNUMBER(SEARCH(Rules!$A$5:$A$204,B913))*(Rules!$A$5:$A$204&lt;&gt;"")*(1000-ROW(Rules!$A$5:$A$204)))),""))</f>
        <v/>
      </c>
    </row>
    <row r="914" customFormat="false" ht="15" hidden="false" customHeight="false" outlineLevel="0" collapsed="false">
      <c r="A914" s="23"/>
      <c r="B914" s="24"/>
      <c r="C914" s="25"/>
      <c r="D914" s="24"/>
      <c r="E914" s="21" t="str">
        <f aca="false">IF(OR(B914="",N(N914)=0,N914=1000),IF(B914="","","Check"),INDEX(Rules!$B:$B,N914))</f>
        <v/>
      </c>
      <c r="F914" s="21" t="str">
        <f aca="false">IF(OR(B914="",N(N914)=0,N914=1000),"",INDEX(Rules!$C:$C,N914))</f>
        <v/>
      </c>
      <c r="G914" s="24"/>
      <c r="H914" s="24"/>
      <c r="I914" s="20" t="str">
        <f aca="false">IF(B914="","",IF(G914&lt;&gt;"",G914,E914))</f>
        <v/>
      </c>
      <c r="J914" s="21" t="str">
        <f aca="false">IF(B914="","",IF(H914&lt;&gt;"",H914,F914))</f>
        <v/>
      </c>
      <c r="K914" s="26" t="str">
        <f aca="false">IF(A914="","",DATE(YEAR(A914),MONTH(A914),1))</f>
        <v/>
      </c>
      <c r="L914" s="21" t="str">
        <f aca="false">IF(J914="",IF(B914="","",IF(N(C914)&gt;=0,"Income","Expense")),IFERROR(INDEX(Lists!$B$2:$B$30,MATCH(J914,Lists!$A$2:$A$30,0)),""))</f>
        <v/>
      </c>
      <c r="M914" s="24"/>
      <c r="N914" s="27" t="str">
        <f aca="false">IF(B914="","",IFERROR(1000-SUMPRODUCT(MAX(ISNUMBER(SEARCH(Rules!$A$5:$A$204,B914))*(Rules!$A$5:$A$204&lt;&gt;"")*(1000-ROW(Rules!$A$5:$A$204)))),""))</f>
        <v/>
      </c>
    </row>
    <row r="915" customFormat="false" ht="15" hidden="false" customHeight="false" outlineLevel="0" collapsed="false">
      <c r="A915" s="23"/>
      <c r="B915" s="24"/>
      <c r="C915" s="25"/>
      <c r="D915" s="24"/>
      <c r="E915" s="21" t="str">
        <f aca="false">IF(OR(B915="",N(N915)=0,N915=1000),IF(B915="","","Check"),INDEX(Rules!$B:$B,N915))</f>
        <v/>
      </c>
      <c r="F915" s="21" t="str">
        <f aca="false">IF(OR(B915="",N(N915)=0,N915=1000),"",INDEX(Rules!$C:$C,N915))</f>
        <v/>
      </c>
      <c r="G915" s="24"/>
      <c r="H915" s="24"/>
      <c r="I915" s="20" t="str">
        <f aca="false">IF(B915="","",IF(G915&lt;&gt;"",G915,E915))</f>
        <v/>
      </c>
      <c r="J915" s="21" t="str">
        <f aca="false">IF(B915="","",IF(H915&lt;&gt;"",H915,F915))</f>
        <v/>
      </c>
      <c r="K915" s="26" t="str">
        <f aca="false">IF(A915="","",DATE(YEAR(A915),MONTH(A915),1))</f>
        <v/>
      </c>
      <c r="L915" s="21" t="str">
        <f aca="false">IF(J915="",IF(B915="","",IF(N(C915)&gt;=0,"Income","Expense")),IFERROR(INDEX(Lists!$B$2:$B$30,MATCH(J915,Lists!$A$2:$A$30,0)),""))</f>
        <v/>
      </c>
      <c r="M915" s="24"/>
      <c r="N915" s="27" t="str">
        <f aca="false">IF(B915="","",IFERROR(1000-SUMPRODUCT(MAX(ISNUMBER(SEARCH(Rules!$A$5:$A$204,B915))*(Rules!$A$5:$A$204&lt;&gt;"")*(1000-ROW(Rules!$A$5:$A$204)))),""))</f>
        <v/>
      </c>
    </row>
    <row r="916" customFormat="false" ht="15" hidden="false" customHeight="false" outlineLevel="0" collapsed="false">
      <c r="A916" s="23"/>
      <c r="B916" s="24"/>
      <c r="C916" s="25"/>
      <c r="D916" s="24"/>
      <c r="E916" s="21" t="str">
        <f aca="false">IF(OR(B916="",N(N916)=0,N916=1000),IF(B916="","","Check"),INDEX(Rules!$B:$B,N916))</f>
        <v/>
      </c>
      <c r="F916" s="21" t="str">
        <f aca="false">IF(OR(B916="",N(N916)=0,N916=1000),"",INDEX(Rules!$C:$C,N916))</f>
        <v/>
      </c>
      <c r="G916" s="24"/>
      <c r="H916" s="24"/>
      <c r="I916" s="20" t="str">
        <f aca="false">IF(B916="","",IF(G916&lt;&gt;"",G916,E916))</f>
        <v/>
      </c>
      <c r="J916" s="21" t="str">
        <f aca="false">IF(B916="","",IF(H916&lt;&gt;"",H916,F916))</f>
        <v/>
      </c>
      <c r="K916" s="26" t="str">
        <f aca="false">IF(A916="","",DATE(YEAR(A916),MONTH(A916),1))</f>
        <v/>
      </c>
      <c r="L916" s="21" t="str">
        <f aca="false">IF(J916="",IF(B916="","",IF(N(C916)&gt;=0,"Income","Expense")),IFERROR(INDEX(Lists!$B$2:$B$30,MATCH(J916,Lists!$A$2:$A$30,0)),""))</f>
        <v/>
      </c>
      <c r="M916" s="24"/>
      <c r="N916" s="27" t="str">
        <f aca="false">IF(B916="","",IFERROR(1000-SUMPRODUCT(MAX(ISNUMBER(SEARCH(Rules!$A$5:$A$204,B916))*(Rules!$A$5:$A$204&lt;&gt;"")*(1000-ROW(Rules!$A$5:$A$204)))),""))</f>
        <v/>
      </c>
    </row>
    <row r="917" customFormat="false" ht="15" hidden="false" customHeight="false" outlineLevel="0" collapsed="false">
      <c r="A917" s="23"/>
      <c r="B917" s="24"/>
      <c r="C917" s="25"/>
      <c r="D917" s="24"/>
      <c r="E917" s="21" t="str">
        <f aca="false">IF(OR(B917="",N(N917)=0,N917=1000),IF(B917="","","Check"),INDEX(Rules!$B:$B,N917))</f>
        <v/>
      </c>
      <c r="F917" s="21" t="str">
        <f aca="false">IF(OR(B917="",N(N917)=0,N917=1000),"",INDEX(Rules!$C:$C,N917))</f>
        <v/>
      </c>
      <c r="G917" s="24"/>
      <c r="H917" s="24"/>
      <c r="I917" s="20" t="str">
        <f aca="false">IF(B917="","",IF(G917&lt;&gt;"",G917,E917))</f>
        <v/>
      </c>
      <c r="J917" s="21" t="str">
        <f aca="false">IF(B917="","",IF(H917&lt;&gt;"",H917,F917))</f>
        <v/>
      </c>
      <c r="K917" s="26" t="str">
        <f aca="false">IF(A917="","",DATE(YEAR(A917),MONTH(A917),1))</f>
        <v/>
      </c>
      <c r="L917" s="21" t="str">
        <f aca="false">IF(J917="",IF(B917="","",IF(N(C917)&gt;=0,"Income","Expense")),IFERROR(INDEX(Lists!$B$2:$B$30,MATCH(J917,Lists!$A$2:$A$30,0)),""))</f>
        <v/>
      </c>
      <c r="M917" s="24"/>
      <c r="N917" s="27" t="str">
        <f aca="false">IF(B917="","",IFERROR(1000-SUMPRODUCT(MAX(ISNUMBER(SEARCH(Rules!$A$5:$A$204,B917))*(Rules!$A$5:$A$204&lt;&gt;"")*(1000-ROW(Rules!$A$5:$A$204)))),""))</f>
        <v/>
      </c>
    </row>
    <row r="918" customFormat="false" ht="15" hidden="false" customHeight="false" outlineLevel="0" collapsed="false">
      <c r="A918" s="23"/>
      <c r="B918" s="24"/>
      <c r="C918" s="25"/>
      <c r="D918" s="24"/>
      <c r="E918" s="21" t="str">
        <f aca="false">IF(OR(B918="",N(N918)=0,N918=1000),IF(B918="","","Check"),INDEX(Rules!$B:$B,N918))</f>
        <v/>
      </c>
      <c r="F918" s="21" t="str">
        <f aca="false">IF(OR(B918="",N(N918)=0,N918=1000),"",INDEX(Rules!$C:$C,N918))</f>
        <v/>
      </c>
      <c r="G918" s="24"/>
      <c r="H918" s="24"/>
      <c r="I918" s="20" t="str">
        <f aca="false">IF(B918="","",IF(G918&lt;&gt;"",G918,E918))</f>
        <v/>
      </c>
      <c r="J918" s="21" t="str">
        <f aca="false">IF(B918="","",IF(H918&lt;&gt;"",H918,F918))</f>
        <v/>
      </c>
      <c r="K918" s="26" t="str">
        <f aca="false">IF(A918="","",DATE(YEAR(A918),MONTH(A918),1))</f>
        <v/>
      </c>
      <c r="L918" s="21" t="str">
        <f aca="false">IF(J918="",IF(B918="","",IF(N(C918)&gt;=0,"Income","Expense")),IFERROR(INDEX(Lists!$B$2:$B$30,MATCH(J918,Lists!$A$2:$A$30,0)),""))</f>
        <v/>
      </c>
      <c r="M918" s="24"/>
      <c r="N918" s="27" t="str">
        <f aca="false">IF(B918="","",IFERROR(1000-SUMPRODUCT(MAX(ISNUMBER(SEARCH(Rules!$A$5:$A$204,B918))*(Rules!$A$5:$A$204&lt;&gt;"")*(1000-ROW(Rules!$A$5:$A$204)))),""))</f>
        <v/>
      </c>
    </row>
    <row r="919" customFormat="false" ht="15" hidden="false" customHeight="false" outlineLevel="0" collapsed="false">
      <c r="A919" s="23"/>
      <c r="B919" s="24"/>
      <c r="C919" s="25"/>
      <c r="D919" s="24"/>
      <c r="E919" s="21" t="str">
        <f aca="false">IF(OR(B919="",N(N919)=0,N919=1000),IF(B919="","","Check"),INDEX(Rules!$B:$B,N919))</f>
        <v/>
      </c>
      <c r="F919" s="21" t="str">
        <f aca="false">IF(OR(B919="",N(N919)=0,N919=1000),"",INDEX(Rules!$C:$C,N919))</f>
        <v/>
      </c>
      <c r="G919" s="24"/>
      <c r="H919" s="24"/>
      <c r="I919" s="20" t="str">
        <f aca="false">IF(B919="","",IF(G919&lt;&gt;"",G919,E919))</f>
        <v/>
      </c>
      <c r="J919" s="21" t="str">
        <f aca="false">IF(B919="","",IF(H919&lt;&gt;"",H919,F919))</f>
        <v/>
      </c>
      <c r="K919" s="26" t="str">
        <f aca="false">IF(A919="","",DATE(YEAR(A919),MONTH(A919),1))</f>
        <v/>
      </c>
      <c r="L919" s="21" t="str">
        <f aca="false">IF(J919="",IF(B919="","",IF(N(C919)&gt;=0,"Income","Expense")),IFERROR(INDEX(Lists!$B$2:$B$30,MATCH(J919,Lists!$A$2:$A$30,0)),""))</f>
        <v/>
      </c>
      <c r="M919" s="24"/>
      <c r="N919" s="27" t="str">
        <f aca="false">IF(B919="","",IFERROR(1000-SUMPRODUCT(MAX(ISNUMBER(SEARCH(Rules!$A$5:$A$204,B919))*(Rules!$A$5:$A$204&lt;&gt;"")*(1000-ROW(Rules!$A$5:$A$204)))),""))</f>
        <v/>
      </c>
    </row>
    <row r="920" customFormat="false" ht="15" hidden="false" customHeight="false" outlineLevel="0" collapsed="false">
      <c r="A920" s="23"/>
      <c r="B920" s="24"/>
      <c r="C920" s="25"/>
      <c r="D920" s="24"/>
      <c r="E920" s="21" t="str">
        <f aca="false">IF(OR(B920="",N(N920)=0,N920=1000),IF(B920="","","Check"),INDEX(Rules!$B:$B,N920))</f>
        <v/>
      </c>
      <c r="F920" s="21" t="str">
        <f aca="false">IF(OR(B920="",N(N920)=0,N920=1000),"",INDEX(Rules!$C:$C,N920))</f>
        <v/>
      </c>
      <c r="G920" s="24"/>
      <c r="H920" s="24"/>
      <c r="I920" s="20" t="str">
        <f aca="false">IF(B920="","",IF(G920&lt;&gt;"",G920,E920))</f>
        <v/>
      </c>
      <c r="J920" s="21" t="str">
        <f aca="false">IF(B920="","",IF(H920&lt;&gt;"",H920,F920))</f>
        <v/>
      </c>
      <c r="K920" s="26" t="str">
        <f aca="false">IF(A920="","",DATE(YEAR(A920),MONTH(A920),1))</f>
        <v/>
      </c>
      <c r="L920" s="21" t="str">
        <f aca="false">IF(J920="",IF(B920="","",IF(N(C920)&gt;=0,"Income","Expense")),IFERROR(INDEX(Lists!$B$2:$B$30,MATCH(J920,Lists!$A$2:$A$30,0)),""))</f>
        <v/>
      </c>
      <c r="M920" s="24"/>
      <c r="N920" s="27" t="str">
        <f aca="false">IF(B920="","",IFERROR(1000-SUMPRODUCT(MAX(ISNUMBER(SEARCH(Rules!$A$5:$A$204,B920))*(Rules!$A$5:$A$204&lt;&gt;"")*(1000-ROW(Rules!$A$5:$A$204)))),""))</f>
        <v/>
      </c>
    </row>
    <row r="921" customFormat="false" ht="15" hidden="false" customHeight="false" outlineLevel="0" collapsed="false">
      <c r="A921" s="23"/>
      <c r="B921" s="24"/>
      <c r="C921" s="25"/>
      <c r="D921" s="24"/>
      <c r="E921" s="21" t="str">
        <f aca="false">IF(OR(B921="",N(N921)=0,N921=1000),IF(B921="","","Check"),INDEX(Rules!$B:$B,N921))</f>
        <v/>
      </c>
      <c r="F921" s="21" t="str">
        <f aca="false">IF(OR(B921="",N(N921)=0,N921=1000),"",INDEX(Rules!$C:$C,N921))</f>
        <v/>
      </c>
      <c r="G921" s="24"/>
      <c r="H921" s="24"/>
      <c r="I921" s="20" t="str">
        <f aca="false">IF(B921="","",IF(G921&lt;&gt;"",G921,E921))</f>
        <v/>
      </c>
      <c r="J921" s="21" t="str">
        <f aca="false">IF(B921="","",IF(H921&lt;&gt;"",H921,F921))</f>
        <v/>
      </c>
      <c r="K921" s="26" t="str">
        <f aca="false">IF(A921="","",DATE(YEAR(A921),MONTH(A921),1))</f>
        <v/>
      </c>
      <c r="L921" s="21" t="str">
        <f aca="false">IF(J921="",IF(B921="","",IF(N(C921)&gt;=0,"Income","Expense")),IFERROR(INDEX(Lists!$B$2:$B$30,MATCH(J921,Lists!$A$2:$A$30,0)),""))</f>
        <v/>
      </c>
      <c r="M921" s="24"/>
      <c r="N921" s="27" t="str">
        <f aca="false">IF(B921="","",IFERROR(1000-SUMPRODUCT(MAX(ISNUMBER(SEARCH(Rules!$A$5:$A$204,B921))*(Rules!$A$5:$A$204&lt;&gt;"")*(1000-ROW(Rules!$A$5:$A$204)))),""))</f>
        <v/>
      </c>
    </row>
    <row r="922" customFormat="false" ht="15" hidden="false" customHeight="false" outlineLevel="0" collapsed="false">
      <c r="A922" s="23"/>
      <c r="B922" s="24"/>
      <c r="C922" s="25"/>
      <c r="D922" s="24"/>
      <c r="E922" s="21" t="str">
        <f aca="false">IF(OR(B922="",N(N922)=0,N922=1000),IF(B922="","","Check"),INDEX(Rules!$B:$B,N922))</f>
        <v/>
      </c>
      <c r="F922" s="21" t="str">
        <f aca="false">IF(OR(B922="",N(N922)=0,N922=1000),"",INDEX(Rules!$C:$C,N922))</f>
        <v/>
      </c>
      <c r="G922" s="24"/>
      <c r="H922" s="24"/>
      <c r="I922" s="20" t="str">
        <f aca="false">IF(B922="","",IF(G922&lt;&gt;"",G922,E922))</f>
        <v/>
      </c>
      <c r="J922" s="21" t="str">
        <f aca="false">IF(B922="","",IF(H922&lt;&gt;"",H922,F922))</f>
        <v/>
      </c>
      <c r="K922" s="26" t="str">
        <f aca="false">IF(A922="","",DATE(YEAR(A922),MONTH(A922),1))</f>
        <v/>
      </c>
      <c r="L922" s="21" t="str">
        <f aca="false">IF(J922="",IF(B922="","",IF(N(C922)&gt;=0,"Income","Expense")),IFERROR(INDEX(Lists!$B$2:$B$30,MATCH(J922,Lists!$A$2:$A$30,0)),""))</f>
        <v/>
      </c>
      <c r="M922" s="24"/>
      <c r="N922" s="27" t="str">
        <f aca="false">IF(B922="","",IFERROR(1000-SUMPRODUCT(MAX(ISNUMBER(SEARCH(Rules!$A$5:$A$204,B922))*(Rules!$A$5:$A$204&lt;&gt;"")*(1000-ROW(Rules!$A$5:$A$204)))),""))</f>
        <v/>
      </c>
    </row>
    <row r="923" customFormat="false" ht="15" hidden="false" customHeight="false" outlineLevel="0" collapsed="false">
      <c r="A923" s="23"/>
      <c r="B923" s="24"/>
      <c r="C923" s="25"/>
      <c r="D923" s="24"/>
      <c r="E923" s="21" t="str">
        <f aca="false">IF(OR(B923="",N(N923)=0,N923=1000),IF(B923="","","Check"),INDEX(Rules!$B:$B,N923))</f>
        <v/>
      </c>
      <c r="F923" s="21" t="str">
        <f aca="false">IF(OR(B923="",N(N923)=0,N923=1000),"",INDEX(Rules!$C:$C,N923))</f>
        <v/>
      </c>
      <c r="G923" s="24"/>
      <c r="H923" s="24"/>
      <c r="I923" s="20" t="str">
        <f aca="false">IF(B923="","",IF(G923&lt;&gt;"",G923,E923))</f>
        <v/>
      </c>
      <c r="J923" s="21" t="str">
        <f aca="false">IF(B923="","",IF(H923&lt;&gt;"",H923,F923))</f>
        <v/>
      </c>
      <c r="K923" s="26" t="str">
        <f aca="false">IF(A923="","",DATE(YEAR(A923),MONTH(A923),1))</f>
        <v/>
      </c>
      <c r="L923" s="21" t="str">
        <f aca="false">IF(J923="",IF(B923="","",IF(N(C923)&gt;=0,"Income","Expense")),IFERROR(INDEX(Lists!$B$2:$B$30,MATCH(J923,Lists!$A$2:$A$30,0)),""))</f>
        <v/>
      </c>
      <c r="M923" s="24"/>
      <c r="N923" s="27" t="str">
        <f aca="false">IF(B923="","",IFERROR(1000-SUMPRODUCT(MAX(ISNUMBER(SEARCH(Rules!$A$5:$A$204,B923))*(Rules!$A$5:$A$204&lt;&gt;"")*(1000-ROW(Rules!$A$5:$A$204)))),""))</f>
        <v/>
      </c>
    </row>
    <row r="924" customFormat="false" ht="15" hidden="false" customHeight="false" outlineLevel="0" collapsed="false">
      <c r="A924" s="23"/>
      <c r="B924" s="24"/>
      <c r="C924" s="25"/>
      <c r="D924" s="24"/>
      <c r="E924" s="21" t="str">
        <f aca="false">IF(OR(B924="",N(N924)=0,N924=1000),IF(B924="","","Check"),INDEX(Rules!$B:$B,N924))</f>
        <v/>
      </c>
      <c r="F924" s="21" t="str">
        <f aca="false">IF(OR(B924="",N(N924)=0,N924=1000),"",INDEX(Rules!$C:$C,N924))</f>
        <v/>
      </c>
      <c r="G924" s="24"/>
      <c r="H924" s="24"/>
      <c r="I924" s="20" t="str">
        <f aca="false">IF(B924="","",IF(G924&lt;&gt;"",G924,E924))</f>
        <v/>
      </c>
      <c r="J924" s="21" t="str">
        <f aca="false">IF(B924="","",IF(H924&lt;&gt;"",H924,F924))</f>
        <v/>
      </c>
      <c r="K924" s="26" t="str">
        <f aca="false">IF(A924="","",DATE(YEAR(A924),MONTH(A924),1))</f>
        <v/>
      </c>
      <c r="L924" s="21" t="str">
        <f aca="false">IF(J924="",IF(B924="","",IF(N(C924)&gt;=0,"Income","Expense")),IFERROR(INDEX(Lists!$B$2:$B$30,MATCH(J924,Lists!$A$2:$A$30,0)),""))</f>
        <v/>
      </c>
      <c r="M924" s="24"/>
      <c r="N924" s="27" t="str">
        <f aca="false">IF(B924="","",IFERROR(1000-SUMPRODUCT(MAX(ISNUMBER(SEARCH(Rules!$A$5:$A$204,B924))*(Rules!$A$5:$A$204&lt;&gt;"")*(1000-ROW(Rules!$A$5:$A$204)))),""))</f>
        <v/>
      </c>
    </row>
    <row r="925" customFormat="false" ht="15" hidden="false" customHeight="false" outlineLevel="0" collapsed="false">
      <c r="A925" s="23"/>
      <c r="B925" s="24"/>
      <c r="C925" s="25"/>
      <c r="D925" s="24"/>
      <c r="E925" s="21" t="str">
        <f aca="false">IF(OR(B925="",N(N925)=0,N925=1000),IF(B925="","","Check"),INDEX(Rules!$B:$B,N925))</f>
        <v/>
      </c>
      <c r="F925" s="21" t="str">
        <f aca="false">IF(OR(B925="",N(N925)=0,N925=1000),"",INDEX(Rules!$C:$C,N925))</f>
        <v/>
      </c>
      <c r="G925" s="24"/>
      <c r="H925" s="24"/>
      <c r="I925" s="20" t="str">
        <f aca="false">IF(B925="","",IF(G925&lt;&gt;"",G925,E925))</f>
        <v/>
      </c>
      <c r="J925" s="21" t="str">
        <f aca="false">IF(B925="","",IF(H925&lt;&gt;"",H925,F925))</f>
        <v/>
      </c>
      <c r="K925" s="26" t="str">
        <f aca="false">IF(A925="","",DATE(YEAR(A925),MONTH(A925),1))</f>
        <v/>
      </c>
      <c r="L925" s="21" t="str">
        <f aca="false">IF(J925="",IF(B925="","",IF(N(C925)&gt;=0,"Income","Expense")),IFERROR(INDEX(Lists!$B$2:$B$30,MATCH(J925,Lists!$A$2:$A$30,0)),""))</f>
        <v/>
      </c>
      <c r="M925" s="24"/>
      <c r="N925" s="27" t="str">
        <f aca="false">IF(B925="","",IFERROR(1000-SUMPRODUCT(MAX(ISNUMBER(SEARCH(Rules!$A$5:$A$204,B925))*(Rules!$A$5:$A$204&lt;&gt;"")*(1000-ROW(Rules!$A$5:$A$204)))),""))</f>
        <v/>
      </c>
    </row>
    <row r="926" customFormat="false" ht="15" hidden="false" customHeight="false" outlineLevel="0" collapsed="false">
      <c r="A926" s="23"/>
      <c r="B926" s="24"/>
      <c r="C926" s="25"/>
      <c r="D926" s="24"/>
      <c r="E926" s="21" t="str">
        <f aca="false">IF(OR(B926="",N(N926)=0,N926=1000),IF(B926="","","Check"),INDEX(Rules!$B:$B,N926))</f>
        <v/>
      </c>
      <c r="F926" s="21" t="str">
        <f aca="false">IF(OR(B926="",N(N926)=0,N926=1000),"",INDEX(Rules!$C:$C,N926))</f>
        <v/>
      </c>
      <c r="G926" s="24"/>
      <c r="H926" s="24"/>
      <c r="I926" s="20" t="str">
        <f aca="false">IF(B926="","",IF(G926&lt;&gt;"",G926,E926))</f>
        <v/>
      </c>
      <c r="J926" s="21" t="str">
        <f aca="false">IF(B926="","",IF(H926&lt;&gt;"",H926,F926))</f>
        <v/>
      </c>
      <c r="K926" s="26" t="str">
        <f aca="false">IF(A926="","",DATE(YEAR(A926),MONTH(A926),1))</f>
        <v/>
      </c>
      <c r="L926" s="21" t="str">
        <f aca="false">IF(J926="",IF(B926="","",IF(N(C926)&gt;=0,"Income","Expense")),IFERROR(INDEX(Lists!$B$2:$B$30,MATCH(J926,Lists!$A$2:$A$30,0)),""))</f>
        <v/>
      </c>
      <c r="M926" s="24"/>
      <c r="N926" s="27" t="str">
        <f aca="false">IF(B926="","",IFERROR(1000-SUMPRODUCT(MAX(ISNUMBER(SEARCH(Rules!$A$5:$A$204,B926))*(Rules!$A$5:$A$204&lt;&gt;"")*(1000-ROW(Rules!$A$5:$A$204)))),""))</f>
        <v/>
      </c>
    </row>
    <row r="927" customFormat="false" ht="15" hidden="false" customHeight="false" outlineLevel="0" collapsed="false">
      <c r="A927" s="23"/>
      <c r="B927" s="24"/>
      <c r="C927" s="25"/>
      <c r="D927" s="24"/>
      <c r="E927" s="21" t="str">
        <f aca="false">IF(OR(B927="",N(N927)=0,N927=1000),IF(B927="","","Check"),INDEX(Rules!$B:$B,N927))</f>
        <v/>
      </c>
      <c r="F927" s="21" t="str">
        <f aca="false">IF(OR(B927="",N(N927)=0,N927=1000),"",INDEX(Rules!$C:$C,N927))</f>
        <v/>
      </c>
      <c r="G927" s="24"/>
      <c r="H927" s="24"/>
      <c r="I927" s="20" t="str">
        <f aca="false">IF(B927="","",IF(G927&lt;&gt;"",G927,E927))</f>
        <v/>
      </c>
      <c r="J927" s="21" t="str">
        <f aca="false">IF(B927="","",IF(H927&lt;&gt;"",H927,F927))</f>
        <v/>
      </c>
      <c r="K927" s="26" t="str">
        <f aca="false">IF(A927="","",DATE(YEAR(A927),MONTH(A927),1))</f>
        <v/>
      </c>
      <c r="L927" s="21" t="str">
        <f aca="false">IF(J927="",IF(B927="","",IF(N(C927)&gt;=0,"Income","Expense")),IFERROR(INDEX(Lists!$B$2:$B$30,MATCH(J927,Lists!$A$2:$A$30,0)),""))</f>
        <v/>
      </c>
      <c r="M927" s="24"/>
      <c r="N927" s="27" t="str">
        <f aca="false">IF(B927="","",IFERROR(1000-SUMPRODUCT(MAX(ISNUMBER(SEARCH(Rules!$A$5:$A$204,B927))*(Rules!$A$5:$A$204&lt;&gt;"")*(1000-ROW(Rules!$A$5:$A$204)))),""))</f>
        <v/>
      </c>
    </row>
    <row r="928" customFormat="false" ht="15" hidden="false" customHeight="false" outlineLevel="0" collapsed="false">
      <c r="A928" s="23"/>
      <c r="B928" s="24"/>
      <c r="C928" s="25"/>
      <c r="D928" s="24"/>
      <c r="E928" s="21" t="str">
        <f aca="false">IF(OR(B928="",N(N928)=0,N928=1000),IF(B928="","","Check"),INDEX(Rules!$B:$B,N928))</f>
        <v/>
      </c>
      <c r="F928" s="21" t="str">
        <f aca="false">IF(OR(B928="",N(N928)=0,N928=1000),"",INDEX(Rules!$C:$C,N928))</f>
        <v/>
      </c>
      <c r="G928" s="24"/>
      <c r="H928" s="24"/>
      <c r="I928" s="20" t="str">
        <f aca="false">IF(B928="","",IF(G928&lt;&gt;"",G928,E928))</f>
        <v/>
      </c>
      <c r="J928" s="21" t="str">
        <f aca="false">IF(B928="","",IF(H928&lt;&gt;"",H928,F928))</f>
        <v/>
      </c>
      <c r="K928" s="26" t="str">
        <f aca="false">IF(A928="","",DATE(YEAR(A928),MONTH(A928),1))</f>
        <v/>
      </c>
      <c r="L928" s="21" t="str">
        <f aca="false">IF(J928="",IF(B928="","",IF(N(C928)&gt;=0,"Income","Expense")),IFERROR(INDEX(Lists!$B$2:$B$30,MATCH(J928,Lists!$A$2:$A$30,0)),""))</f>
        <v/>
      </c>
      <c r="M928" s="24"/>
      <c r="N928" s="27" t="str">
        <f aca="false">IF(B928="","",IFERROR(1000-SUMPRODUCT(MAX(ISNUMBER(SEARCH(Rules!$A$5:$A$204,B928))*(Rules!$A$5:$A$204&lt;&gt;"")*(1000-ROW(Rules!$A$5:$A$204)))),""))</f>
        <v/>
      </c>
    </row>
    <row r="929" customFormat="false" ht="15" hidden="false" customHeight="false" outlineLevel="0" collapsed="false">
      <c r="A929" s="23"/>
      <c r="B929" s="24"/>
      <c r="C929" s="25"/>
      <c r="D929" s="24"/>
      <c r="E929" s="21" t="str">
        <f aca="false">IF(OR(B929="",N(N929)=0,N929=1000),IF(B929="","","Check"),INDEX(Rules!$B:$B,N929))</f>
        <v/>
      </c>
      <c r="F929" s="21" t="str">
        <f aca="false">IF(OR(B929="",N(N929)=0,N929=1000),"",INDEX(Rules!$C:$C,N929))</f>
        <v/>
      </c>
      <c r="G929" s="24"/>
      <c r="H929" s="24"/>
      <c r="I929" s="20" t="str">
        <f aca="false">IF(B929="","",IF(G929&lt;&gt;"",G929,E929))</f>
        <v/>
      </c>
      <c r="J929" s="21" t="str">
        <f aca="false">IF(B929="","",IF(H929&lt;&gt;"",H929,F929))</f>
        <v/>
      </c>
      <c r="K929" s="26" t="str">
        <f aca="false">IF(A929="","",DATE(YEAR(A929),MONTH(A929),1))</f>
        <v/>
      </c>
      <c r="L929" s="21" t="str">
        <f aca="false">IF(J929="",IF(B929="","",IF(N(C929)&gt;=0,"Income","Expense")),IFERROR(INDEX(Lists!$B$2:$B$30,MATCH(J929,Lists!$A$2:$A$30,0)),""))</f>
        <v/>
      </c>
      <c r="M929" s="24"/>
      <c r="N929" s="27" t="str">
        <f aca="false">IF(B929="","",IFERROR(1000-SUMPRODUCT(MAX(ISNUMBER(SEARCH(Rules!$A$5:$A$204,B929))*(Rules!$A$5:$A$204&lt;&gt;"")*(1000-ROW(Rules!$A$5:$A$204)))),""))</f>
        <v/>
      </c>
    </row>
    <row r="930" customFormat="false" ht="15" hidden="false" customHeight="false" outlineLevel="0" collapsed="false">
      <c r="A930" s="23"/>
      <c r="B930" s="24"/>
      <c r="C930" s="25"/>
      <c r="D930" s="24"/>
      <c r="E930" s="21" t="str">
        <f aca="false">IF(OR(B930="",N(N930)=0,N930=1000),IF(B930="","","Check"),INDEX(Rules!$B:$B,N930))</f>
        <v/>
      </c>
      <c r="F930" s="21" t="str">
        <f aca="false">IF(OR(B930="",N(N930)=0,N930=1000),"",INDEX(Rules!$C:$C,N930))</f>
        <v/>
      </c>
      <c r="G930" s="24"/>
      <c r="H930" s="24"/>
      <c r="I930" s="20" t="str">
        <f aca="false">IF(B930="","",IF(G930&lt;&gt;"",G930,E930))</f>
        <v/>
      </c>
      <c r="J930" s="21" t="str">
        <f aca="false">IF(B930="","",IF(H930&lt;&gt;"",H930,F930))</f>
        <v/>
      </c>
      <c r="K930" s="26" t="str">
        <f aca="false">IF(A930="","",DATE(YEAR(A930),MONTH(A930),1))</f>
        <v/>
      </c>
      <c r="L930" s="21" t="str">
        <f aca="false">IF(J930="",IF(B930="","",IF(N(C930)&gt;=0,"Income","Expense")),IFERROR(INDEX(Lists!$B$2:$B$30,MATCH(J930,Lists!$A$2:$A$30,0)),""))</f>
        <v/>
      </c>
      <c r="M930" s="24"/>
      <c r="N930" s="27" t="str">
        <f aca="false">IF(B930="","",IFERROR(1000-SUMPRODUCT(MAX(ISNUMBER(SEARCH(Rules!$A$5:$A$204,B930))*(Rules!$A$5:$A$204&lt;&gt;"")*(1000-ROW(Rules!$A$5:$A$204)))),""))</f>
        <v/>
      </c>
    </row>
    <row r="931" customFormat="false" ht="15" hidden="false" customHeight="false" outlineLevel="0" collapsed="false">
      <c r="A931" s="23"/>
      <c r="B931" s="24"/>
      <c r="C931" s="25"/>
      <c r="D931" s="24"/>
      <c r="E931" s="21" t="str">
        <f aca="false">IF(OR(B931="",N(N931)=0,N931=1000),IF(B931="","","Check"),INDEX(Rules!$B:$B,N931))</f>
        <v/>
      </c>
      <c r="F931" s="21" t="str">
        <f aca="false">IF(OR(B931="",N(N931)=0,N931=1000),"",INDEX(Rules!$C:$C,N931))</f>
        <v/>
      </c>
      <c r="G931" s="24"/>
      <c r="H931" s="24"/>
      <c r="I931" s="20" t="str">
        <f aca="false">IF(B931="","",IF(G931&lt;&gt;"",G931,E931))</f>
        <v/>
      </c>
      <c r="J931" s="21" t="str">
        <f aca="false">IF(B931="","",IF(H931&lt;&gt;"",H931,F931))</f>
        <v/>
      </c>
      <c r="K931" s="26" t="str">
        <f aca="false">IF(A931="","",DATE(YEAR(A931),MONTH(A931),1))</f>
        <v/>
      </c>
      <c r="L931" s="21" t="str">
        <f aca="false">IF(J931="",IF(B931="","",IF(N(C931)&gt;=0,"Income","Expense")),IFERROR(INDEX(Lists!$B$2:$B$30,MATCH(J931,Lists!$A$2:$A$30,0)),""))</f>
        <v/>
      </c>
      <c r="M931" s="24"/>
      <c r="N931" s="27" t="str">
        <f aca="false">IF(B931="","",IFERROR(1000-SUMPRODUCT(MAX(ISNUMBER(SEARCH(Rules!$A$5:$A$204,B931))*(Rules!$A$5:$A$204&lt;&gt;"")*(1000-ROW(Rules!$A$5:$A$204)))),""))</f>
        <v/>
      </c>
    </row>
    <row r="932" customFormat="false" ht="15" hidden="false" customHeight="false" outlineLevel="0" collapsed="false">
      <c r="A932" s="23"/>
      <c r="B932" s="24"/>
      <c r="C932" s="25"/>
      <c r="D932" s="24"/>
      <c r="E932" s="21" t="str">
        <f aca="false">IF(OR(B932="",N(N932)=0,N932=1000),IF(B932="","","Check"),INDEX(Rules!$B:$B,N932))</f>
        <v/>
      </c>
      <c r="F932" s="21" t="str">
        <f aca="false">IF(OR(B932="",N(N932)=0,N932=1000),"",INDEX(Rules!$C:$C,N932))</f>
        <v/>
      </c>
      <c r="G932" s="24"/>
      <c r="H932" s="24"/>
      <c r="I932" s="20" t="str">
        <f aca="false">IF(B932="","",IF(G932&lt;&gt;"",G932,E932))</f>
        <v/>
      </c>
      <c r="J932" s="21" t="str">
        <f aca="false">IF(B932="","",IF(H932&lt;&gt;"",H932,F932))</f>
        <v/>
      </c>
      <c r="K932" s="26" t="str">
        <f aca="false">IF(A932="","",DATE(YEAR(A932),MONTH(A932),1))</f>
        <v/>
      </c>
      <c r="L932" s="21" t="str">
        <f aca="false">IF(J932="",IF(B932="","",IF(N(C932)&gt;=0,"Income","Expense")),IFERROR(INDEX(Lists!$B$2:$B$30,MATCH(J932,Lists!$A$2:$A$30,0)),""))</f>
        <v/>
      </c>
      <c r="M932" s="24"/>
      <c r="N932" s="27" t="str">
        <f aca="false">IF(B932="","",IFERROR(1000-SUMPRODUCT(MAX(ISNUMBER(SEARCH(Rules!$A$5:$A$204,B932))*(Rules!$A$5:$A$204&lt;&gt;"")*(1000-ROW(Rules!$A$5:$A$204)))),""))</f>
        <v/>
      </c>
    </row>
    <row r="933" customFormat="false" ht="15" hidden="false" customHeight="false" outlineLevel="0" collapsed="false">
      <c r="A933" s="23"/>
      <c r="B933" s="24"/>
      <c r="C933" s="25"/>
      <c r="D933" s="24"/>
      <c r="E933" s="21" t="str">
        <f aca="false">IF(OR(B933="",N(N933)=0,N933=1000),IF(B933="","","Check"),INDEX(Rules!$B:$B,N933))</f>
        <v/>
      </c>
      <c r="F933" s="21" t="str">
        <f aca="false">IF(OR(B933="",N(N933)=0,N933=1000),"",INDEX(Rules!$C:$C,N933))</f>
        <v/>
      </c>
      <c r="G933" s="24"/>
      <c r="H933" s="24"/>
      <c r="I933" s="20" t="str">
        <f aca="false">IF(B933="","",IF(G933&lt;&gt;"",G933,E933))</f>
        <v/>
      </c>
      <c r="J933" s="21" t="str">
        <f aca="false">IF(B933="","",IF(H933&lt;&gt;"",H933,F933))</f>
        <v/>
      </c>
      <c r="K933" s="26" t="str">
        <f aca="false">IF(A933="","",DATE(YEAR(A933),MONTH(A933),1))</f>
        <v/>
      </c>
      <c r="L933" s="21" t="str">
        <f aca="false">IF(J933="",IF(B933="","",IF(N(C933)&gt;=0,"Income","Expense")),IFERROR(INDEX(Lists!$B$2:$B$30,MATCH(J933,Lists!$A$2:$A$30,0)),""))</f>
        <v/>
      </c>
      <c r="M933" s="24"/>
      <c r="N933" s="27" t="str">
        <f aca="false">IF(B933="","",IFERROR(1000-SUMPRODUCT(MAX(ISNUMBER(SEARCH(Rules!$A$5:$A$204,B933))*(Rules!$A$5:$A$204&lt;&gt;"")*(1000-ROW(Rules!$A$5:$A$204)))),""))</f>
        <v/>
      </c>
    </row>
    <row r="934" customFormat="false" ht="15" hidden="false" customHeight="false" outlineLevel="0" collapsed="false">
      <c r="A934" s="23"/>
      <c r="B934" s="24"/>
      <c r="C934" s="25"/>
      <c r="D934" s="24"/>
      <c r="E934" s="21" t="str">
        <f aca="false">IF(OR(B934="",N(N934)=0,N934=1000),IF(B934="","","Check"),INDEX(Rules!$B:$B,N934))</f>
        <v/>
      </c>
      <c r="F934" s="21" t="str">
        <f aca="false">IF(OR(B934="",N(N934)=0,N934=1000),"",INDEX(Rules!$C:$C,N934))</f>
        <v/>
      </c>
      <c r="G934" s="24"/>
      <c r="H934" s="24"/>
      <c r="I934" s="20" t="str">
        <f aca="false">IF(B934="","",IF(G934&lt;&gt;"",G934,E934))</f>
        <v/>
      </c>
      <c r="J934" s="21" t="str">
        <f aca="false">IF(B934="","",IF(H934&lt;&gt;"",H934,F934))</f>
        <v/>
      </c>
      <c r="K934" s="26" t="str">
        <f aca="false">IF(A934="","",DATE(YEAR(A934),MONTH(A934),1))</f>
        <v/>
      </c>
      <c r="L934" s="21" t="str">
        <f aca="false">IF(J934="",IF(B934="","",IF(N(C934)&gt;=0,"Income","Expense")),IFERROR(INDEX(Lists!$B$2:$B$30,MATCH(J934,Lists!$A$2:$A$30,0)),""))</f>
        <v/>
      </c>
      <c r="M934" s="24"/>
      <c r="N934" s="27" t="str">
        <f aca="false">IF(B934="","",IFERROR(1000-SUMPRODUCT(MAX(ISNUMBER(SEARCH(Rules!$A$5:$A$204,B934))*(Rules!$A$5:$A$204&lt;&gt;"")*(1000-ROW(Rules!$A$5:$A$204)))),""))</f>
        <v/>
      </c>
    </row>
    <row r="935" customFormat="false" ht="15" hidden="false" customHeight="false" outlineLevel="0" collapsed="false">
      <c r="A935" s="23"/>
      <c r="B935" s="24"/>
      <c r="C935" s="25"/>
      <c r="D935" s="24"/>
      <c r="E935" s="21" t="str">
        <f aca="false">IF(OR(B935="",N(N935)=0,N935=1000),IF(B935="","","Check"),INDEX(Rules!$B:$B,N935))</f>
        <v/>
      </c>
      <c r="F935" s="21" t="str">
        <f aca="false">IF(OR(B935="",N(N935)=0,N935=1000),"",INDEX(Rules!$C:$C,N935))</f>
        <v/>
      </c>
      <c r="G935" s="24"/>
      <c r="H935" s="24"/>
      <c r="I935" s="20" t="str">
        <f aca="false">IF(B935="","",IF(G935&lt;&gt;"",G935,E935))</f>
        <v/>
      </c>
      <c r="J935" s="21" t="str">
        <f aca="false">IF(B935="","",IF(H935&lt;&gt;"",H935,F935))</f>
        <v/>
      </c>
      <c r="K935" s="26" t="str">
        <f aca="false">IF(A935="","",DATE(YEAR(A935),MONTH(A935),1))</f>
        <v/>
      </c>
      <c r="L935" s="21" t="str">
        <f aca="false">IF(J935="",IF(B935="","",IF(N(C935)&gt;=0,"Income","Expense")),IFERROR(INDEX(Lists!$B$2:$B$30,MATCH(J935,Lists!$A$2:$A$30,0)),""))</f>
        <v/>
      </c>
      <c r="M935" s="24"/>
      <c r="N935" s="27" t="str">
        <f aca="false">IF(B935="","",IFERROR(1000-SUMPRODUCT(MAX(ISNUMBER(SEARCH(Rules!$A$5:$A$204,B935))*(Rules!$A$5:$A$204&lt;&gt;"")*(1000-ROW(Rules!$A$5:$A$204)))),""))</f>
        <v/>
      </c>
    </row>
    <row r="936" customFormat="false" ht="15" hidden="false" customHeight="false" outlineLevel="0" collapsed="false">
      <c r="A936" s="23"/>
      <c r="B936" s="24"/>
      <c r="C936" s="25"/>
      <c r="D936" s="24"/>
      <c r="E936" s="21" t="str">
        <f aca="false">IF(OR(B936="",N(N936)=0,N936=1000),IF(B936="","","Check"),INDEX(Rules!$B:$B,N936))</f>
        <v/>
      </c>
      <c r="F936" s="21" t="str">
        <f aca="false">IF(OR(B936="",N(N936)=0,N936=1000),"",INDEX(Rules!$C:$C,N936))</f>
        <v/>
      </c>
      <c r="G936" s="24"/>
      <c r="H936" s="24"/>
      <c r="I936" s="20" t="str">
        <f aca="false">IF(B936="","",IF(G936&lt;&gt;"",G936,E936))</f>
        <v/>
      </c>
      <c r="J936" s="21" t="str">
        <f aca="false">IF(B936="","",IF(H936&lt;&gt;"",H936,F936))</f>
        <v/>
      </c>
      <c r="K936" s="26" t="str">
        <f aca="false">IF(A936="","",DATE(YEAR(A936),MONTH(A936),1))</f>
        <v/>
      </c>
      <c r="L936" s="21" t="str">
        <f aca="false">IF(J936="",IF(B936="","",IF(N(C936)&gt;=0,"Income","Expense")),IFERROR(INDEX(Lists!$B$2:$B$30,MATCH(J936,Lists!$A$2:$A$30,0)),""))</f>
        <v/>
      </c>
      <c r="M936" s="24"/>
      <c r="N936" s="27" t="str">
        <f aca="false">IF(B936="","",IFERROR(1000-SUMPRODUCT(MAX(ISNUMBER(SEARCH(Rules!$A$5:$A$204,B936))*(Rules!$A$5:$A$204&lt;&gt;"")*(1000-ROW(Rules!$A$5:$A$204)))),""))</f>
        <v/>
      </c>
    </row>
    <row r="937" customFormat="false" ht="15" hidden="false" customHeight="false" outlineLevel="0" collapsed="false">
      <c r="A937" s="23"/>
      <c r="B937" s="24"/>
      <c r="C937" s="25"/>
      <c r="D937" s="24"/>
      <c r="E937" s="21" t="str">
        <f aca="false">IF(OR(B937="",N(N937)=0,N937=1000),IF(B937="","","Check"),INDEX(Rules!$B:$B,N937))</f>
        <v/>
      </c>
      <c r="F937" s="21" t="str">
        <f aca="false">IF(OR(B937="",N(N937)=0,N937=1000),"",INDEX(Rules!$C:$C,N937))</f>
        <v/>
      </c>
      <c r="G937" s="24"/>
      <c r="H937" s="24"/>
      <c r="I937" s="20" t="str">
        <f aca="false">IF(B937="","",IF(G937&lt;&gt;"",G937,E937))</f>
        <v/>
      </c>
      <c r="J937" s="21" t="str">
        <f aca="false">IF(B937="","",IF(H937&lt;&gt;"",H937,F937))</f>
        <v/>
      </c>
      <c r="K937" s="26" t="str">
        <f aca="false">IF(A937="","",DATE(YEAR(A937),MONTH(A937),1))</f>
        <v/>
      </c>
      <c r="L937" s="21" t="str">
        <f aca="false">IF(J937="",IF(B937="","",IF(N(C937)&gt;=0,"Income","Expense")),IFERROR(INDEX(Lists!$B$2:$B$30,MATCH(J937,Lists!$A$2:$A$30,0)),""))</f>
        <v/>
      </c>
      <c r="M937" s="24"/>
      <c r="N937" s="27" t="str">
        <f aca="false">IF(B937="","",IFERROR(1000-SUMPRODUCT(MAX(ISNUMBER(SEARCH(Rules!$A$5:$A$204,B937))*(Rules!$A$5:$A$204&lt;&gt;"")*(1000-ROW(Rules!$A$5:$A$204)))),""))</f>
        <v/>
      </c>
    </row>
    <row r="938" customFormat="false" ht="15" hidden="false" customHeight="false" outlineLevel="0" collapsed="false">
      <c r="A938" s="23"/>
      <c r="B938" s="24"/>
      <c r="C938" s="25"/>
      <c r="D938" s="24"/>
      <c r="E938" s="21" t="str">
        <f aca="false">IF(OR(B938="",N(N938)=0,N938=1000),IF(B938="","","Check"),INDEX(Rules!$B:$B,N938))</f>
        <v/>
      </c>
      <c r="F938" s="21" t="str">
        <f aca="false">IF(OR(B938="",N(N938)=0,N938=1000),"",INDEX(Rules!$C:$C,N938))</f>
        <v/>
      </c>
      <c r="G938" s="24"/>
      <c r="H938" s="24"/>
      <c r="I938" s="20" t="str">
        <f aca="false">IF(B938="","",IF(G938&lt;&gt;"",G938,E938))</f>
        <v/>
      </c>
      <c r="J938" s="21" t="str">
        <f aca="false">IF(B938="","",IF(H938&lt;&gt;"",H938,F938))</f>
        <v/>
      </c>
      <c r="K938" s="26" t="str">
        <f aca="false">IF(A938="","",DATE(YEAR(A938),MONTH(A938),1))</f>
        <v/>
      </c>
      <c r="L938" s="21" t="str">
        <f aca="false">IF(J938="",IF(B938="","",IF(N(C938)&gt;=0,"Income","Expense")),IFERROR(INDEX(Lists!$B$2:$B$30,MATCH(J938,Lists!$A$2:$A$30,0)),""))</f>
        <v/>
      </c>
      <c r="M938" s="24"/>
      <c r="N938" s="27" t="str">
        <f aca="false">IF(B938="","",IFERROR(1000-SUMPRODUCT(MAX(ISNUMBER(SEARCH(Rules!$A$5:$A$204,B938))*(Rules!$A$5:$A$204&lt;&gt;"")*(1000-ROW(Rules!$A$5:$A$204)))),""))</f>
        <v/>
      </c>
    </row>
    <row r="939" customFormat="false" ht="15" hidden="false" customHeight="false" outlineLevel="0" collapsed="false">
      <c r="A939" s="23"/>
      <c r="B939" s="24"/>
      <c r="C939" s="25"/>
      <c r="D939" s="24"/>
      <c r="E939" s="21" t="str">
        <f aca="false">IF(OR(B939="",N(N939)=0,N939=1000),IF(B939="","","Check"),INDEX(Rules!$B:$B,N939))</f>
        <v/>
      </c>
      <c r="F939" s="21" t="str">
        <f aca="false">IF(OR(B939="",N(N939)=0,N939=1000),"",INDEX(Rules!$C:$C,N939))</f>
        <v/>
      </c>
      <c r="G939" s="24"/>
      <c r="H939" s="24"/>
      <c r="I939" s="20" t="str">
        <f aca="false">IF(B939="","",IF(G939&lt;&gt;"",G939,E939))</f>
        <v/>
      </c>
      <c r="J939" s="21" t="str">
        <f aca="false">IF(B939="","",IF(H939&lt;&gt;"",H939,F939))</f>
        <v/>
      </c>
      <c r="K939" s="26" t="str">
        <f aca="false">IF(A939="","",DATE(YEAR(A939),MONTH(A939),1))</f>
        <v/>
      </c>
      <c r="L939" s="21" t="str">
        <f aca="false">IF(J939="",IF(B939="","",IF(N(C939)&gt;=0,"Income","Expense")),IFERROR(INDEX(Lists!$B$2:$B$30,MATCH(J939,Lists!$A$2:$A$30,0)),""))</f>
        <v/>
      </c>
      <c r="M939" s="24"/>
      <c r="N939" s="27" t="str">
        <f aca="false">IF(B939="","",IFERROR(1000-SUMPRODUCT(MAX(ISNUMBER(SEARCH(Rules!$A$5:$A$204,B939))*(Rules!$A$5:$A$204&lt;&gt;"")*(1000-ROW(Rules!$A$5:$A$204)))),""))</f>
        <v/>
      </c>
    </row>
    <row r="940" customFormat="false" ht="15" hidden="false" customHeight="false" outlineLevel="0" collapsed="false">
      <c r="A940" s="23"/>
      <c r="B940" s="24"/>
      <c r="C940" s="25"/>
      <c r="D940" s="24"/>
      <c r="E940" s="21" t="str">
        <f aca="false">IF(OR(B940="",N(N940)=0,N940=1000),IF(B940="","","Check"),INDEX(Rules!$B:$B,N940))</f>
        <v/>
      </c>
      <c r="F940" s="21" t="str">
        <f aca="false">IF(OR(B940="",N(N940)=0,N940=1000),"",INDEX(Rules!$C:$C,N940))</f>
        <v/>
      </c>
      <c r="G940" s="24"/>
      <c r="H940" s="24"/>
      <c r="I940" s="20" t="str">
        <f aca="false">IF(B940="","",IF(G940&lt;&gt;"",G940,E940))</f>
        <v/>
      </c>
      <c r="J940" s="21" t="str">
        <f aca="false">IF(B940="","",IF(H940&lt;&gt;"",H940,F940))</f>
        <v/>
      </c>
      <c r="K940" s="26" t="str">
        <f aca="false">IF(A940="","",DATE(YEAR(A940),MONTH(A940),1))</f>
        <v/>
      </c>
      <c r="L940" s="21" t="str">
        <f aca="false">IF(J940="",IF(B940="","",IF(N(C940)&gt;=0,"Income","Expense")),IFERROR(INDEX(Lists!$B$2:$B$30,MATCH(J940,Lists!$A$2:$A$30,0)),""))</f>
        <v/>
      </c>
      <c r="M940" s="24"/>
      <c r="N940" s="27" t="str">
        <f aca="false">IF(B940="","",IFERROR(1000-SUMPRODUCT(MAX(ISNUMBER(SEARCH(Rules!$A$5:$A$204,B940))*(Rules!$A$5:$A$204&lt;&gt;"")*(1000-ROW(Rules!$A$5:$A$204)))),""))</f>
        <v/>
      </c>
    </row>
    <row r="941" customFormat="false" ht="15" hidden="false" customHeight="false" outlineLevel="0" collapsed="false">
      <c r="A941" s="23"/>
      <c r="B941" s="24"/>
      <c r="C941" s="25"/>
      <c r="D941" s="24"/>
      <c r="E941" s="21" t="str">
        <f aca="false">IF(OR(B941="",N(N941)=0,N941=1000),IF(B941="","","Check"),INDEX(Rules!$B:$B,N941))</f>
        <v/>
      </c>
      <c r="F941" s="21" t="str">
        <f aca="false">IF(OR(B941="",N(N941)=0,N941=1000),"",INDEX(Rules!$C:$C,N941))</f>
        <v/>
      </c>
      <c r="G941" s="24"/>
      <c r="H941" s="24"/>
      <c r="I941" s="20" t="str">
        <f aca="false">IF(B941="","",IF(G941&lt;&gt;"",G941,E941))</f>
        <v/>
      </c>
      <c r="J941" s="21" t="str">
        <f aca="false">IF(B941="","",IF(H941&lt;&gt;"",H941,F941))</f>
        <v/>
      </c>
      <c r="K941" s="26" t="str">
        <f aca="false">IF(A941="","",DATE(YEAR(A941),MONTH(A941),1))</f>
        <v/>
      </c>
      <c r="L941" s="21" t="str">
        <f aca="false">IF(J941="",IF(B941="","",IF(N(C941)&gt;=0,"Income","Expense")),IFERROR(INDEX(Lists!$B$2:$B$30,MATCH(J941,Lists!$A$2:$A$30,0)),""))</f>
        <v/>
      </c>
      <c r="M941" s="24"/>
      <c r="N941" s="27" t="str">
        <f aca="false">IF(B941="","",IFERROR(1000-SUMPRODUCT(MAX(ISNUMBER(SEARCH(Rules!$A$5:$A$204,B941))*(Rules!$A$5:$A$204&lt;&gt;"")*(1000-ROW(Rules!$A$5:$A$204)))),""))</f>
        <v/>
      </c>
    </row>
    <row r="942" customFormat="false" ht="15" hidden="false" customHeight="false" outlineLevel="0" collapsed="false">
      <c r="A942" s="23"/>
      <c r="B942" s="24"/>
      <c r="C942" s="25"/>
      <c r="D942" s="24"/>
      <c r="E942" s="21" t="str">
        <f aca="false">IF(OR(B942="",N(N942)=0,N942=1000),IF(B942="","","Check"),INDEX(Rules!$B:$B,N942))</f>
        <v/>
      </c>
      <c r="F942" s="21" t="str">
        <f aca="false">IF(OR(B942="",N(N942)=0,N942=1000),"",INDEX(Rules!$C:$C,N942))</f>
        <v/>
      </c>
      <c r="G942" s="24"/>
      <c r="H942" s="24"/>
      <c r="I942" s="20" t="str">
        <f aca="false">IF(B942="","",IF(G942&lt;&gt;"",G942,E942))</f>
        <v/>
      </c>
      <c r="J942" s="21" t="str">
        <f aca="false">IF(B942="","",IF(H942&lt;&gt;"",H942,F942))</f>
        <v/>
      </c>
      <c r="K942" s="26" t="str">
        <f aca="false">IF(A942="","",DATE(YEAR(A942),MONTH(A942),1))</f>
        <v/>
      </c>
      <c r="L942" s="21" t="str">
        <f aca="false">IF(J942="",IF(B942="","",IF(N(C942)&gt;=0,"Income","Expense")),IFERROR(INDEX(Lists!$B$2:$B$30,MATCH(J942,Lists!$A$2:$A$30,0)),""))</f>
        <v/>
      </c>
      <c r="M942" s="24"/>
      <c r="N942" s="27" t="str">
        <f aca="false">IF(B942="","",IFERROR(1000-SUMPRODUCT(MAX(ISNUMBER(SEARCH(Rules!$A$5:$A$204,B942))*(Rules!$A$5:$A$204&lt;&gt;"")*(1000-ROW(Rules!$A$5:$A$204)))),""))</f>
        <v/>
      </c>
    </row>
    <row r="943" customFormat="false" ht="15" hidden="false" customHeight="false" outlineLevel="0" collapsed="false">
      <c r="A943" s="23"/>
      <c r="B943" s="24"/>
      <c r="C943" s="25"/>
      <c r="D943" s="24"/>
      <c r="E943" s="21" t="str">
        <f aca="false">IF(OR(B943="",N(N943)=0,N943=1000),IF(B943="","","Check"),INDEX(Rules!$B:$B,N943))</f>
        <v/>
      </c>
      <c r="F943" s="21" t="str">
        <f aca="false">IF(OR(B943="",N(N943)=0,N943=1000),"",INDEX(Rules!$C:$C,N943))</f>
        <v/>
      </c>
      <c r="G943" s="24"/>
      <c r="H943" s="24"/>
      <c r="I943" s="20" t="str">
        <f aca="false">IF(B943="","",IF(G943&lt;&gt;"",G943,E943))</f>
        <v/>
      </c>
      <c r="J943" s="21" t="str">
        <f aca="false">IF(B943="","",IF(H943&lt;&gt;"",H943,F943))</f>
        <v/>
      </c>
      <c r="K943" s="26" t="str">
        <f aca="false">IF(A943="","",DATE(YEAR(A943),MONTH(A943),1))</f>
        <v/>
      </c>
      <c r="L943" s="21" t="str">
        <f aca="false">IF(J943="",IF(B943="","",IF(N(C943)&gt;=0,"Income","Expense")),IFERROR(INDEX(Lists!$B$2:$B$30,MATCH(J943,Lists!$A$2:$A$30,0)),""))</f>
        <v/>
      </c>
      <c r="M943" s="24"/>
      <c r="N943" s="27" t="str">
        <f aca="false">IF(B943="","",IFERROR(1000-SUMPRODUCT(MAX(ISNUMBER(SEARCH(Rules!$A$5:$A$204,B943))*(Rules!$A$5:$A$204&lt;&gt;"")*(1000-ROW(Rules!$A$5:$A$204)))),""))</f>
        <v/>
      </c>
    </row>
    <row r="944" customFormat="false" ht="15" hidden="false" customHeight="false" outlineLevel="0" collapsed="false">
      <c r="A944" s="23"/>
      <c r="B944" s="24"/>
      <c r="C944" s="25"/>
      <c r="D944" s="24"/>
      <c r="E944" s="21" t="str">
        <f aca="false">IF(OR(B944="",N(N944)=0,N944=1000),IF(B944="","","Check"),INDEX(Rules!$B:$B,N944))</f>
        <v/>
      </c>
      <c r="F944" s="21" t="str">
        <f aca="false">IF(OR(B944="",N(N944)=0,N944=1000),"",INDEX(Rules!$C:$C,N944))</f>
        <v/>
      </c>
      <c r="G944" s="24"/>
      <c r="H944" s="24"/>
      <c r="I944" s="20" t="str">
        <f aca="false">IF(B944="","",IF(G944&lt;&gt;"",G944,E944))</f>
        <v/>
      </c>
      <c r="J944" s="21" t="str">
        <f aca="false">IF(B944="","",IF(H944&lt;&gt;"",H944,F944))</f>
        <v/>
      </c>
      <c r="K944" s="26" t="str">
        <f aca="false">IF(A944="","",DATE(YEAR(A944),MONTH(A944),1))</f>
        <v/>
      </c>
      <c r="L944" s="21" t="str">
        <f aca="false">IF(J944="",IF(B944="","",IF(N(C944)&gt;=0,"Income","Expense")),IFERROR(INDEX(Lists!$B$2:$B$30,MATCH(J944,Lists!$A$2:$A$30,0)),""))</f>
        <v/>
      </c>
      <c r="M944" s="24"/>
      <c r="N944" s="27" t="str">
        <f aca="false">IF(B944="","",IFERROR(1000-SUMPRODUCT(MAX(ISNUMBER(SEARCH(Rules!$A$5:$A$204,B944))*(Rules!$A$5:$A$204&lt;&gt;"")*(1000-ROW(Rules!$A$5:$A$204)))),""))</f>
        <v/>
      </c>
    </row>
    <row r="945" customFormat="false" ht="15" hidden="false" customHeight="false" outlineLevel="0" collapsed="false">
      <c r="A945" s="23"/>
      <c r="B945" s="24"/>
      <c r="C945" s="25"/>
      <c r="D945" s="24"/>
      <c r="E945" s="21" t="str">
        <f aca="false">IF(OR(B945="",N(N945)=0,N945=1000),IF(B945="","","Check"),INDEX(Rules!$B:$B,N945))</f>
        <v/>
      </c>
      <c r="F945" s="21" t="str">
        <f aca="false">IF(OR(B945="",N(N945)=0,N945=1000),"",INDEX(Rules!$C:$C,N945))</f>
        <v/>
      </c>
      <c r="G945" s="24"/>
      <c r="H945" s="24"/>
      <c r="I945" s="20" t="str">
        <f aca="false">IF(B945="","",IF(G945&lt;&gt;"",G945,E945))</f>
        <v/>
      </c>
      <c r="J945" s="21" t="str">
        <f aca="false">IF(B945="","",IF(H945&lt;&gt;"",H945,F945))</f>
        <v/>
      </c>
      <c r="K945" s="26" t="str">
        <f aca="false">IF(A945="","",DATE(YEAR(A945),MONTH(A945),1))</f>
        <v/>
      </c>
      <c r="L945" s="21" t="str">
        <f aca="false">IF(J945="",IF(B945="","",IF(N(C945)&gt;=0,"Income","Expense")),IFERROR(INDEX(Lists!$B$2:$B$30,MATCH(J945,Lists!$A$2:$A$30,0)),""))</f>
        <v/>
      </c>
      <c r="M945" s="24"/>
      <c r="N945" s="27" t="str">
        <f aca="false">IF(B945="","",IFERROR(1000-SUMPRODUCT(MAX(ISNUMBER(SEARCH(Rules!$A$5:$A$204,B945))*(Rules!$A$5:$A$204&lt;&gt;"")*(1000-ROW(Rules!$A$5:$A$204)))),""))</f>
        <v/>
      </c>
    </row>
    <row r="946" customFormat="false" ht="15" hidden="false" customHeight="false" outlineLevel="0" collapsed="false">
      <c r="A946" s="23"/>
      <c r="B946" s="24"/>
      <c r="C946" s="25"/>
      <c r="D946" s="24"/>
      <c r="E946" s="21" t="str">
        <f aca="false">IF(OR(B946="",N(N946)=0,N946=1000),IF(B946="","","Check"),INDEX(Rules!$B:$B,N946))</f>
        <v/>
      </c>
      <c r="F946" s="21" t="str">
        <f aca="false">IF(OR(B946="",N(N946)=0,N946=1000),"",INDEX(Rules!$C:$C,N946))</f>
        <v/>
      </c>
      <c r="G946" s="24"/>
      <c r="H946" s="24"/>
      <c r="I946" s="20" t="str">
        <f aca="false">IF(B946="","",IF(G946&lt;&gt;"",G946,E946))</f>
        <v/>
      </c>
      <c r="J946" s="21" t="str">
        <f aca="false">IF(B946="","",IF(H946&lt;&gt;"",H946,F946))</f>
        <v/>
      </c>
      <c r="K946" s="26" t="str">
        <f aca="false">IF(A946="","",DATE(YEAR(A946),MONTH(A946),1))</f>
        <v/>
      </c>
      <c r="L946" s="21" t="str">
        <f aca="false">IF(J946="",IF(B946="","",IF(N(C946)&gt;=0,"Income","Expense")),IFERROR(INDEX(Lists!$B$2:$B$30,MATCH(J946,Lists!$A$2:$A$30,0)),""))</f>
        <v/>
      </c>
      <c r="M946" s="24"/>
      <c r="N946" s="27" t="str">
        <f aca="false">IF(B946="","",IFERROR(1000-SUMPRODUCT(MAX(ISNUMBER(SEARCH(Rules!$A$5:$A$204,B946))*(Rules!$A$5:$A$204&lt;&gt;"")*(1000-ROW(Rules!$A$5:$A$204)))),""))</f>
        <v/>
      </c>
    </row>
    <row r="947" customFormat="false" ht="15" hidden="false" customHeight="false" outlineLevel="0" collapsed="false">
      <c r="A947" s="23"/>
      <c r="B947" s="24"/>
      <c r="C947" s="25"/>
      <c r="D947" s="24"/>
      <c r="E947" s="21" t="str">
        <f aca="false">IF(OR(B947="",N(N947)=0,N947=1000),IF(B947="","","Check"),INDEX(Rules!$B:$B,N947))</f>
        <v/>
      </c>
      <c r="F947" s="21" t="str">
        <f aca="false">IF(OR(B947="",N(N947)=0,N947=1000),"",INDEX(Rules!$C:$C,N947))</f>
        <v/>
      </c>
      <c r="G947" s="24"/>
      <c r="H947" s="24"/>
      <c r="I947" s="20" t="str">
        <f aca="false">IF(B947="","",IF(G947&lt;&gt;"",G947,E947))</f>
        <v/>
      </c>
      <c r="J947" s="21" t="str">
        <f aca="false">IF(B947="","",IF(H947&lt;&gt;"",H947,F947))</f>
        <v/>
      </c>
      <c r="K947" s="26" t="str">
        <f aca="false">IF(A947="","",DATE(YEAR(A947),MONTH(A947),1))</f>
        <v/>
      </c>
      <c r="L947" s="21" t="str">
        <f aca="false">IF(J947="",IF(B947="","",IF(N(C947)&gt;=0,"Income","Expense")),IFERROR(INDEX(Lists!$B$2:$B$30,MATCH(J947,Lists!$A$2:$A$30,0)),""))</f>
        <v/>
      </c>
      <c r="M947" s="24"/>
      <c r="N947" s="27" t="str">
        <f aca="false">IF(B947="","",IFERROR(1000-SUMPRODUCT(MAX(ISNUMBER(SEARCH(Rules!$A$5:$A$204,B947))*(Rules!$A$5:$A$204&lt;&gt;"")*(1000-ROW(Rules!$A$5:$A$204)))),""))</f>
        <v/>
      </c>
    </row>
    <row r="948" customFormat="false" ht="15" hidden="false" customHeight="false" outlineLevel="0" collapsed="false">
      <c r="A948" s="23"/>
      <c r="B948" s="24"/>
      <c r="C948" s="25"/>
      <c r="D948" s="24"/>
      <c r="E948" s="21" t="str">
        <f aca="false">IF(OR(B948="",N(N948)=0,N948=1000),IF(B948="","","Check"),INDEX(Rules!$B:$B,N948))</f>
        <v/>
      </c>
      <c r="F948" s="21" t="str">
        <f aca="false">IF(OR(B948="",N(N948)=0,N948=1000),"",INDEX(Rules!$C:$C,N948))</f>
        <v/>
      </c>
      <c r="G948" s="24"/>
      <c r="H948" s="24"/>
      <c r="I948" s="20" t="str">
        <f aca="false">IF(B948="","",IF(G948&lt;&gt;"",G948,E948))</f>
        <v/>
      </c>
      <c r="J948" s="21" t="str">
        <f aca="false">IF(B948="","",IF(H948&lt;&gt;"",H948,F948))</f>
        <v/>
      </c>
      <c r="K948" s="26" t="str">
        <f aca="false">IF(A948="","",DATE(YEAR(A948),MONTH(A948),1))</f>
        <v/>
      </c>
      <c r="L948" s="21" t="str">
        <f aca="false">IF(J948="",IF(B948="","",IF(N(C948)&gt;=0,"Income","Expense")),IFERROR(INDEX(Lists!$B$2:$B$30,MATCH(J948,Lists!$A$2:$A$30,0)),""))</f>
        <v/>
      </c>
      <c r="M948" s="24"/>
      <c r="N948" s="27" t="str">
        <f aca="false">IF(B948="","",IFERROR(1000-SUMPRODUCT(MAX(ISNUMBER(SEARCH(Rules!$A$5:$A$204,B948))*(Rules!$A$5:$A$204&lt;&gt;"")*(1000-ROW(Rules!$A$5:$A$204)))),""))</f>
        <v/>
      </c>
    </row>
    <row r="949" customFormat="false" ht="15" hidden="false" customHeight="false" outlineLevel="0" collapsed="false">
      <c r="A949" s="23"/>
      <c r="B949" s="24"/>
      <c r="C949" s="25"/>
      <c r="D949" s="24"/>
      <c r="E949" s="21" t="str">
        <f aca="false">IF(OR(B949="",N(N949)=0,N949=1000),IF(B949="","","Check"),INDEX(Rules!$B:$B,N949))</f>
        <v/>
      </c>
      <c r="F949" s="21" t="str">
        <f aca="false">IF(OR(B949="",N(N949)=0,N949=1000),"",INDEX(Rules!$C:$C,N949))</f>
        <v/>
      </c>
      <c r="G949" s="24"/>
      <c r="H949" s="24"/>
      <c r="I949" s="20" t="str">
        <f aca="false">IF(B949="","",IF(G949&lt;&gt;"",G949,E949))</f>
        <v/>
      </c>
      <c r="J949" s="21" t="str">
        <f aca="false">IF(B949="","",IF(H949&lt;&gt;"",H949,F949))</f>
        <v/>
      </c>
      <c r="K949" s="26" t="str">
        <f aca="false">IF(A949="","",DATE(YEAR(A949),MONTH(A949),1))</f>
        <v/>
      </c>
      <c r="L949" s="21" t="str">
        <f aca="false">IF(J949="",IF(B949="","",IF(N(C949)&gt;=0,"Income","Expense")),IFERROR(INDEX(Lists!$B$2:$B$30,MATCH(J949,Lists!$A$2:$A$30,0)),""))</f>
        <v/>
      </c>
      <c r="M949" s="24"/>
      <c r="N949" s="27" t="str">
        <f aca="false">IF(B949="","",IFERROR(1000-SUMPRODUCT(MAX(ISNUMBER(SEARCH(Rules!$A$5:$A$204,B949))*(Rules!$A$5:$A$204&lt;&gt;"")*(1000-ROW(Rules!$A$5:$A$204)))),""))</f>
        <v/>
      </c>
    </row>
    <row r="950" customFormat="false" ht="15" hidden="false" customHeight="false" outlineLevel="0" collapsed="false">
      <c r="A950" s="23"/>
      <c r="B950" s="24"/>
      <c r="C950" s="25"/>
      <c r="D950" s="24"/>
      <c r="E950" s="21" t="str">
        <f aca="false">IF(OR(B950="",N(N950)=0,N950=1000),IF(B950="","","Check"),INDEX(Rules!$B:$B,N950))</f>
        <v/>
      </c>
      <c r="F950" s="21" t="str">
        <f aca="false">IF(OR(B950="",N(N950)=0,N950=1000),"",INDEX(Rules!$C:$C,N950))</f>
        <v/>
      </c>
      <c r="G950" s="24"/>
      <c r="H950" s="24"/>
      <c r="I950" s="20" t="str">
        <f aca="false">IF(B950="","",IF(G950&lt;&gt;"",G950,E950))</f>
        <v/>
      </c>
      <c r="J950" s="21" t="str">
        <f aca="false">IF(B950="","",IF(H950&lt;&gt;"",H950,F950))</f>
        <v/>
      </c>
      <c r="K950" s="26" t="str">
        <f aca="false">IF(A950="","",DATE(YEAR(A950),MONTH(A950),1))</f>
        <v/>
      </c>
      <c r="L950" s="21" t="str">
        <f aca="false">IF(J950="",IF(B950="","",IF(N(C950)&gt;=0,"Income","Expense")),IFERROR(INDEX(Lists!$B$2:$B$30,MATCH(J950,Lists!$A$2:$A$30,0)),""))</f>
        <v/>
      </c>
      <c r="M950" s="24"/>
      <c r="N950" s="27" t="str">
        <f aca="false">IF(B950="","",IFERROR(1000-SUMPRODUCT(MAX(ISNUMBER(SEARCH(Rules!$A$5:$A$204,B950))*(Rules!$A$5:$A$204&lt;&gt;"")*(1000-ROW(Rules!$A$5:$A$204)))),""))</f>
        <v/>
      </c>
    </row>
    <row r="951" customFormat="false" ht="15" hidden="false" customHeight="false" outlineLevel="0" collapsed="false">
      <c r="A951" s="23"/>
      <c r="B951" s="24"/>
      <c r="C951" s="25"/>
      <c r="D951" s="24"/>
      <c r="E951" s="21" t="str">
        <f aca="false">IF(OR(B951="",N(N951)=0,N951=1000),IF(B951="","","Check"),INDEX(Rules!$B:$B,N951))</f>
        <v/>
      </c>
      <c r="F951" s="21" t="str">
        <f aca="false">IF(OR(B951="",N(N951)=0,N951=1000),"",INDEX(Rules!$C:$C,N951))</f>
        <v/>
      </c>
      <c r="G951" s="24"/>
      <c r="H951" s="24"/>
      <c r="I951" s="20" t="str">
        <f aca="false">IF(B951="","",IF(G951&lt;&gt;"",G951,E951))</f>
        <v/>
      </c>
      <c r="J951" s="21" t="str">
        <f aca="false">IF(B951="","",IF(H951&lt;&gt;"",H951,F951))</f>
        <v/>
      </c>
      <c r="K951" s="26" t="str">
        <f aca="false">IF(A951="","",DATE(YEAR(A951),MONTH(A951),1))</f>
        <v/>
      </c>
      <c r="L951" s="21" t="str">
        <f aca="false">IF(J951="",IF(B951="","",IF(N(C951)&gt;=0,"Income","Expense")),IFERROR(INDEX(Lists!$B$2:$B$30,MATCH(J951,Lists!$A$2:$A$30,0)),""))</f>
        <v/>
      </c>
      <c r="M951" s="24"/>
      <c r="N951" s="27" t="str">
        <f aca="false">IF(B951="","",IFERROR(1000-SUMPRODUCT(MAX(ISNUMBER(SEARCH(Rules!$A$5:$A$204,B951))*(Rules!$A$5:$A$204&lt;&gt;"")*(1000-ROW(Rules!$A$5:$A$204)))),""))</f>
        <v/>
      </c>
    </row>
    <row r="952" customFormat="false" ht="15" hidden="false" customHeight="false" outlineLevel="0" collapsed="false">
      <c r="A952" s="23"/>
      <c r="B952" s="24"/>
      <c r="C952" s="25"/>
      <c r="D952" s="24"/>
      <c r="E952" s="21" t="str">
        <f aca="false">IF(OR(B952="",N(N952)=0,N952=1000),IF(B952="","","Check"),INDEX(Rules!$B:$B,N952))</f>
        <v/>
      </c>
      <c r="F952" s="21" t="str">
        <f aca="false">IF(OR(B952="",N(N952)=0,N952=1000),"",INDEX(Rules!$C:$C,N952))</f>
        <v/>
      </c>
      <c r="G952" s="24"/>
      <c r="H952" s="24"/>
      <c r="I952" s="20" t="str">
        <f aca="false">IF(B952="","",IF(G952&lt;&gt;"",G952,E952))</f>
        <v/>
      </c>
      <c r="J952" s="21" t="str">
        <f aca="false">IF(B952="","",IF(H952&lt;&gt;"",H952,F952))</f>
        <v/>
      </c>
      <c r="K952" s="26" t="str">
        <f aca="false">IF(A952="","",DATE(YEAR(A952),MONTH(A952),1))</f>
        <v/>
      </c>
      <c r="L952" s="21" t="str">
        <f aca="false">IF(J952="",IF(B952="","",IF(N(C952)&gt;=0,"Income","Expense")),IFERROR(INDEX(Lists!$B$2:$B$30,MATCH(J952,Lists!$A$2:$A$30,0)),""))</f>
        <v/>
      </c>
      <c r="M952" s="24"/>
      <c r="N952" s="27" t="str">
        <f aca="false">IF(B952="","",IFERROR(1000-SUMPRODUCT(MAX(ISNUMBER(SEARCH(Rules!$A$5:$A$204,B952))*(Rules!$A$5:$A$204&lt;&gt;"")*(1000-ROW(Rules!$A$5:$A$204)))),""))</f>
        <v/>
      </c>
    </row>
    <row r="953" customFormat="false" ht="15" hidden="false" customHeight="false" outlineLevel="0" collapsed="false">
      <c r="A953" s="23"/>
      <c r="B953" s="24"/>
      <c r="C953" s="25"/>
      <c r="D953" s="24"/>
      <c r="E953" s="21" t="str">
        <f aca="false">IF(OR(B953="",N(N953)=0,N953=1000),IF(B953="","","Check"),INDEX(Rules!$B:$B,N953))</f>
        <v/>
      </c>
      <c r="F953" s="21" t="str">
        <f aca="false">IF(OR(B953="",N(N953)=0,N953=1000),"",INDEX(Rules!$C:$C,N953))</f>
        <v/>
      </c>
      <c r="G953" s="24"/>
      <c r="H953" s="24"/>
      <c r="I953" s="20" t="str">
        <f aca="false">IF(B953="","",IF(G953&lt;&gt;"",G953,E953))</f>
        <v/>
      </c>
      <c r="J953" s="21" t="str">
        <f aca="false">IF(B953="","",IF(H953&lt;&gt;"",H953,F953))</f>
        <v/>
      </c>
      <c r="K953" s="26" t="str">
        <f aca="false">IF(A953="","",DATE(YEAR(A953),MONTH(A953),1))</f>
        <v/>
      </c>
      <c r="L953" s="21" t="str">
        <f aca="false">IF(J953="",IF(B953="","",IF(N(C953)&gt;=0,"Income","Expense")),IFERROR(INDEX(Lists!$B$2:$B$30,MATCH(J953,Lists!$A$2:$A$30,0)),""))</f>
        <v/>
      </c>
      <c r="M953" s="24"/>
      <c r="N953" s="27" t="str">
        <f aca="false">IF(B953="","",IFERROR(1000-SUMPRODUCT(MAX(ISNUMBER(SEARCH(Rules!$A$5:$A$204,B953))*(Rules!$A$5:$A$204&lt;&gt;"")*(1000-ROW(Rules!$A$5:$A$204)))),""))</f>
        <v/>
      </c>
    </row>
    <row r="954" customFormat="false" ht="15" hidden="false" customHeight="false" outlineLevel="0" collapsed="false">
      <c r="A954" s="23"/>
      <c r="B954" s="24"/>
      <c r="C954" s="25"/>
      <c r="D954" s="24"/>
      <c r="E954" s="21" t="str">
        <f aca="false">IF(OR(B954="",N(N954)=0,N954=1000),IF(B954="","","Check"),INDEX(Rules!$B:$B,N954))</f>
        <v/>
      </c>
      <c r="F954" s="21" t="str">
        <f aca="false">IF(OR(B954="",N(N954)=0,N954=1000),"",INDEX(Rules!$C:$C,N954))</f>
        <v/>
      </c>
      <c r="G954" s="24"/>
      <c r="H954" s="24"/>
      <c r="I954" s="20" t="str">
        <f aca="false">IF(B954="","",IF(G954&lt;&gt;"",G954,E954))</f>
        <v/>
      </c>
      <c r="J954" s="21" t="str">
        <f aca="false">IF(B954="","",IF(H954&lt;&gt;"",H954,F954))</f>
        <v/>
      </c>
      <c r="K954" s="26" t="str">
        <f aca="false">IF(A954="","",DATE(YEAR(A954),MONTH(A954),1))</f>
        <v/>
      </c>
      <c r="L954" s="21" t="str">
        <f aca="false">IF(J954="",IF(B954="","",IF(N(C954)&gt;=0,"Income","Expense")),IFERROR(INDEX(Lists!$B$2:$B$30,MATCH(J954,Lists!$A$2:$A$30,0)),""))</f>
        <v/>
      </c>
      <c r="M954" s="24"/>
      <c r="N954" s="27" t="str">
        <f aca="false">IF(B954="","",IFERROR(1000-SUMPRODUCT(MAX(ISNUMBER(SEARCH(Rules!$A$5:$A$204,B954))*(Rules!$A$5:$A$204&lt;&gt;"")*(1000-ROW(Rules!$A$5:$A$204)))),""))</f>
        <v/>
      </c>
    </row>
    <row r="955" customFormat="false" ht="15" hidden="false" customHeight="false" outlineLevel="0" collapsed="false">
      <c r="A955" s="23"/>
      <c r="B955" s="24"/>
      <c r="C955" s="25"/>
      <c r="D955" s="24"/>
      <c r="E955" s="21" t="str">
        <f aca="false">IF(OR(B955="",N(N955)=0,N955=1000),IF(B955="","","Check"),INDEX(Rules!$B:$B,N955))</f>
        <v/>
      </c>
      <c r="F955" s="21" t="str">
        <f aca="false">IF(OR(B955="",N(N955)=0,N955=1000),"",INDEX(Rules!$C:$C,N955))</f>
        <v/>
      </c>
      <c r="G955" s="24"/>
      <c r="H955" s="24"/>
      <c r="I955" s="20" t="str">
        <f aca="false">IF(B955="","",IF(G955&lt;&gt;"",G955,E955))</f>
        <v/>
      </c>
      <c r="J955" s="21" t="str">
        <f aca="false">IF(B955="","",IF(H955&lt;&gt;"",H955,F955))</f>
        <v/>
      </c>
      <c r="K955" s="26" t="str">
        <f aca="false">IF(A955="","",DATE(YEAR(A955),MONTH(A955),1))</f>
        <v/>
      </c>
      <c r="L955" s="21" t="str">
        <f aca="false">IF(J955="",IF(B955="","",IF(N(C955)&gt;=0,"Income","Expense")),IFERROR(INDEX(Lists!$B$2:$B$30,MATCH(J955,Lists!$A$2:$A$30,0)),""))</f>
        <v/>
      </c>
      <c r="M955" s="24"/>
      <c r="N955" s="27" t="str">
        <f aca="false">IF(B955="","",IFERROR(1000-SUMPRODUCT(MAX(ISNUMBER(SEARCH(Rules!$A$5:$A$204,B955))*(Rules!$A$5:$A$204&lt;&gt;"")*(1000-ROW(Rules!$A$5:$A$204)))),""))</f>
        <v/>
      </c>
    </row>
    <row r="956" customFormat="false" ht="15" hidden="false" customHeight="false" outlineLevel="0" collapsed="false">
      <c r="A956" s="23"/>
      <c r="B956" s="24"/>
      <c r="C956" s="25"/>
      <c r="D956" s="24"/>
      <c r="E956" s="21" t="str">
        <f aca="false">IF(OR(B956="",N(N956)=0,N956=1000),IF(B956="","","Check"),INDEX(Rules!$B:$B,N956))</f>
        <v/>
      </c>
      <c r="F956" s="21" t="str">
        <f aca="false">IF(OR(B956="",N(N956)=0,N956=1000),"",INDEX(Rules!$C:$C,N956))</f>
        <v/>
      </c>
      <c r="G956" s="24"/>
      <c r="H956" s="24"/>
      <c r="I956" s="20" t="str">
        <f aca="false">IF(B956="","",IF(G956&lt;&gt;"",G956,E956))</f>
        <v/>
      </c>
      <c r="J956" s="21" t="str">
        <f aca="false">IF(B956="","",IF(H956&lt;&gt;"",H956,F956))</f>
        <v/>
      </c>
      <c r="K956" s="26" t="str">
        <f aca="false">IF(A956="","",DATE(YEAR(A956),MONTH(A956),1))</f>
        <v/>
      </c>
      <c r="L956" s="21" t="str">
        <f aca="false">IF(J956="",IF(B956="","",IF(N(C956)&gt;=0,"Income","Expense")),IFERROR(INDEX(Lists!$B$2:$B$30,MATCH(J956,Lists!$A$2:$A$30,0)),""))</f>
        <v/>
      </c>
      <c r="M956" s="24"/>
      <c r="N956" s="27" t="str">
        <f aca="false">IF(B956="","",IFERROR(1000-SUMPRODUCT(MAX(ISNUMBER(SEARCH(Rules!$A$5:$A$204,B956))*(Rules!$A$5:$A$204&lt;&gt;"")*(1000-ROW(Rules!$A$5:$A$204)))),""))</f>
        <v/>
      </c>
    </row>
    <row r="957" customFormat="false" ht="15" hidden="false" customHeight="false" outlineLevel="0" collapsed="false">
      <c r="A957" s="23"/>
      <c r="B957" s="24"/>
      <c r="C957" s="25"/>
      <c r="D957" s="24"/>
      <c r="E957" s="21" t="str">
        <f aca="false">IF(OR(B957="",N(N957)=0,N957=1000),IF(B957="","","Check"),INDEX(Rules!$B:$B,N957))</f>
        <v/>
      </c>
      <c r="F957" s="21" t="str">
        <f aca="false">IF(OR(B957="",N(N957)=0,N957=1000),"",INDEX(Rules!$C:$C,N957))</f>
        <v/>
      </c>
      <c r="G957" s="24"/>
      <c r="H957" s="24"/>
      <c r="I957" s="20" t="str">
        <f aca="false">IF(B957="","",IF(G957&lt;&gt;"",G957,E957))</f>
        <v/>
      </c>
      <c r="J957" s="21" t="str">
        <f aca="false">IF(B957="","",IF(H957&lt;&gt;"",H957,F957))</f>
        <v/>
      </c>
      <c r="K957" s="26" t="str">
        <f aca="false">IF(A957="","",DATE(YEAR(A957),MONTH(A957),1))</f>
        <v/>
      </c>
      <c r="L957" s="21" t="str">
        <f aca="false">IF(J957="",IF(B957="","",IF(N(C957)&gt;=0,"Income","Expense")),IFERROR(INDEX(Lists!$B$2:$B$30,MATCH(J957,Lists!$A$2:$A$30,0)),""))</f>
        <v/>
      </c>
      <c r="M957" s="24"/>
      <c r="N957" s="27" t="str">
        <f aca="false">IF(B957="","",IFERROR(1000-SUMPRODUCT(MAX(ISNUMBER(SEARCH(Rules!$A$5:$A$204,B957))*(Rules!$A$5:$A$204&lt;&gt;"")*(1000-ROW(Rules!$A$5:$A$204)))),""))</f>
        <v/>
      </c>
    </row>
    <row r="958" customFormat="false" ht="15" hidden="false" customHeight="false" outlineLevel="0" collapsed="false">
      <c r="A958" s="23"/>
      <c r="B958" s="24"/>
      <c r="C958" s="25"/>
      <c r="D958" s="24"/>
      <c r="E958" s="21" t="str">
        <f aca="false">IF(OR(B958="",N(N958)=0,N958=1000),IF(B958="","","Check"),INDEX(Rules!$B:$B,N958))</f>
        <v/>
      </c>
      <c r="F958" s="21" t="str">
        <f aca="false">IF(OR(B958="",N(N958)=0,N958=1000),"",INDEX(Rules!$C:$C,N958))</f>
        <v/>
      </c>
      <c r="G958" s="24"/>
      <c r="H958" s="24"/>
      <c r="I958" s="20" t="str">
        <f aca="false">IF(B958="","",IF(G958&lt;&gt;"",G958,E958))</f>
        <v/>
      </c>
      <c r="J958" s="21" t="str">
        <f aca="false">IF(B958="","",IF(H958&lt;&gt;"",H958,F958))</f>
        <v/>
      </c>
      <c r="K958" s="26" t="str">
        <f aca="false">IF(A958="","",DATE(YEAR(A958),MONTH(A958),1))</f>
        <v/>
      </c>
      <c r="L958" s="21" t="str">
        <f aca="false">IF(J958="",IF(B958="","",IF(N(C958)&gt;=0,"Income","Expense")),IFERROR(INDEX(Lists!$B$2:$B$30,MATCH(J958,Lists!$A$2:$A$30,0)),""))</f>
        <v/>
      </c>
      <c r="M958" s="24"/>
      <c r="N958" s="27" t="str">
        <f aca="false">IF(B958="","",IFERROR(1000-SUMPRODUCT(MAX(ISNUMBER(SEARCH(Rules!$A$5:$A$204,B958))*(Rules!$A$5:$A$204&lt;&gt;"")*(1000-ROW(Rules!$A$5:$A$204)))),""))</f>
        <v/>
      </c>
    </row>
    <row r="959" customFormat="false" ht="15" hidden="false" customHeight="false" outlineLevel="0" collapsed="false">
      <c r="A959" s="23"/>
      <c r="B959" s="24"/>
      <c r="C959" s="25"/>
      <c r="D959" s="24"/>
      <c r="E959" s="21" t="str">
        <f aca="false">IF(OR(B959="",N(N959)=0,N959=1000),IF(B959="","","Check"),INDEX(Rules!$B:$B,N959))</f>
        <v/>
      </c>
      <c r="F959" s="21" t="str">
        <f aca="false">IF(OR(B959="",N(N959)=0,N959=1000),"",INDEX(Rules!$C:$C,N959))</f>
        <v/>
      </c>
      <c r="G959" s="24"/>
      <c r="H959" s="24"/>
      <c r="I959" s="20" t="str">
        <f aca="false">IF(B959="","",IF(G959&lt;&gt;"",G959,E959))</f>
        <v/>
      </c>
      <c r="J959" s="21" t="str">
        <f aca="false">IF(B959="","",IF(H959&lt;&gt;"",H959,F959))</f>
        <v/>
      </c>
      <c r="K959" s="26" t="str">
        <f aca="false">IF(A959="","",DATE(YEAR(A959),MONTH(A959),1))</f>
        <v/>
      </c>
      <c r="L959" s="21" t="str">
        <f aca="false">IF(J959="",IF(B959="","",IF(N(C959)&gt;=0,"Income","Expense")),IFERROR(INDEX(Lists!$B$2:$B$30,MATCH(J959,Lists!$A$2:$A$30,0)),""))</f>
        <v/>
      </c>
      <c r="M959" s="24"/>
      <c r="N959" s="27" t="str">
        <f aca="false">IF(B959="","",IFERROR(1000-SUMPRODUCT(MAX(ISNUMBER(SEARCH(Rules!$A$5:$A$204,B959))*(Rules!$A$5:$A$204&lt;&gt;"")*(1000-ROW(Rules!$A$5:$A$204)))),""))</f>
        <v/>
      </c>
    </row>
    <row r="960" customFormat="false" ht="15" hidden="false" customHeight="false" outlineLevel="0" collapsed="false">
      <c r="A960" s="23"/>
      <c r="B960" s="24"/>
      <c r="C960" s="25"/>
      <c r="D960" s="24"/>
      <c r="E960" s="21" t="str">
        <f aca="false">IF(OR(B960="",N(N960)=0,N960=1000),IF(B960="","","Check"),INDEX(Rules!$B:$B,N960))</f>
        <v/>
      </c>
      <c r="F960" s="21" t="str">
        <f aca="false">IF(OR(B960="",N(N960)=0,N960=1000),"",INDEX(Rules!$C:$C,N960))</f>
        <v/>
      </c>
      <c r="G960" s="24"/>
      <c r="H960" s="24"/>
      <c r="I960" s="20" t="str">
        <f aca="false">IF(B960="","",IF(G960&lt;&gt;"",G960,E960))</f>
        <v/>
      </c>
      <c r="J960" s="21" t="str">
        <f aca="false">IF(B960="","",IF(H960&lt;&gt;"",H960,F960))</f>
        <v/>
      </c>
      <c r="K960" s="26" t="str">
        <f aca="false">IF(A960="","",DATE(YEAR(A960),MONTH(A960),1))</f>
        <v/>
      </c>
      <c r="L960" s="21" t="str">
        <f aca="false">IF(J960="",IF(B960="","",IF(N(C960)&gt;=0,"Income","Expense")),IFERROR(INDEX(Lists!$B$2:$B$30,MATCH(J960,Lists!$A$2:$A$30,0)),""))</f>
        <v/>
      </c>
      <c r="M960" s="24"/>
      <c r="N960" s="27" t="str">
        <f aca="false">IF(B960="","",IFERROR(1000-SUMPRODUCT(MAX(ISNUMBER(SEARCH(Rules!$A$5:$A$204,B960))*(Rules!$A$5:$A$204&lt;&gt;"")*(1000-ROW(Rules!$A$5:$A$204)))),""))</f>
        <v/>
      </c>
    </row>
    <row r="961" customFormat="false" ht="15" hidden="false" customHeight="false" outlineLevel="0" collapsed="false">
      <c r="A961" s="23"/>
      <c r="B961" s="24"/>
      <c r="C961" s="25"/>
      <c r="D961" s="24"/>
      <c r="E961" s="21" t="str">
        <f aca="false">IF(OR(B961="",N(N961)=0,N961=1000),IF(B961="","","Check"),INDEX(Rules!$B:$B,N961))</f>
        <v/>
      </c>
      <c r="F961" s="21" t="str">
        <f aca="false">IF(OR(B961="",N(N961)=0,N961=1000),"",INDEX(Rules!$C:$C,N961))</f>
        <v/>
      </c>
      <c r="G961" s="24"/>
      <c r="H961" s="24"/>
      <c r="I961" s="20" t="str">
        <f aca="false">IF(B961="","",IF(G961&lt;&gt;"",G961,E961))</f>
        <v/>
      </c>
      <c r="J961" s="21" t="str">
        <f aca="false">IF(B961="","",IF(H961&lt;&gt;"",H961,F961))</f>
        <v/>
      </c>
      <c r="K961" s="26" t="str">
        <f aca="false">IF(A961="","",DATE(YEAR(A961),MONTH(A961),1))</f>
        <v/>
      </c>
      <c r="L961" s="21" t="str">
        <f aca="false">IF(J961="",IF(B961="","",IF(N(C961)&gt;=0,"Income","Expense")),IFERROR(INDEX(Lists!$B$2:$B$30,MATCH(J961,Lists!$A$2:$A$30,0)),""))</f>
        <v/>
      </c>
      <c r="M961" s="24"/>
      <c r="N961" s="27" t="str">
        <f aca="false">IF(B961="","",IFERROR(1000-SUMPRODUCT(MAX(ISNUMBER(SEARCH(Rules!$A$5:$A$204,B961))*(Rules!$A$5:$A$204&lt;&gt;"")*(1000-ROW(Rules!$A$5:$A$204)))),""))</f>
        <v/>
      </c>
    </row>
    <row r="962" customFormat="false" ht="15" hidden="false" customHeight="false" outlineLevel="0" collapsed="false">
      <c r="A962" s="23"/>
      <c r="B962" s="24"/>
      <c r="C962" s="25"/>
      <c r="D962" s="24"/>
      <c r="E962" s="21" t="str">
        <f aca="false">IF(OR(B962="",N(N962)=0,N962=1000),IF(B962="","","Check"),INDEX(Rules!$B:$B,N962))</f>
        <v/>
      </c>
      <c r="F962" s="21" t="str">
        <f aca="false">IF(OR(B962="",N(N962)=0,N962=1000),"",INDEX(Rules!$C:$C,N962))</f>
        <v/>
      </c>
      <c r="G962" s="24"/>
      <c r="H962" s="24"/>
      <c r="I962" s="20" t="str">
        <f aca="false">IF(B962="","",IF(G962&lt;&gt;"",G962,E962))</f>
        <v/>
      </c>
      <c r="J962" s="21" t="str">
        <f aca="false">IF(B962="","",IF(H962&lt;&gt;"",H962,F962))</f>
        <v/>
      </c>
      <c r="K962" s="26" t="str">
        <f aca="false">IF(A962="","",DATE(YEAR(A962),MONTH(A962),1))</f>
        <v/>
      </c>
      <c r="L962" s="21" t="str">
        <f aca="false">IF(J962="",IF(B962="","",IF(N(C962)&gt;=0,"Income","Expense")),IFERROR(INDEX(Lists!$B$2:$B$30,MATCH(J962,Lists!$A$2:$A$30,0)),""))</f>
        <v/>
      </c>
      <c r="M962" s="24"/>
      <c r="N962" s="27" t="str">
        <f aca="false">IF(B962="","",IFERROR(1000-SUMPRODUCT(MAX(ISNUMBER(SEARCH(Rules!$A$5:$A$204,B962))*(Rules!$A$5:$A$204&lt;&gt;"")*(1000-ROW(Rules!$A$5:$A$204)))),""))</f>
        <v/>
      </c>
    </row>
    <row r="963" customFormat="false" ht="15" hidden="false" customHeight="false" outlineLevel="0" collapsed="false">
      <c r="A963" s="23"/>
      <c r="B963" s="24"/>
      <c r="C963" s="25"/>
      <c r="D963" s="24"/>
      <c r="E963" s="21" t="str">
        <f aca="false">IF(OR(B963="",N(N963)=0,N963=1000),IF(B963="","","Check"),INDEX(Rules!$B:$B,N963))</f>
        <v/>
      </c>
      <c r="F963" s="21" t="str">
        <f aca="false">IF(OR(B963="",N(N963)=0,N963=1000),"",INDEX(Rules!$C:$C,N963))</f>
        <v/>
      </c>
      <c r="G963" s="24"/>
      <c r="H963" s="24"/>
      <c r="I963" s="20" t="str">
        <f aca="false">IF(B963="","",IF(G963&lt;&gt;"",G963,E963))</f>
        <v/>
      </c>
      <c r="J963" s="21" t="str">
        <f aca="false">IF(B963="","",IF(H963&lt;&gt;"",H963,F963))</f>
        <v/>
      </c>
      <c r="K963" s="26" t="str">
        <f aca="false">IF(A963="","",DATE(YEAR(A963),MONTH(A963),1))</f>
        <v/>
      </c>
      <c r="L963" s="21" t="str">
        <f aca="false">IF(J963="",IF(B963="","",IF(N(C963)&gt;=0,"Income","Expense")),IFERROR(INDEX(Lists!$B$2:$B$30,MATCH(J963,Lists!$A$2:$A$30,0)),""))</f>
        <v/>
      </c>
      <c r="M963" s="24"/>
      <c r="N963" s="27" t="str">
        <f aca="false">IF(B963="","",IFERROR(1000-SUMPRODUCT(MAX(ISNUMBER(SEARCH(Rules!$A$5:$A$204,B963))*(Rules!$A$5:$A$204&lt;&gt;"")*(1000-ROW(Rules!$A$5:$A$204)))),""))</f>
        <v/>
      </c>
    </row>
    <row r="964" customFormat="false" ht="15" hidden="false" customHeight="false" outlineLevel="0" collapsed="false">
      <c r="A964" s="23"/>
      <c r="B964" s="24"/>
      <c r="C964" s="25"/>
      <c r="D964" s="24"/>
      <c r="E964" s="21" t="str">
        <f aca="false">IF(OR(B964="",N(N964)=0,N964=1000),IF(B964="","","Check"),INDEX(Rules!$B:$B,N964))</f>
        <v/>
      </c>
      <c r="F964" s="21" t="str">
        <f aca="false">IF(OR(B964="",N(N964)=0,N964=1000),"",INDEX(Rules!$C:$C,N964))</f>
        <v/>
      </c>
      <c r="G964" s="24"/>
      <c r="H964" s="24"/>
      <c r="I964" s="20" t="str">
        <f aca="false">IF(B964="","",IF(G964&lt;&gt;"",G964,E964))</f>
        <v/>
      </c>
      <c r="J964" s="21" t="str">
        <f aca="false">IF(B964="","",IF(H964&lt;&gt;"",H964,F964))</f>
        <v/>
      </c>
      <c r="K964" s="26" t="str">
        <f aca="false">IF(A964="","",DATE(YEAR(A964),MONTH(A964),1))</f>
        <v/>
      </c>
      <c r="L964" s="21" t="str">
        <f aca="false">IF(J964="",IF(B964="","",IF(N(C964)&gt;=0,"Income","Expense")),IFERROR(INDEX(Lists!$B$2:$B$30,MATCH(J964,Lists!$A$2:$A$30,0)),""))</f>
        <v/>
      </c>
      <c r="M964" s="24"/>
      <c r="N964" s="27" t="str">
        <f aca="false">IF(B964="","",IFERROR(1000-SUMPRODUCT(MAX(ISNUMBER(SEARCH(Rules!$A$5:$A$204,B964))*(Rules!$A$5:$A$204&lt;&gt;"")*(1000-ROW(Rules!$A$5:$A$204)))),""))</f>
        <v/>
      </c>
    </row>
    <row r="965" customFormat="false" ht="15" hidden="false" customHeight="false" outlineLevel="0" collapsed="false">
      <c r="A965" s="23"/>
      <c r="B965" s="24"/>
      <c r="C965" s="25"/>
      <c r="D965" s="24"/>
      <c r="E965" s="21" t="str">
        <f aca="false">IF(OR(B965="",N(N965)=0,N965=1000),IF(B965="","","Check"),INDEX(Rules!$B:$B,N965))</f>
        <v/>
      </c>
      <c r="F965" s="21" t="str">
        <f aca="false">IF(OR(B965="",N(N965)=0,N965=1000),"",INDEX(Rules!$C:$C,N965))</f>
        <v/>
      </c>
      <c r="G965" s="24"/>
      <c r="H965" s="24"/>
      <c r="I965" s="20" t="str">
        <f aca="false">IF(B965="","",IF(G965&lt;&gt;"",G965,E965))</f>
        <v/>
      </c>
      <c r="J965" s="21" t="str">
        <f aca="false">IF(B965="","",IF(H965&lt;&gt;"",H965,F965))</f>
        <v/>
      </c>
      <c r="K965" s="26" t="str">
        <f aca="false">IF(A965="","",DATE(YEAR(A965),MONTH(A965),1))</f>
        <v/>
      </c>
      <c r="L965" s="21" t="str">
        <f aca="false">IF(J965="",IF(B965="","",IF(N(C965)&gt;=0,"Income","Expense")),IFERROR(INDEX(Lists!$B$2:$B$30,MATCH(J965,Lists!$A$2:$A$30,0)),""))</f>
        <v/>
      </c>
      <c r="M965" s="24"/>
      <c r="N965" s="27" t="str">
        <f aca="false">IF(B965="","",IFERROR(1000-SUMPRODUCT(MAX(ISNUMBER(SEARCH(Rules!$A$5:$A$204,B965))*(Rules!$A$5:$A$204&lt;&gt;"")*(1000-ROW(Rules!$A$5:$A$204)))),""))</f>
        <v/>
      </c>
    </row>
    <row r="966" customFormat="false" ht="15" hidden="false" customHeight="false" outlineLevel="0" collapsed="false">
      <c r="A966" s="23"/>
      <c r="B966" s="24"/>
      <c r="C966" s="25"/>
      <c r="D966" s="24"/>
      <c r="E966" s="21" t="str">
        <f aca="false">IF(OR(B966="",N(N966)=0,N966=1000),IF(B966="","","Check"),INDEX(Rules!$B:$B,N966))</f>
        <v/>
      </c>
      <c r="F966" s="21" t="str">
        <f aca="false">IF(OR(B966="",N(N966)=0,N966=1000),"",INDEX(Rules!$C:$C,N966))</f>
        <v/>
      </c>
      <c r="G966" s="24"/>
      <c r="H966" s="24"/>
      <c r="I966" s="20" t="str">
        <f aca="false">IF(B966="","",IF(G966&lt;&gt;"",G966,E966))</f>
        <v/>
      </c>
      <c r="J966" s="21" t="str">
        <f aca="false">IF(B966="","",IF(H966&lt;&gt;"",H966,F966))</f>
        <v/>
      </c>
      <c r="K966" s="26" t="str">
        <f aca="false">IF(A966="","",DATE(YEAR(A966),MONTH(A966),1))</f>
        <v/>
      </c>
      <c r="L966" s="21" t="str">
        <f aca="false">IF(J966="",IF(B966="","",IF(N(C966)&gt;=0,"Income","Expense")),IFERROR(INDEX(Lists!$B$2:$B$30,MATCH(J966,Lists!$A$2:$A$30,0)),""))</f>
        <v/>
      </c>
      <c r="M966" s="24"/>
      <c r="N966" s="27" t="str">
        <f aca="false">IF(B966="","",IFERROR(1000-SUMPRODUCT(MAX(ISNUMBER(SEARCH(Rules!$A$5:$A$204,B966))*(Rules!$A$5:$A$204&lt;&gt;"")*(1000-ROW(Rules!$A$5:$A$204)))),""))</f>
        <v/>
      </c>
    </row>
    <row r="967" customFormat="false" ht="15" hidden="false" customHeight="false" outlineLevel="0" collapsed="false">
      <c r="A967" s="23"/>
      <c r="B967" s="24"/>
      <c r="C967" s="25"/>
      <c r="D967" s="24"/>
      <c r="E967" s="21" t="str">
        <f aca="false">IF(OR(B967="",N(N967)=0,N967=1000),IF(B967="","","Check"),INDEX(Rules!$B:$B,N967))</f>
        <v/>
      </c>
      <c r="F967" s="21" t="str">
        <f aca="false">IF(OR(B967="",N(N967)=0,N967=1000),"",INDEX(Rules!$C:$C,N967))</f>
        <v/>
      </c>
      <c r="G967" s="24"/>
      <c r="H967" s="24"/>
      <c r="I967" s="20" t="str">
        <f aca="false">IF(B967="","",IF(G967&lt;&gt;"",G967,E967))</f>
        <v/>
      </c>
      <c r="J967" s="21" t="str">
        <f aca="false">IF(B967="","",IF(H967&lt;&gt;"",H967,F967))</f>
        <v/>
      </c>
      <c r="K967" s="26" t="str">
        <f aca="false">IF(A967="","",DATE(YEAR(A967),MONTH(A967),1))</f>
        <v/>
      </c>
      <c r="L967" s="21" t="str">
        <f aca="false">IF(J967="",IF(B967="","",IF(N(C967)&gt;=0,"Income","Expense")),IFERROR(INDEX(Lists!$B$2:$B$30,MATCH(J967,Lists!$A$2:$A$30,0)),""))</f>
        <v/>
      </c>
      <c r="M967" s="24"/>
      <c r="N967" s="27" t="str">
        <f aca="false">IF(B967="","",IFERROR(1000-SUMPRODUCT(MAX(ISNUMBER(SEARCH(Rules!$A$5:$A$204,B967))*(Rules!$A$5:$A$204&lt;&gt;"")*(1000-ROW(Rules!$A$5:$A$204)))),""))</f>
        <v/>
      </c>
    </row>
    <row r="968" customFormat="false" ht="15" hidden="false" customHeight="false" outlineLevel="0" collapsed="false">
      <c r="A968" s="23"/>
      <c r="B968" s="24"/>
      <c r="C968" s="25"/>
      <c r="D968" s="24"/>
      <c r="E968" s="21" t="str">
        <f aca="false">IF(OR(B968="",N(N968)=0,N968=1000),IF(B968="","","Check"),INDEX(Rules!$B:$B,N968))</f>
        <v/>
      </c>
      <c r="F968" s="21" t="str">
        <f aca="false">IF(OR(B968="",N(N968)=0,N968=1000),"",INDEX(Rules!$C:$C,N968))</f>
        <v/>
      </c>
      <c r="G968" s="24"/>
      <c r="H968" s="24"/>
      <c r="I968" s="20" t="str">
        <f aca="false">IF(B968="","",IF(G968&lt;&gt;"",G968,E968))</f>
        <v/>
      </c>
      <c r="J968" s="21" t="str">
        <f aca="false">IF(B968="","",IF(H968&lt;&gt;"",H968,F968))</f>
        <v/>
      </c>
      <c r="K968" s="26" t="str">
        <f aca="false">IF(A968="","",DATE(YEAR(A968),MONTH(A968),1))</f>
        <v/>
      </c>
      <c r="L968" s="21" t="str">
        <f aca="false">IF(J968="",IF(B968="","",IF(N(C968)&gt;=0,"Income","Expense")),IFERROR(INDEX(Lists!$B$2:$B$30,MATCH(J968,Lists!$A$2:$A$30,0)),""))</f>
        <v/>
      </c>
      <c r="M968" s="24"/>
      <c r="N968" s="27" t="str">
        <f aca="false">IF(B968="","",IFERROR(1000-SUMPRODUCT(MAX(ISNUMBER(SEARCH(Rules!$A$5:$A$204,B968))*(Rules!$A$5:$A$204&lt;&gt;"")*(1000-ROW(Rules!$A$5:$A$204)))),""))</f>
        <v/>
      </c>
    </row>
    <row r="969" customFormat="false" ht="15" hidden="false" customHeight="false" outlineLevel="0" collapsed="false">
      <c r="A969" s="23"/>
      <c r="B969" s="24"/>
      <c r="C969" s="25"/>
      <c r="D969" s="24"/>
      <c r="E969" s="21" t="str">
        <f aca="false">IF(OR(B969="",N(N969)=0,N969=1000),IF(B969="","","Check"),INDEX(Rules!$B:$B,N969))</f>
        <v/>
      </c>
      <c r="F969" s="21" t="str">
        <f aca="false">IF(OR(B969="",N(N969)=0,N969=1000),"",INDEX(Rules!$C:$C,N969))</f>
        <v/>
      </c>
      <c r="G969" s="24"/>
      <c r="H969" s="24"/>
      <c r="I969" s="20" t="str">
        <f aca="false">IF(B969="","",IF(G969&lt;&gt;"",G969,E969))</f>
        <v/>
      </c>
      <c r="J969" s="21" t="str">
        <f aca="false">IF(B969="","",IF(H969&lt;&gt;"",H969,F969))</f>
        <v/>
      </c>
      <c r="K969" s="26" t="str">
        <f aca="false">IF(A969="","",DATE(YEAR(A969),MONTH(A969),1))</f>
        <v/>
      </c>
      <c r="L969" s="21" t="str">
        <f aca="false">IF(J969="",IF(B969="","",IF(N(C969)&gt;=0,"Income","Expense")),IFERROR(INDEX(Lists!$B$2:$B$30,MATCH(J969,Lists!$A$2:$A$30,0)),""))</f>
        <v/>
      </c>
      <c r="M969" s="24"/>
      <c r="N969" s="27" t="str">
        <f aca="false">IF(B969="","",IFERROR(1000-SUMPRODUCT(MAX(ISNUMBER(SEARCH(Rules!$A$5:$A$204,B969))*(Rules!$A$5:$A$204&lt;&gt;"")*(1000-ROW(Rules!$A$5:$A$204)))),""))</f>
        <v/>
      </c>
    </row>
    <row r="970" customFormat="false" ht="15" hidden="false" customHeight="false" outlineLevel="0" collapsed="false">
      <c r="A970" s="23"/>
      <c r="B970" s="24"/>
      <c r="C970" s="25"/>
      <c r="D970" s="24"/>
      <c r="E970" s="21" t="str">
        <f aca="false">IF(OR(B970="",N(N970)=0,N970=1000),IF(B970="","","Check"),INDEX(Rules!$B:$B,N970))</f>
        <v/>
      </c>
      <c r="F970" s="21" t="str">
        <f aca="false">IF(OR(B970="",N(N970)=0,N970=1000),"",INDEX(Rules!$C:$C,N970))</f>
        <v/>
      </c>
      <c r="G970" s="24"/>
      <c r="H970" s="24"/>
      <c r="I970" s="20" t="str">
        <f aca="false">IF(B970="","",IF(G970&lt;&gt;"",G970,E970))</f>
        <v/>
      </c>
      <c r="J970" s="21" t="str">
        <f aca="false">IF(B970="","",IF(H970&lt;&gt;"",H970,F970))</f>
        <v/>
      </c>
      <c r="K970" s="26" t="str">
        <f aca="false">IF(A970="","",DATE(YEAR(A970),MONTH(A970),1))</f>
        <v/>
      </c>
      <c r="L970" s="21" t="str">
        <f aca="false">IF(J970="",IF(B970="","",IF(N(C970)&gt;=0,"Income","Expense")),IFERROR(INDEX(Lists!$B$2:$B$30,MATCH(J970,Lists!$A$2:$A$30,0)),""))</f>
        <v/>
      </c>
      <c r="M970" s="24"/>
      <c r="N970" s="27" t="str">
        <f aca="false">IF(B970="","",IFERROR(1000-SUMPRODUCT(MAX(ISNUMBER(SEARCH(Rules!$A$5:$A$204,B970))*(Rules!$A$5:$A$204&lt;&gt;"")*(1000-ROW(Rules!$A$5:$A$204)))),""))</f>
        <v/>
      </c>
    </row>
    <row r="971" customFormat="false" ht="15" hidden="false" customHeight="false" outlineLevel="0" collapsed="false">
      <c r="A971" s="23"/>
      <c r="B971" s="24"/>
      <c r="C971" s="25"/>
      <c r="D971" s="24"/>
      <c r="E971" s="21" t="str">
        <f aca="false">IF(OR(B971="",N(N971)=0,N971=1000),IF(B971="","","Check"),INDEX(Rules!$B:$B,N971))</f>
        <v/>
      </c>
      <c r="F971" s="21" t="str">
        <f aca="false">IF(OR(B971="",N(N971)=0,N971=1000),"",INDEX(Rules!$C:$C,N971))</f>
        <v/>
      </c>
      <c r="G971" s="24"/>
      <c r="H971" s="24"/>
      <c r="I971" s="20" t="str">
        <f aca="false">IF(B971="","",IF(G971&lt;&gt;"",G971,E971))</f>
        <v/>
      </c>
      <c r="J971" s="21" t="str">
        <f aca="false">IF(B971="","",IF(H971&lt;&gt;"",H971,F971))</f>
        <v/>
      </c>
      <c r="K971" s="26" t="str">
        <f aca="false">IF(A971="","",DATE(YEAR(A971),MONTH(A971),1))</f>
        <v/>
      </c>
      <c r="L971" s="21" t="str">
        <f aca="false">IF(J971="",IF(B971="","",IF(N(C971)&gt;=0,"Income","Expense")),IFERROR(INDEX(Lists!$B$2:$B$30,MATCH(J971,Lists!$A$2:$A$30,0)),""))</f>
        <v/>
      </c>
      <c r="M971" s="24"/>
      <c r="N971" s="27" t="str">
        <f aca="false">IF(B971="","",IFERROR(1000-SUMPRODUCT(MAX(ISNUMBER(SEARCH(Rules!$A$5:$A$204,B971))*(Rules!$A$5:$A$204&lt;&gt;"")*(1000-ROW(Rules!$A$5:$A$204)))),""))</f>
        <v/>
      </c>
    </row>
    <row r="972" customFormat="false" ht="15" hidden="false" customHeight="false" outlineLevel="0" collapsed="false">
      <c r="A972" s="23"/>
      <c r="B972" s="24"/>
      <c r="C972" s="25"/>
      <c r="D972" s="24"/>
      <c r="E972" s="21" t="str">
        <f aca="false">IF(OR(B972="",N(N972)=0,N972=1000),IF(B972="","","Check"),INDEX(Rules!$B:$B,N972))</f>
        <v/>
      </c>
      <c r="F972" s="21" t="str">
        <f aca="false">IF(OR(B972="",N(N972)=0,N972=1000),"",INDEX(Rules!$C:$C,N972))</f>
        <v/>
      </c>
      <c r="G972" s="24"/>
      <c r="H972" s="24"/>
      <c r="I972" s="20" t="str">
        <f aca="false">IF(B972="","",IF(G972&lt;&gt;"",G972,E972))</f>
        <v/>
      </c>
      <c r="J972" s="21" t="str">
        <f aca="false">IF(B972="","",IF(H972&lt;&gt;"",H972,F972))</f>
        <v/>
      </c>
      <c r="K972" s="26" t="str">
        <f aca="false">IF(A972="","",DATE(YEAR(A972),MONTH(A972),1))</f>
        <v/>
      </c>
      <c r="L972" s="21" t="str">
        <f aca="false">IF(J972="",IF(B972="","",IF(N(C972)&gt;=0,"Income","Expense")),IFERROR(INDEX(Lists!$B$2:$B$30,MATCH(J972,Lists!$A$2:$A$30,0)),""))</f>
        <v/>
      </c>
      <c r="M972" s="24"/>
      <c r="N972" s="27" t="str">
        <f aca="false">IF(B972="","",IFERROR(1000-SUMPRODUCT(MAX(ISNUMBER(SEARCH(Rules!$A$5:$A$204,B972))*(Rules!$A$5:$A$204&lt;&gt;"")*(1000-ROW(Rules!$A$5:$A$204)))),""))</f>
        <v/>
      </c>
    </row>
    <row r="973" customFormat="false" ht="15" hidden="false" customHeight="false" outlineLevel="0" collapsed="false">
      <c r="A973" s="23"/>
      <c r="B973" s="24"/>
      <c r="C973" s="25"/>
      <c r="D973" s="24"/>
      <c r="E973" s="21" t="str">
        <f aca="false">IF(OR(B973="",N(N973)=0,N973=1000),IF(B973="","","Check"),INDEX(Rules!$B:$B,N973))</f>
        <v/>
      </c>
      <c r="F973" s="21" t="str">
        <f aca="false">IF(OR(B973="",N(N973)=0,N973=1000),"",INDEX(Rules!$C:$C,N973))</f>
        <v/>
      </c>
      <c r="G973" s="24"/>
      <c r="H973" s="24"/>
      <c r="I973" s="20" t="str">
        <f aca="false">IF(B973="","",IF(G973&lt;&gt;"",G973,E973))</f>
        <v/>
      </c>
      <c r="J973" s="21" t="str">
        <f aca="false">IF(B973="","",IF(H973&lt;&gt;"",H973,F973))</f>
        <v/>
      </c>
      <c r="K973" s="26" t="str">
        <f aca="false">IF(A973="","",DATE(YEAR(A973),MONTH(A973),1))</f>
        <v/>
      </c>
      <c r="L973" s="21" t="str">
        <f aca="false">IF(J973="",IF(B973="","",IF(N(C973)&gt;=0,"Income","Expense")),IFERROR(INDEX(Lists!$B$2:$B$30,MATCH(J973,Lists!$A$2:$A$30,0)),""))</f>
        <v/>
      </c>
      <c r="M973" s="24"/>
      <c r="N973" s="27" t="str">
        <f aca="false">IF(B973="","",IFERROR(1000-SUMPRODUCT(MAX(ISNUMBER(SEARCH(Rules!$A$5:$A$204,B973))*(Rules!$A$5:$A$204&lt;&gt;"")*(1000-ROW(Rules!$A$5:$A$204)))),""))</f>
        <v/>
      </c>
    </row>
    <row r="974" customFormat="false" ht="15" hidden="false" customHeight="false" outlineLevel="0" collapsed="false">
      <c r="A974" s="23"/>
      <c r="B974" s="24"/>
      <c r="C974" s="25"/>
      <c r="D974" s="24"/>
      <c r="E974" s="21" t="str">
        <f aca="false">IF(OR(B974="",N(N974)=0,N974=1000),IF(B974="","","Check"),INDEX(Rules!$B:$B,N974))</f>
        <v/>
      </c>
      <c r="F974" s="21" t="str">
        <f aca="false">IF(OR(B974="",N(N974)=0,N974=1000),"",INDEX(Rules!$C:$C,N974))</f>
        <v/>
      </c>
      <c r="G974" s="24"/>
      <c r="H974" s="24"/>
      <c r="I974" s="20" t="str">
        <f aca="false">IF(B974="","",IF(G974&lt;&gt;"",G974,E974))</f>
        <v/>
      </c>
      <c r="J974" s="21" t="str">
        <f aca="false">IF(B974="","",IF(H974&lt;&gt;"",H974,F974))</f>
        <v/>
      </c>
      <c r="K974" s="26" t="str">
        <f aca="false">IF(A974="","",DATE(YEAR(A974),MONTH(A974),1))</f>
        <v/>
      </c>
      <c r="L974" s="21" t="str">
        <f aca="false">IF(J974="",IF(B974="","",IF(N(C974)&gt;=0,"Income","Expense")),IFERROR(INDEX(Lists!$B$2:$B$30,MATCH(J974,Lists!$A$2:$A$30,0)),""))</f>
        <v/>
      </c>
      <c r="M974" s="24"/>
      <c r="N974" s="27" t="str">
        <f aca="false">IF(B974="","",IFERROR(1000-SUMPRODUCT(MAX(ISNUMBER(SEARCH(Rules!$A$5:$A$204,B974))*(Rules!$A$5:$A$204&lt;&gt;"")*(1000-ROW(Rules!$A$5:$A$204)))),""))</f>
        <v/>
      </c>
    </row>
    <row r="975" customFormat="false" ht="15" hidden="false" customHeight="false" outlineLevel="0" collapsed="false">
      <c r="A975" s="23"/>
      <c r="B975" s="24"/>
      <c r="C975" s="25"/>
      <c r="D975" s="24"/>
      <c r="E975" s="21" t="str">
        <f aca="false">IF(OR(B975="",N(N975)=0,N975=1000),IF(B975="","","Check"),INDEX(Rules!$B:$B,N975))</f>
        <v/>
      </c>
      <c r="F975" s="21" t="str">
        <f aca="false">IF(OR(B975="",N(N975)=0,N975=1000),"",INDEX(Rules!$C:$C,N975))</f>
        <v/>
      </c>
      <c r="G975" s="24"/>
      <c r="H975" s="24"/>
      <c r="I975" s="20" t="str">
        <f aca="false">IF(B975="","",IF(G975&lt;&gt;"",G975,E975))</f>
        <v/>
      </c>
      <c r="J975" s="21" t="str">
        <f aca="false">IF(B975="","",IF(H975&lt;&gt;"",H975,F975))</f>
        <v/>
      </c>
      <c r="K975" s="26" t="str">
        <f aca="false">IF(A975="","",DATE(YEAR(A975),MONTH(A975),1))</f>
        <v/>
      </c>
      <c r="L975" s="21" t="str">
        <f aca="false">IF(J975="",IF(B975="","",IF(N(C975)&gt;=0,"Income","Expense")),IFERROR(INDEX(Lists!$B$2:$B$30,MATCH(J975,Lists!$A$2:$A$30,0)),""))</f>
        <v/>
      </c>
      <c r="M975" s="24"/>
      <c r="N975" s="27" t="str">
        <f aca="false">IF(B975="","",IFERROR(1000-SUMPRODUCT(MAX(ISNUMBER(SEARCH(Rules!$A$5:$A$204,B975))*(Rules!$A$5:$A$204&lt;&gt;"")*(1000-ROW(Rules!$A$5:$A$204)))),""))</f>
        <v/>
      </c>
    </row>
    <row r="976" customFormat="false" ht="15" hidden="false" customHeight="false" outlineLevel="0" collapsed="false">
      <c r="A976" s="23"/>
      <c r="B976" s="24"/>
      <c r="C976" s="25"/>
      <c r="D976" s="24"/>
      <c r="E976" s="21" t="str">
        <f aca="false">IF(OR(B976="",N(N976)=0,N976=1000),IF(B976="","","Check"),INDEX(Rules!$B:$B,N976))</f>
        <v/>
      </c>
      <c r="F976" s="21" t="str">
        <f aca="false">IF(OR(B976="",N(N976)=0,N976=1000),"",INDEX(Rules!$C:$C,N976))</f>
        <v/>
      </c>
      <c r="G976" s="24"/>
      <c r="H976" s="24"/>
      <c r="I976" s="20" t="str">
        <f aca="false">IF(B976="","",IF(G976&lt;&gt;"",G976,E976))</f>
        <v/>
      </c>
      <c r="J976" s="21" t="str">
        <f aca="false">IF(B976="","",IF(H976&lt;&gt;"",H976,F976))</f>
        <v/>
      </c>
      <c r="K976" s="26" t="str">
        <f aca="false">IF(A976="","",DATE(YEAR(A976),MONTH(A976),1))</f>
        <v/>
      </c>
      <c r="L976" s="21" t="str">
        <f aca="false">IF(J976="",IF(B976="","",IF(N(C976)&gt;=0,"Income","Expense")),IFERROR(INDEX(Lists!$B$2:$B$30,MATCH(J976,Lists!$A$2:$A$30,0)),""))</f>
        <v/>
      </c>
      <c r="M976" s="24"/>
      <c r="N976" s="27" t="str">
        <f aca="false">IF(B976="","",IFERROR(1000-SUMPRODUCT(MAX(ISNUMBER(SEARCH(Rules!$A$5:$A$204,B976))*(Rules!$A$5:$A$204&lt;&gt;"")*(1000-ROW(Rules!$A$5:$A$204)))),""))</f>
        <v/>
      </c>
    </row>
    <row r="977" customFormat="false" ht="15" hidden="false" customHeight="false" outlineLevel="0" collapsed="false">
      <c r="A977" s="23"/>
      <c r="B977" s="24"/>
      <c r="C977" s="25"/>
      <c r="D977" s="24"/>
      <c r="E977" s="21" t="str">
        <f aca="false">IF(OR(B977="",N(N977)=0,N977=1000),IF(B977="","","Check"),INDEX(Rules!$B:$B,N977))</f>
        <v/>
      </c>
      <c r="F977" s="21" t="str">
        <f aca="false">IF(OR(B977="",N(N977)=0,N977=1000),"",INDEX(Rules!$C:$C,N977))</f>
        <v/>
      </c>
      <c r="G977" s="24"/>
      <c r="H977" s="24"/>
      <c r="I977" s="20" t="str">
        <f aca="false">IF(B977="","",IF(G977&lt;&gt;"",G977,E977))</f>
        <v/>
      </c>
      <c r="J977" s="21" t="str">
        <f aca="false">IF(B977="","",IF(H977&lt;&gt;"",H977,F977))</f>
        <v/>
      </c>
      <c r="K977" s="26" t="str">
        <f aca="false">IF(A977="","",DATE(YEAR(A977),MONTH(A977),1))</f>
        <v/>
      </c>
      <c r="L977" s="21" t="str">
        <f aca="false">IF(J977="",IF(B977="","",IF(N(C977)&gt;=0,"Income","Expense")),IFERROR(INDEX(Lists!$B$2:$B$30,MATCH(J977,Lists!$A$2:$A$30,0)),""))</f>
        <v/>
      </c>
      <c r="M977" s="24"/>
      <c r="N977" s="27" t="str">
        <f aca="false">IF(B977="","",IFERROR(1000-SUMPRODUCT(MAX(ISNUMBER(SEARCH(Rules!$A$5:$A$204,B977))*(Rules!$A$5:$A$204&lt;&gt;"")*(1000-ROW(Rules!$A$5:$A$204)))),""))</f>
        <v/>
      </c>
    </row>
    <row r="978" customFormat="false" ht="15" hidden="false" customHeight="false" outlineLevel="0" collapsed="false">
      <c r="A978" s="23"/>
      <c r="B978" s="24"/>
      <c r="C978" s="25"/>
      <c r="D978" s="24"/>
      <c r="E978" s="21" t="str">
        <f aca="false">IF(OR(B978="",N(N978)=0,N978=1000),IF(B978="","","Check"),INDEX(Rules!$B:$B,N978))</f>
        <v/>
      </c>
      <c r="F978" s="21" t="str">
        <f aca="false">IF(OR(B978="",N(N978)=0,N978=1000),"",INDEX(Rules!$C:$C,N978))</f>
        <v/>
      </c>
      <c r="G978" s="24"/>
      <c r="H978" s="24"/>
      <c r="I978" s="20" t="str">
        <f aca="false">IF(B978="","",IF(G978&lt;&gt;"",G978,E978))</f>
        <v/>
      </c>
      <c r="J978" s="21" t="str">
        <f aca="false">IF(B978="","",IF(H978&lt;&gt;"",H978,F978))</f>
        <v/>
      </c>
      <c r="K978" s="26" t="str">
        <f aca="false">IF(A978="","",DATE(YEAR(A978),MONTH(A978),1))</f>
        <v/>
      </c>
      <c r="L978" s="21" t="str">
        <f aca="false">IF(J978="",IF(B978="","",IF(N(C978)&gt;=0,"Income","Expense")),IFERROR(INDEX(Lists!$B$2:$B$30,MATCH(J978,Lists!$A$2:$A$30,0)),""))</f>
        <v/>
      </c>
      <c r="M978" s="24"/>
      <c r="N978" s="27" t="str">
        <f aca="false">IF(B978="","",IFERROR(1000-SUMPRODUCT(MAX(ISNUMBER(SEARCH(Rules!$A$5:$A$204,B978))*(Rules!$A$5:$A$204&lt;&gt;"")*(1000-ROW(Rules!$A$5:$A$204)))),""))</f>
        <v/>
      </c>
    </row>
    <row r="979" customFormat="false" ht="15" hidden="false" customHeight="false" outlineLevel="0" collapsed="false">
      <c r="A979" s="23"/>
      <c r="B979" s="24"/>
      <c r="C979" s="25"/>
      <c r="D979" s="24"/>
      <c r="E979" s="21" t="str">
        <f aca="false">IF(OR(B979="",N(N979)=0,N979=1000),IF(B979="","","Check"),INDEX(Rules!$B:$B,N979))</f>
        <v/>
      </c>
      <c r="F979" s="21" t="str">
        <f aca="false">IF(OR(B979="",N(N979)=0,N979=1000),"",INDEX(Rules!$C:$C,N979))</f>
        <v/>
      </c>
      <c r="G979" s="24"/>
      <c r="H979" s="24"/>
      <c r="I979" s="20" t="str">
        <f aca="false">IF(B979="","",IF(G979&lt;&gt;"",G979,E979))</f>
        <v/>
      </c>
      <c r="J979" s="21" t="str">
        <f aca="false">IF(B979="","",IF(H979&lt;&gt;"",H979,F979))</f>
        <v/>
      </c>
      <c r="K979" s="26" t="str">
        <f aca="false">IF(A979="","",DATE(YEAR(A979),MONTH(A979),1))</f>
        <v/>
      </c>
      <c r="L979" s="21" t="str">
        <f aca="false">IF(J979="",IF(B979="","",IF(N(C979)&gt;=0,"Income","Expense")),IFERROR(INDEX(Lists!$B$2:$B$30,MATCH(J979,Lists!$A$2:$A$30,0)),""))</f>
        <v/>
      </c>
      <c r="M979" s="24"/>
      <c r="N979" s="27" t="str">
        <f aca="false">IF(B979="","",IFERROR(1000-SUMPRODUCT(MAX(ISNUMBER(SEARCH(Rules!$A$5:$A$204,B979))*(Rules!$A$5:$A$204&lt;&gt;"")*(1000-ROW(Rules!$A$5:$A$204)))),""))</f>
        <v/>
      </c>
    </row>
    <row r="980" customFormat="false" ht="15" hidden="false" customHeight="false" outlineLevel="0" collapsed="false">
      <c r="A980" s="23"/>
      <c r="B980" s="24"/>
      <c r="C980" s="25"/>
      <c r="D980" s="24"/>
      <c r="E980" s="21" t="str">
        <f aca="false">IF(OR(B980="",N(N980)=0,N980=1000),IF(B980="","","Check"),INDEX(Rules!$B:$B,N980))</f>
        <v/>
      </c>
      <c r="F980" s="21" t="str">
        <f aca="false">IF(OR(B980="",N(N980)=0,N980=1000),"",INDEX(Rules!$C:$C,N980))</f>
        <v/>
      </c>
      <c r="G980" s="24"/>
      <c r="H980" s="24"/>
      <c r="I980" s="20" t="str">
        <f aca="false">IF(B980="","",IF(G980&lt;&gt;"",G980,E980))</f>
        <v/>
      </c>
      <c r="J980" s="21" t="str">
        <f aca="false">IF(B980="","",IF(H980&lt;&gt;"",H980,F980))</f>
        <v/>
      </c>
      <c r="K980" s="26" t="str">
        <f aca="false">IF(A980="","",DATE(YEAR(A980),MONTH(A980),1))</f>
        <v/>
      </c>
      <c r="L980" s="21" t="str">
        <f aca="false">IF(J980="",IF(B980="","",IF(N(C980)&gt;=0,"Income","Expense")),IFERROR(INDEX(Lists!$B$2:$B$30,MATCH(J980,Lists!$A$2:$A$30,0)),""))</f>
        <v/>
      </c>
      <c r="M980" s="24"/>
      <c r="N980" s="27" t="str">
        <f aca="false">IF(B980="","",IFERROR(1000-SUMPRODUCT(MAX(ISNUMBER(SEARCH(Rules!$A$5:$A$204,B980))*(Rules!$A$5:$A$204&lt;&gt;"")*(1000-ROW(Rules!$A$5:$A$204)))),""))</f>
        <v/>
      </c>
    </row>
    <row r="981" customFormat="false" ht="15" hidden="false" customHeight="false" outlineLevel="0" collapsed="false">
      <c r="A981" s="23"/>
      <c r="B981" s="24"/>
      <c r="C981" s="25"/>
      <c r="D981" s="24"/>
      <c r="E981" s="21" t="str">
        <f aca="false">IF(OR(B981="",N(N981)=0,N981=1000),IF(B981="","","Check"),INDEX(Rules!$B:$B,N981))</f>
        <v/>
      </c>
      <c r="F981" s="21" t="str">
        <f aca="false">IF(OR(B981="",N(N981)=0,N981=1000),"",INDEX(Rules!$C:$C,N981))</f>
        <v/>
      </c>
      <c r="G981" s="24"/>
      <c r="H981" s="24"/>
      <c r="I981" s="20" t="str">
        <f aca="false">IF(B981="","",IF(G981&lt;&gt;"",G981,E981))</f>
        <v/>
      </c>
      <c r="J981" s="21" t="str">
        <f aca="false">IF(B981="","",IF(H981&lt;&gt;"",H981,F981))</f>
        <v/>
      </c>
      <c r="K981" s="26" t="str">
        <f aca="false">IF(A981="","",DATE(YEAR(A981),MONTH(A981),1))</f>
        <v/>
      </c>
      <c r="L981" s="21" t="str">
        <f aca="false">IF(J981="",IF(B981="","",IF(N(C981)&gt;=0,"Income","Expense")),IFERROR(INDEX(Lists!$B$2:$B$30,MATCH(J981,Lists!$A$2:$A$30,0)),""))</f>
        <v/>
      </c>
      <c r="M981" s="24"/>
      <c r="N981" s="27" t="str">
        <f aca="false">IF(B981="","",IFERROR(1000-SUMPRODUCT(MAX(ISNUMBER(SEARCH(Rules!$A$5:$A$204,B981))*(Rules!$A$5:$A$204&lt;&gt;"")*(1000-ROW(Rules!$A$5:$A$204)))),""))</f>
        <v/>
      </c>
    </row>
    <row r="982" customFormat="false" ht="15" hidden="false" customHeight="false" outlineLevel="0" collapsed="false">
      <c r="A982" s="23"/>
      <c r="B982" s="24"/>
      <c r="C982" s="25"/>
      <c r="D982" s="24"/>
      <c r="E982" s="21" t="str">
        <f aca="false">IF(OR(B982="",N(N982)=0,N982=1000),IF(B982="","","Check"),INDEX(Rules!$B:$B,N982))</f>
        <v/>
      </c>
      <c r="F982" s="21" t="str">
        <f aca="false">IF(OR(B982="",N(N982)=0,N982=1000),"",INDEX(Rules!$C:$C,N982))</f>
        <v/>
      </c>
      <c r="G982" s="24"/>
      <c r="H982" s="24"/>
      <c r="I982" s="20" t="str">
        <f aca="false">IF(B982="","",IF(G982&lt;&gt;"",G982,E982))</f>
        <v/>
      </c>
      <c r="J982" s="21" t="str">
        <f aca="false">IF(B982="","",IF(H982&lt;&gt;"",H982,F982))</f>
        <v/>
      </c>
      <c r="K982" s="26" t="str">
        <f aca="false">IF(A982="","",DATE(YEAR(A982),MONTH(A982),1))</f>
        <v/>
      </c>
      <c r="L982" s="21" t="str">
        <f aca="false">IF(J982="",IF(B982="","",IF(N(C982)&gt;=0,"Income","Expense")),IFERROR(INDEX(Lists!$B$2:$B$30,MATCH(J982,Lists!$A$2:$A$30,0)),""))</f>
        <v/>
      </c>
      <c r="M982" s="24"/>
      <c r="N982" s="27" t="str">
        <f aca="false">IF(B982="","",IFERROR(1000-SUMPRODUCT(MAX(ISNUMBER(SEARCH(Rules!$A$5:$A$204,B982))*(Rules!$A$5:$A$204&lt;&gt;"")*(1000-ROW(Rules!$A$5:$A$204)))),""))</f>
        <v/>
      </c>
    </row>
    <row r="983" customFormat="false" ht="15" hidden="false" customHeight="false" outlineLevel="0" collapsed="false">
      <c r="A983" s="23"/>
      <c r="B983" s="24"/>
      <c r="C983" s="25"/>
      <c r="D983" s="24"/>
      <c r="E983" s="21" t="str">
        <f aca="false">IF(OR(B983="",N(N983)=0,N983=1000),IF(B983="","","Check"),INDEX(Rules!$B:$B,N983))</f>
        <v/>
      </c>
      <c r="F983" s="21" t="str">
        <f aca="false">IF(OR(B983="",N(N983)=0,N983=1000),"",INDEX(Rules!$C:$C,N983))</f>
        <v/>
      </c>
      <c r="G983" s="24"/>
      <c r="H983" s="24"/>
      <c r="I983" s="20" t="str">
        <f aca="false">IF(B983="","",IF(G983&lt;&gt;"",G983,E983))</f>
        <v/>
      </c>
      <c r="J983" s="21" t="str">
        <f aca="false">IF(B983="","",IF(H983&lt;&gt;"",H983,F983))</f>
        <v/>
      </c>
      <c r="K983" s="26" t="str">
        <f aca="false">IF(A983="","",DATE(YEAR(A983),MONTH(A983),1))</f>
        <v/>
      </c>
      <c r="L983" s="21" t="str">
        <f aca="false">IF(J983="",IF(B983="","",IF(N(C983)&gt;=0,"Income","Expense")),IFERROR(INDEX(Lists!$B$2:$B$30,MATCH(J983,Lists!$A$2:$A$30,0)),""))</f>
        <v/>
      </c>
      <c r="M983" s="24"/>
      <c r="N983" s="27" t="str">
        <f aca="false">IF(B983="","",IFERROR(1000-SUMPRODUCT(MAX(ISNUMBER(SEARCH(Rules!$A$5:$A$204,B983))*(Rules!$A$5:$A$204&lt;&gt;"")*(1000-ROW(Rules!$A$5:$A$204)))),""))</f>
        <v/>
      </c>
    </row>
    <row r="984" customFormat="false" ht="15" hidden="false" customHeight="false" outlineLevel="0" collapsed="false">
      <c r="A984" s="23"/>
      <c r="B984" s="24"/>
      <c r="C984" s="25"/>
      <c r="D984" s="24"/>
      <c r="E984" s="21" t="str">
        <f aca="false">IF(OR(B984="",N(N984)=0,N984=1000),IF(B984="","","Check"),INDEX(Rules!$B:$B,N984))</f>
        <v/>
      </c>
      <c r="F984" s="21" t="str">
        <f aca="false">IF(OR(B984="",N(N984)=0,N984=1000),"",INDEX(Rules!$C:$C,N984))</f>
        <v/>
      </c>
      <c r="G984" s="24"/>
      <c r="H984" s="24"/>
      <c r="I984" s="20" t="str">
        <f aca="false">IF(B984="","",IF(G984&lt;&gt;"",G984,E984))</f>
        <v/>
      </c>
      <c r="J984" s="21" t="str">
        <f aca="false">IF(B984="","",IF(H984&lt;&gt;"",H984,F984))</f>
        <v/>
      </c>
      <c r="K984" s="26" t="str">
        <f aca="false">IF(A984="","",DATE(YEAR(A984),MONTH(A984),1))</f>
        <v/>
      </c>
      <c r="L984" s="21" t="str">
        <f aca="false">IF(J984="",IF(B984="","",IF(N(C984)&gt;=0,"Income","Expense")),IFERROR(INDEX(Lists!$B$2:$B$30,MATCH(J984,Lists!$A$2:$A$30,0)),""))</f>
        <v/>
      </c>
      <c r="M984" s="24"/>
      <c r="N984" s="27" t="str">
        <f aca="false">IF(B984="","",IFERROR(1000-SUMPRODUCT(MAX(ISNUMBER(SEARCH(Rules!$A$5:$A$204,B984))*(Rules!$A$5:$A$204&lt;&gt;"")*(1000-ROW(Rules!$A$5:$A$204)))),""))</f>
        <v/>
      </c>
    </row>
    <row r="985" customFormat="false" ht="15" hidden="false" customHeight="false" outlineLevel="0" collapsed="false">
      <c r="A985" s="23"/>
      <c r="B985" s="24"/>
      <c r="C985" s="25"/>
      <c r="D985" s="24"/>
      <c r="E985" s="21" t="str">
        <f aca="false">IF(OR(B985="",N(N985)=0,N985=1000),IF(B985="","","Check"),INDEX(Rules!$B:$B,N985))</f>
        <v/>
      </c>
      <c r="F985" s="21" t="str">
        <f aca="false">IF(OR(B985="",N(N985)=0,N985=1000),"",INDEX(Rules!$C:$C,N985))</f>
        <v/>
      </c>
      <c r="G985" s="24"/>
      <c r="H985" s="24"/>
      <c r="I985" s="20" t="str">
        <f aca="false">IF(B985="","",IF(G985&lt;&gt;"",G985,E985))</f>
        <v/>
      </c>
      <c r="J985" s="21" t="str">
        <f aca="false">IF(B985="","",IF(H985&lt;&gt;"",H985,F985))</f>
        <v/>
      </c>
      <c r="K985" s="26" t="str">
        <f aca="false">IF(A985="","",DATE(YEAR(A985),MONTH(A985),1))</f>
        <v/>
      </c>
      <c r="L985" s="21" t="str">
        <f aca="false">IF(J985="",IF(B985="","",IF(N(C985)&gt;=0,"Income","Expense")),IFERROR(INDEX(Lists!$B$2:$B$30,MATCH(J985,Lists!$A$2:$A$30,0)),""))</f>
        <v/>
      </c>
      <c r="M985" s="24"/>
      <c r="N985" s="27" t="str">
        <f aca="false">IF(B985="","",IFERROR(1000-SUMPRODUCT(MAX(ISNUMBER(SEARCH(Rules!$A$5:$A$204,B985))*(Rules!$A$5:$A$204&lt;&gt;"")*(1000-ROW(Rules!$A$5:$A$204)))),""))</f>
        <v/>
      </c>
    </row>
    <row r="986" customFormat="false" ht="15" hidden="false" customHeight="false" outlineLevel="0" collapsed="false">
      <c r="A986" s="23"/>
      <c r="B986" s="24"/>
      <c r="C986" s="25"/>
      <c r="D986" s="24"/>
      <c r="E986" s="21" t="str">
        <f aca="false">IF(OR(B986="",N(N986)=0,N986=1000),IF(B986="","","Check"),INDEX(Rules!$B:$B,N986))</f>
        <v/>
      </c>
      <c r="F986" s="21" t="str">
        <f aca="false">IF(OR(B986="",N(N986)=0,N986=1000),"",INDEX(Rules!$C:$C,N986))</f>
        <v/>
      </c>
      <c r="G986" s="24"/>
      <c r="H986" s="24"/>
      <c r="I986" s="20" t="str">
        <f aca="false">IF(B986="","",IF(G986&lt;&gt;"",G986,E986))</f>
        <v/>
      </c>
      <c r="J986" s="21" t="str">
        <f aca="false">IF(B986="","",IF(H986&lt;&gt;"",H986,F986))</f>
        <v/>
      </c>
      <c r="K986" s="26" t="str">
        <f aca="false">IF(A986="","",DATE(YEAR(A986),MONTH(A986),1))</f>
        <v/>
      </c>
      <c r="L986" s="21" t="str">
        <f aca="false">IF(J986="",IF(B986="","",IF(N(C986)&gt;=0,"Income","Expense")),IFERROR(INDEX(Lists!$B$2:$B$30,MATCH(J986,Lists!$A$2:$A$30,0)),""))</f>
        <v/>
      </c>
      <c r="M986" s="24"/>
      <c r="N986" s="27" t="str">
        <f aca="false">IF(B986="","",IFERROR(1000-SUMPRODUCT(MAX(ISNUMBER(SEARCH(Rules!$A$5:$A$204,B986))*(Rules!$A$5:$A$204&lt;&gt;"")*(1000-ROW(Rules!$A$5:$A$204)))),""))</f>
        <v/>
      </c>
    </row>
    <row r="987" customFormat="false" ht="15" hidden="false" customHeight="false" outlineLevel="0" collapsed="false">
      <c r="A987" s="23"/>
      <c r="B987" s="24"/>
      <c r="C987" s="25"/>
      <c r="D987" s="24"/>
      <c r="E987" s="21" t="str">
        <f aca="false">IF(OR(B987="",N(N987)=0,N987=1000),IF(B987="","","Check"),INDEX(Rules!$B:$B,N987))</f>
        <v/>
      </c>
      <c r="F987" s="21" t="str">
        <f aca="false">IF(OR(B987="",N(N987)=0,N987=1000),"",INDEX(Rules!$C:$C,N987))</f>
        <v/>
      </c>
      <c r="G987" s="24"/>
      <c r="H987" s="24"/>
      <c r="I987" s="20" t="str">
        <f aca="false">IF(B987="","",IF(G987&lt;&gt;"",G987,E987))</f>
        <v/>
      </c>
      <c r="J987" s="21" t="str">
        <f aca="false">IF(B987="","",IF(H987&lt;&gt;"",H987,F987))</f>
        <v/>
      </c>
      <c r="K987" s="26" t="str">
        <f aca="false">IF(A987="","",DATE(YEAR(A987),MONTH(A987),1))</f>
        <v/>
      </c>
      <c r="L987" s="21" t="str">
        <f aca="false">IF(J987="",IF(B987="","",IF(N(C987)&gt;=0,"Income","Expense")),IFERROR(INDEX(Lists!$B$2:$B$30,MATCH(J987,Lists!$A$2:$A$30,0)),""))</f>
        <v/>
      </c>
      <c r="M987" s="24"/>
      <c r="N987" s="27" t="str">
        <f aca="false">IF(B987="","",IFERROR(1000-SUMPRODUCT(MAX(ISNUMBER(SEARCH(Rules!$A$5:$A$204,B987))*(Rules!$A$5:$A$204&lt;&gt;"")*(1000-ROW(Rules!$A$5:$A$204)))),""))</f>
        <v/>
      </c>
    </row>
    <row r="988" customFormat="false" ht="15" hidden="false" customHeight="false" outlineLevel="0" collapsed="false">
      <c r="A988" s="23"/>
      <c r="B988" s="24"/>
      <c r="C988" s="25"/>
      <c r="D988" s="24"/>
      <c r="E988" s="21" t="str">
        <f aca="false">IF(OR(B988="",N(N988)=0,N988=1000),IF(B988="","","Check"),INDEX(Rules!$B:$B,N988))</f>
        <v/>
      </c>
      <c r="F988" s="21" t="str">
        <f aca="false">IF(OR(B988="",N(N988)=0,N988=1000),"",INDEX(Rules!$C:$C,N988))</f>
        <v/>
      </c>
      <c r="G988" s="24"/>
      <c r="H988" s="24"/>
      <c r="I988" s="20" t="str">
        <f aca="false">IF(B988="","",IF(G988&lt;&gt;"",G988,E988))</f>
        <v/>
      </c>
      <c r="J988" s="21" t="str">
        <f aca="false">IF(B988="","",IF(H988&lt;&gt;"",H988,F988))</f>
        <v/>
      </c>
      <c r="K988" s="26" t="str">
        <f aca="false">IF(A988="","",DATE(YEAR(A988),MONTH(A988),1))</f>
        <v/>
      </c>
      <c r="L988" s="21" t="str">
        <f aca="false">IF(J988="",IF(B988="","",IF(N(C988)&gt;=0,"Income","Expense")),IFERROR(INDEX(Lists!$B$2:$B$30,MATCH(J988,Lists!$A$2:$A$30,0)),""))</f>
        <v/>
      </c>
      <c r="M988" s="24"/>
      <c r="N988" s="27" t="str">
        <f aca="false">IF(B988="","",IFERROR(1000-SUMPRODUCT(MAX(ISNUMBER(SEARCH(Rules!$A$5:$A$204,B988))*(Rules!$A$5:$A$204&lt;&gt;"")*(1000-ROW(Rules!$A$5:$A$204)))),""))</f>
        <v/>
      </c>
    </row>
    <row r="989" customFormat="false" ht="15" hidden="false" customHeight="false" outlineLevel="0" collapsed="false">
      <c r="A989" s="23"/>
      <c r="B989" s="24"/>
      <c r="C989" s="25"/>
      <c r="D989" s="24"/>
      <c r="E989" s="21" t="str">
        <f aca="false">IF(OR(B989="",N(N989)=0,N989=1000),IF(B989="","","Check"),INDEX(Rules!$B:$B,N989))</f>
        <v/>
      </c>
      <c r="F989" s="21" t="str">
        <f aca="false">IF(OR(B989="",N(N989)=0,N989=1000),"",INDEX(Rules!$C:$C,N989))</f>
        <v/>
      </c>
      <c r="G989" s="24"/>
      <c r="H989" s="24"/>
      <c r="I989" s="20" t="str">
        <f aca="false">IF(B989="","",IF(G989&lt;&gt;"",G989,E989))</f>
        <v/>
      </c>
      <c r="J989" s="21" t="str">
        <f aca="false">IF(B989="","",IF(H989&lt;&gt;"",H989,F989))</f>
        <v/>
      </c>
      <c r="K989" s="26" t="str">
        <f aca="false">IF(A989="","",DATE(YEAR(A989),MONTH(A989),1))</f>
        <v/>
      </c>
      <c r="L989" s="21" t="str">
        <f aca="false">IF(J989="",IF(B989="","",IF(N(C989)&gt;=0,"Income","Expense")),IFERROR(INDEX(Lists!$B$2:$B$30,MATCH(J989,Lists!$A$2:$A$30,0)),""))</f>
        <v/>
      </c>
      <c r="M989" s="24"/>
      <c r="N989" s="27" t="str">
        <f aca="false">IF(B989="","",IFERROR(1000-SUMPRODUCT(MAX(ISNUMBER(SEARCH(Rules!$A$5:$A$204,B989))*(Rules!$A$5:$A$204&lt;&gt;"")*(1000-ROW(Rules!$A$5:$A$204)))),""))</f>
        <v/>
      </c>
    </row>
    <row r="990" customFormat="false" ht="15" hidden="false" customHeight="false" outlineLevel="0" collapsed="false">
      <c r="A990" s="23"/>
      <c r="B990" s="24"/>
      <c r="C990" s="25"/>
      <c r="D990" s="24"/>
      <c r="E990" s="21" t="str">
        <f aca="false">IF(OR(B990="",N(N990)=0,N990=1000),IF(B990="","","Check"),INDEX(Rules!$B:$B,N990))</f>
        <v/>
      </c>
      <c r="F990" s="21" t="str">
        <f aca="false">IF(OR(B990="",N(N990)=0,N990=1000),"",INDEX(Rules!$C:$C,N990))</f>
        <v/>
      </c>
      <c r="G990" s="24"/>
      <c r="H990" s="24"/>
      <c r="I990" s="20" t="str">
        <f aca="false">IF(B990="","",IF(G990&lt;&gt;"",G990,E990))</f>
        <v/>
      </c>
      <c r="J990" s="21" t="str">
        <f aca="false">IF(B990="","",IF(H990&lt;&gt;"",H990,F990))</f>
        <v/>
      </c>
      <c r="K990" s="26" t="str">
        <f aca="false">IF(A990="","",DATE(YEAR(A990),MONTH(A990),1))</f>
        <v/>
      </c>
      <c r="L990" s="21" t="str">
        <f aca="false">IF(J990="",IF(B990="","",IF(N(C990)&gt;=0,"Income","Expense")),IFERROR(INDEX(Lists!$B$2:$B$30,MATCH(J990,Lists!$A$2:$A$30,0)),""))</f>
        <v/>
      </c>
      <c r="M990" s="24"/>
      <c r="N990" s="27" t="str">
        <f aca="false">IF(B990="","",IFERROR(1000-SUMPRODUCT(MAX(ISNUMBER(SEARCH(Rules!$A$5:$A$204,B990))*(Rules!$A$5:$A$204&lt;&gt;"")*(1000-ROW(Rules!$A$5:$A$204)))),""))</f>
        <v/>
      </c>
    </row>
    <row r="991" customFormat="false" ht="15" hidden="false" customHeight="false" outlineLevel="0" collapsed="false">
      <c r="A991" s="23"/>
      <c r="B991" s="24"/>
      <c r="C991" s="25"/>
      <c r="D991" s="24"/>
      <c r="E991" s="21" t="str">
        <f aca="false">IF(OR(B991="",N(N991)=0,N991=1000),IF(B991="","","Check"),INDEX(Rules!$B:$B,N991))</f>
        <v/>
      </c>
      <c r="F991" s="21" t="str">
        <f aca="false">IF(OR(B991="",N(N991)=0,N991=1000),"",INDEX(Rules!$C:$C,N991))</f>
        <v/>
      </c>
      <c r="G991" s="24"/>
      <c r="H991" s="24"/>
      <c r="I991" s="20" t="str">
        <f aca="false">IF(B991="","",IF(G991&lt;&gt;"",G991,E991))</f>
        <v/>
      </c>
      <c r="J991" s="21" t="str">
        <f aca="false">IF(B991="","",IF(H991&lt;&gt;"",H991,F991))</f>
        <v/>
      </c>
      <c r="K991" s="26" t="str">
        <f aca="false">IF(A991="","",DATE(YEAR(A991),MONTH(A991),1))</f>
        <v/>
      </c>
      <c r="L991" s="21" t="str">
        <f aca="false">IF(J991="",IF(B991="","",IF(N(C991)&gt;=0,"Income","Expense")),IFERROR(INDEX(Lists!$B$2:$B$30,MATCH(J991,Lists!$A$2:$A$30,0)),""))</f>
        <v/>
      </c>
      <c r="M991" s="24"/>
      <c r="N991" s="27" t="str">
        <f aca="false">IF(B991="","",IFERROR(1000-SUMPRODUCT(MAX(ISNUMBER(SEARCH(Rules!$A$5:$A$204,B991))*(Rules!$A$5:$A$204&lt;&gt;"")*(1000-ROW(Rules!$A$5:$A$204)))),""))</f>
        <v/>
      </c>
    </row>
    <row r="992" customFormat="false" ht="15" hidden="false" customHeight="false" outlineLevel="0" collapsed="false">
      <c r="A992" s="23"/>
      <c r="B992" s="24"/>
      <c r="C992" s="25"/>
      <c r="D992" s="24"/>
      <c r="E992" s="21" t="str">
        <f aca="false">IF(OR(B992="",N(N992)=0,N992=1000),IF(B992="","","Check"),INDEX(Rules!$B:$B,N992))</f>
        <v/>
      </c>
      <c r="F992" s="21" t="str">
        <f aca="false">IF(OR(B992="",N(N992)=0,N992=1000),"",INDEX(Rules!$C:$C,N992))</f>
        <v/>
      </c>
      <c r="G992" s="24"/>
      <c r="H992" s="24"/>
      <c r="I992" s="20" t="str">
        <f aca="false">IF(B992="","",IF(G992&lt;&gt;"",G992,E992))</f>
        <v/>
      </c>
      <c r="J992" s="21" t="str">
        <f aca="false">IF(B992="","",IF(H992&lt;&gt;"",H992,F992))</f>
        <v/>
      </c>
      <c r="K992" s="26" t="str">
        <f aca="false">IF(A992="","",DATE(YEAR(A992),MONTH(A992),1))</f>
        <v/>
      </c>
      <c r="L992" s="21" t="str">
        <f aca="false">IF(J992="",IF(B992="","",IF(N(C992)&gt;=0,"Income","Expense")),IFERROR(INDEX(Lists!$B$2:$B$30,MATCH(J992,Lists!$A$2:$A$30,0)),""))</f>
        <v/>
      </c>
      <c r="M992" s="24"/>
      <c r="N992" s="27" t="str">
        <f aca="false">IF(B992="","",IFERROR(1000-SUMPRODUCT(MAX(ISNUMBER(SEARCH(Rules!$A$5:$A$204,B992))*(Rules!$A$5:$A$204&lt;&gt;"")*(1000-ROW(Rules!$A$5:$A$204)))),""))</f>
        <v/>
      </c>
    </row>
    <row r="993" customFormat="false" ht="15" hidden="false" customHeight="false" outlineLevel="0" collapsed="false">
      <c r="A993" s="23"/>
      <c r="B993" s="24"/>
      <c r="C993" s="25"/>
      <c r="D993" s="24"/>
      <c r="E993" s="21" t="str">
        <f aca="false">IF(OR(B993="",N(N993)=0,N993=1000),IF(B993="","","Check"),INDEX(Rules!$B:$B,N993))</f>
        <v/>
      </c>
      <c r="F993" s="21" t="str">
        <f aca="false">IF(OR(B993="",N(N993)=0,N993=1000),"",INDEX(Rules!$C:$C,N993))</f>
        <v/>
      </c>
      <c r="G993" s="24"/>
      <c r="H993" s="24"/>
      <c r="I993" s="20" t="str">
        <f aca="false">IF(B993="","",IF(G993&lt;&gt;"",G993,E993))</f>
        <v/>
      </c>
      <c r="J993" s="21" t="str">
        <f aca="false">IF(B993="","",IF(H993&lt;&gt;"",H993,F993))</f>
        <v/>
      </c>
      <c r="K993" s="26" t="str">
        <f aca="false">IF(A993="","",DATE(YEAR(A993),MONTH(A993),1))</f>
        <v/>
      </c>
      <c r="L993" s="21" t="str">
        <f aca="false">IF(J993="",IF(B993="","",IF(N(C993)&gt;=0,"Income","Expense")),IFERROR(INDEX(Lists!$B$2:$B$30,MATCH(J993,Lists!$A$2:$A$30,0)),""))</f>
        <v/>
      </c>
      <c r="M993" s="24"/>
      <c r="N993" s="27" t="str">
        <f aca="false">IF(B993="","",IFERROR(1000-SUMPRODUCT(MAX(ISNUMBER(SEARCH(Rules!$A$5:$A$204,B993))*(Rules!$A$5:$A$204&lt;&gt;"")*(1000-ROW(Rules!$A$5:$A$204)))),""))</f>
        <v/>
      </c>
    </row>
    <row r="994" customFormat="false" ht="15" hidden="false" customHeight="false" outlineLevel="0" collapsed="false">
      <c r="A994" s="23"/>
      <c r="B994" s="24"/>
      <c r="C994" s="25"/>
      <c r="D994" s="24"/>
      <c r="E994" s="21" t="str">
        <f aca="false">IF(OR(B994="",N(N994)=0,N994=1000),IF(B994="","","Check"),INDEX(Rules!$B:$B,N994))</f>
        <v/>
      </c>
      <c r="F994" s="21" t="str">
        <f aca="false">IF(OR(B994="",N(N994)=0,N994=1000),"",INDEX(Rules!$C:$C,N994))</f>
        <v/>
      </c>
      <c r="G994" s="24"/>
      <c r="H994" s="24"/>
      <c r="I994" s="20" t="str">
        <f aca="false">IF(B994="","",IF(G994&lt;&gt;"",G994,E994))</f>
        <v/>
      </c>
      <c r="J994" s="21" t="str">
        <f aca="false">IF(B994="","",IF(H994&lt;&gt;"",H994,F994))</f>
        <v/>
      </c>
      <c r="K994" s="26" t="str">
        <f aca="false">IF(A994="","",DATE(YEAR(A994),MONTH(A994),1))</f>
        <v/>
      </c>
      <c r="L994" s="21" t="str">
        <f aca="false">IF(J994="",IF(B994="","",IF(N(C994)&gt;=0,"Income","Expense")),IFERROR(INDEX(Lists!$B$2:$B$30,MATCH(J994,Lists!$A$2:$A$30,0)),""))</f>
        <v/>
      </c>
      <c r="M994" s="24"/>
      <c r="N994" s="27" t="str">
        <f aca="false">IF(B994="","",IFERROR(1000-SUMPRODUCT(MAX(ISNUMBER(SEARCH(Rules!$A$5:$A$204,B994))*(Rules!$A$5:$A$204&lt;&gt;"")*(1000-ROW(Rules!$A$5:$A$204)))),""))</f>
        <v/>
      </c>
    </row>
    <row r="995" customFormat="false" ht="15" hidden="false" customHeight="false" outlineLevel="0" collapsed="false">
      <c r="A995" s="23"/>
      <c r="B995" s="24"/>
      <c r="C995" s="25"/>
      <c r="D995" s="24"/>
      <c r="E995" s="21" t="str">
        <f aca="false">IF(OR(B995="",N(N995)=0,N995=1000),IF(B995="","","Check"),INDEX(Rules!$B:$B,N995))</f>
        <v/>
      </c>
      <c r="F995" s="21" t="str">
        <f aca="false">IF(OR(B995="",N(N995)=0,N995=1000),"",INDEX(Rules!$C:$C,N995))</f>
        <v/>
      </c>
      <c r="G995" s="24"/>
      <c r="H995" s="24"/>
      <c r="I995" s="20" t="str">
        <f aca="false">IF(B995="","",IF(G995&lt;&gt;"",G995,E995))</f>
        <v/>
      </c>
      <c r="J995" s="21" t="str">
        <f aca="false">IF(B995="","",IF(H995&lt;&gt;"",H995,F995))</f>
        <v/>
      </c>
      <c r="K995" s="26" t="str">
        <f aca="false">IF(A995="","",DATE(YEAR(A995),MONTH(A995),1))</f>
        <v/>
      </c>
      <c r="L995" s="21" t="str">
        <f aca="false">IF(J995="",IF(B995="","",IF(N(C995)&gt;=0,"Income","Expense")),IFERROR(INDEX(Lists!$B$2:$B$30,MATCH(J995,Lists!$A$2:$A$30,0)),""))</f>
        <v/>
      </c>
      <c r="M995" s="24"/>
      <c r="N995" s="27" t="str">
        <f aca="false">IF(B995="","",IFERROR(1000-SUMPRODUCT(MAX(ISNUMBER(SEARCH(Rules!$A$5:$A$204,B995))*(Rules!$A$5:$A$204&lt;&gt;"")*(1000-ROW(Rules!$A$5:$A$204)))),""))</f>
        <v/>
      </c>
    </row>
    <row r="996" customFormat="false" ht="15" hidden="false" customHeight="false" outlineLevel="0" collapsed="false">
      <c r="A996" s="23"/>
      <c r="B996" s="24"/>
      <c r="C996" s="25"/>
      <c r="D996" s="24"/>
      <c r="E996" s="21" t="str">
        <f aca="false">IF(OR(B996="",N(N996)=0,N996=1000),IF(B996="","","Check"),INDEX(Rules!$B:$B,N996))</f>
        <v/>
      </c>
      <c r="F996" s="21" t="str">
        <f aca="false">IF(OR(B996="",N(N996)=0,N996=1000),"",INDEX(Rules!$C:$C,N996))</f>
        <v/>
      </c>
      <c r="G996" s="24"/>
      <c r="H996" s="24"/>
      <c r="I996" s="20" t="str">
        <f aca="false">IF(B996="","",IF(G996&lt;&gt;"",G996,E996))</f>
        <v/>
      </c>
      <c r="J996" s="21" t="str">
        <f aca="false">IF(B996="","",IF(H996&lt;&gt;"",H996,F996))</f>
        <v/>
      </c>
      <c r="K996" s="26" t="str">
        <f aca="false">IF(A996="","",DATE(YEAR(A996),MONTH(A996),1))</f>
        <v/>
      </c>
      <c r="L996" s="21" t="str">
        <f aca="false">IF(J996="",IF(B996="","",IF(N(C996)&gt;=0,"Income","Expense")),IFERROR(INDEX(Lists!$B$2:$B$30,MATCH(J996,Lists!$A$2:$A$30,0)),""))</f>
        <v/>
      </c>
      <c r="M996" s="24"/>
      <c r="N996" s="27" t="str">
        <f aca="false">IF(B996="","",IFERROR(1000-SUMPRODUCT(MAX(ISNUMBER(SEARCH(Rules!$A$5:$A$204,B996))*(Rules!$A$5:$A$204&lt;&gt;"")*(1000-ROW(Rules!$A$5:$A$204)))),""))</f>
        <v/>
      </c>
    </row>
    <row r="997" customFormat="false" ht="15" hidden="false" customHeight="false" outlineLevel="0" collapsed="false">
      <c r="A997" s="23"/>
      <c r="B997" s="24"/>
      <c r="C997" s="25"/>
      <c r="D997" s="24"/>
      <c r="E997" s="21" t="str">
        <f aca="false">IF(OR(B997="",N(N997)=0,N997=1000),IF(B997="","","Check"),INDEX(Rules!$B:$B,N997))</f>
        <v/>
      </c>
      <c r="F997" s="21" t="str">
        <f aca="false">IF(OR(B997="",N(N997)=0,N997=1000),"",INDEX(Rules!$C:$C,N997))</f>
        <v/>
      </c>
      <c r="G997" s="24"/>
      <c r="H997" s="24"/>
      <c r="I997" s="20" t="str">
        <f aca="false">IF(B997="","",IF(G997&lt;&gt;"",G997,E997))</f>
        <v/>
      </c>
      <c r="J997" s="21" t="str">
        <f aca="false">IF(B997="","",IF(H997&lt;&gt;"",H997,F997))</f>
        <v/>
      </c>
      <c r="K997" s="26" t="str">
        <f aca="false">IF(A997="","",DATE(YEAR(A997),MONTH(A997),1))</f>
        <v/>
      </c>
      <c r="L997" s="21" t="str">
        <f aca="false">IF(J997="",IF(B997="","",IF(N(C997)&gt;=0,"Income","Expense")),IFERROR(INDEX(Lists!$B$2:$B$30,MATCH(J997,Lists!$A$2:$A$30,0)),""))</f>
        <v/>
      </c>
      <c r="M997" s="24"/>
      <c r="N997" s="27" t="str">
        <f aca="false">IF(B997="","",IFERROR(1000-SUMPRODUCT(MAX(ISNUMBER(SEARCH(Rules!$A$5:$A$204,B997))*(Rules!$A$5:$A$204&lt;&gt;"")*(1000-ROW(Rules!$A$5:$A$204)))),""))</f>
        <v/>
      </c>
    </row>
    <row r="998" customFormat="false" ht="15" hidden="false" customHeight="false" outlineLevel="0" collapsed="false">
      <c r="A998" s="23"/>
      <c r="B998" s="24"/>
      <c r="C998" s="25"/>
      <c r="D998" s="24"/>
      <c r="E998" s="21" t="str">
        <f aca="false">IF(OR(B998="",N(N998)=0,N998=1000),IF(B998="","","Check"),INDEX(Rules!$B:$B,N998))</f>
        <v/>
      </c>
      <c r="F998" s="21" t="str">
        <f aca="false">IF(OR(B998="",N(N998)=0,N998=1000),"",INDEX(Rules!$C:$C,N998))</f>
        <v/>
      </c>
      <c r="G998" s="24"/>
      <c r="H998" s="24"/>
      <c r="I998" s="20" t="str">
        <f aca="false">IF(B998="","",IF(G998&lt;&gt;"",G998,E998))</f>
        <v/>
      </c>
      <c r="J998" s="21" t="str">
        <f aca="false">IF(B998="","",IF(H998&lt;&gt;"",H998,F998))</f>
        <v/>
      </c>
      <c r="K998" s="26" t="str">
        <f aca="false">IF(A998="","",DATE(YEAR(A998),MONTH(A998),1))</f>
        <v/>
      </c>
      <c r="L998" s="21" t="str">
        <f aca="false">IF(J998="",IF(B998="","",IF(N(C998)&gt;=0,"Income","Expense")),IFERROR(INDEX(Lists!$B$2:$B$30,MATCH(J998,Lists!$A$2:$A$30,0)),""))</f>
        <v/>
      </c>
      <c r="M998" s="24"/>
      <c r="N998" s="27" t="str">
        <f aca="false">IF(B998="","",IFERROR(1000-SUMPRODUCT(MAX(ISNUMBER(SEARCH(Rules!$A$5:$A$204,B998))*(Rules!$A$5:$A$204&lt;&gt;"")*(1000-ROW(Rules!$A$5:$A$204)))),""))</f>
        <v/>
      </c>
    </row>
    <row r="999" customFormat="false" ht="15" hidden="false" customHeight="false" outlineLevel="0" collapsed="false">
      <c r="A999" s="23"/>
      <c r="B999" s="24"/>
      <c r="C999" s="25"/>
      <c r="D999" s="24"/>
      <c r="E999" s="21" t="str">
        <f aca="false">IF(OR(B999="",N(N999)=0,N999=1000),IF(B999="","","Check"),INDEX(Rules!$B:$B,N999))</f>
        <v/>
      </c>
      <c r="F999" s="21" t="str">
        <f aca="false">IF(OR(B999="",N(N999)=0,N999=1000),"",INDEX(Rules!$C:$C,N999))</f>
        <v/>
      </c>
      <c r="G999" s="24"/>
      <c r="H999" s="24"/>
      <c r="I999" s="20" t="str">
        <f aca="false">IF(B999="","",IF(G999&lt;&gt;"",G999,E999))</f>
        <v/>
      </c>
      <c r="J999" s="21" t="str">
        <f aca="false">IF(B999="","",IF(H999&lt;&gt;"",H999,F999))</f>
        <v/>
      </c>
      <c r="K999" s="26" t="str">
        <f aca="false">IF(A999="","",DATE(YEAR(A999),MONTH(A999),1))</f>
        <v/>
      </c>
      <c r="L999" s="21" t="str">
        <f aca="false">IF(J999="",IF(B999="","",IF(N(C999)&gt;=0,"Income","Expense")),IFERROR(INDEX(Lists!$B$2:$B$30,MATCH(J999,Lists!$A$2:$A$30,0)),""))</f>
        <v/>
      </c>
      <c r="M999" s="24"/>
      <c r="N999" s="27" t="str">
        <f aca="false">IF(B999="","",IFERROR(1000-SUMPRODUCT(MAX(ISNUMBER(SEARCH(Rules!$A$5:$A$204,B999))*(Rules!$A$5:$A$204&lt;&gt;"")*(1000-ROW(Rules!$A$5:$A$204)))),""))</f>
        <v/>
      </c>
    </row>
    <row r="1000" customFormat="false" ht="15" hidden="false" customHeight="false" outlineLevel="0" collapsed="false">
      <c r="A1000" s="23"/>
      <c r="B1000" s="24"/>
      <c r="C1000" s="25"/>
      <c r="D1000" s="24"/>
      <c r="E1000" s="21" t="str">
        <f aca="false">IF(OR(B1000="",N(N1000)=0,N1000=1000),IF(B1000="","","Check"),INDEX(Rules!$B:$B,N1000))</f>
        <v/>
      </c>
      <c r="F1000" s="21" t="str">
        <f aca="false">IF(OR(B1000="",N(N1000)=0,N1000=1000),"",INDEX(Rules!$C:$C,N1000))</f>
        <v/>
      </c>
      <c r="G1000" s="24"/>
      <c r="H1000" s="24"/>
      <c r="I1000" s="20" t="str">
        <f aca="false">IF(B1000="","",IF(G1000&lt;&gt;"",G1000,E1000))</f>
        <v/>
      </c>
      <c r="J1000" s="21" t="str">
        <f aca="false">IF(B1000="","",IF(H1000&lt;&gt;"",H1000,F1000))</f>
        <v/>
      </c>
      <c r="K1000" s="26" t="str">
        <f aca="false">IF(A1000="","",DATE(YEAR(A1000),MONTH(A1000),1))</f>
        <v/>
      </c>
      <c r="L1000" s="21" t="str">
        <f aca="false">IF(J1000="",IF(B1000="","",IF(N(C1000)&gt;=0,"Income","Expense")),IFERROR(INDEX(Lists!$B$2:$B$30,MATCH(J1000,Lists!$A$2:$A$30,0)),""))</f>
        <v/>
      </c>
      <c r="M1000" s="24"/>
      <c r="N1000" s="27" t="str">
        <f aca="false">IF(B1000="","",IFERROR(1000-SUMPRODUCT(MAX(ISNUMBER(SEARCH(Rules!$A$5:$A$204,B1000))*(Rules!$A$5:$A$204&lt;&gt;"")*(1000-ROW(Rules!$A$5:$A$204)))),""))</f>
        <v/>
      </c>
    </row>
    <row r="1001" customFormat="false" ht="15" hidden="false" customHeight="false" outlineLevel="0" collapsed="false">
      <c r="A1001" s="23"/>
      <c r="B1001" s="24"/>
      <c r="C1001" s="25"/>
      <c r="D1001" s="24"/>
      <c r="E1001" s="21" t="str">
        <f aca="false">IF(OR(B1001="",N(N1001)=0,N1001=1000),IF(B1001="","","Check"),INDEX(Rules!$B:$B,N1001))</f>
        <v/>
      </c>
      <c r="F1001" s="21" t="str">
        <f aca="false">IF(OR(B1001="",N(N1001)=0,N1001=1000),"",INDEX(Rules!$C:$C,N1001))</f>
        <v/>
      </c>
      <c r="G1001" s="24"/>
      <c r="H1001" s="24"/>
      <c r="I1001" s="20" t="str">
        <f aca="false">IF(B1001="","",IF(G1001&lt;&gt;"",G1001,E1001))</f>
        <v/>
      </c>
      <c r="J1001" s="21" t="str">
        <f aca="false">IF(B1001="","",IF(H1001&lt;&gt;"",H1001,F1001))</f>
        <v/>
      </c>
      <c r="K1001" s="26" t="str">
        <f aca="false">IF(A1001="","",DATE(YEAR(A1001),MONTH(A1001),1))</f>
        <v/>
      </c>
      <c r="L1001" s="21" t="str">
        <f aca="false">IF(J1001="",IF(B1001="","",IF(N(C1001)&gt;=0,"Income","Expense")),IFERROR(INDEX(Lists!$B$2:$B$30,MATCH(J1001,Lists!$A$2:$A$30,0)),""))</f>
        <v/>
      </c>
      <c r="M1001" s="24"/>
      <c r="N1001" s="27" t="str">
        <f aca="false">IF(B1001="","",IFERROR(1000-SUMPRODUCT(MAX(ISNUMBER(SEARCH(Rules!$A$5:$A$204,B1001))*(Rules!$A$5:$A$204&lt;&gt;"")*(1000-ROW(Rules!$A$5:$A$204)))),""))</f>
        <v/>
      </c>
    </row>
    <row r="1002" customFormat="false" ht="15" hidden="false" customHeight="false" outlineLevel="0" collapsed="false">
      <c r="A1002" s="23"/>
      <c r="B1002" s="24"/>
      <c r="C1002" s="25"/>
      <c r="D1002" s="24"/>
      <c r="E1002" s="21" t="str">
        <f aca="false">IF(OR(B1002="",N(N1002)=0,N1002=1000),IF(B1002="","","Check"),INDEX(Rules!$B:$B,N1002))</f>
        <v/>
      </c>
      <c r="F1002" s="21" t="str">
        <f aca="false">IF(OR(B1002="",N(N1002)=0,N1002=1000),"",INDEX(Rules!$C:$C,N1002))</f>
        <v/>
      </c>
      <c r="G1002" s="24"/>
      <c r="H1002" s="24"/>
      <c r="I1002" s="20" t="str">
        <f aca="false">IF(B1002="","",IF(G1002&lt;&gt;"",G1002,E1002))</f>
        <v/>
      </c>
      <c r="J1002" s="21" t="str">
        <f aca="false">IF(B1002="","",IF(H1002&lt;&gt;"",H1002,F1002))</f>
        <v/>
      </c>
      <c r="K1002" s="26" t="str">
        <f aca="false">IF(A1002="","",DATE(YEAR(A1002),MONTH(A1002),1))</f>
        <v/>
      </c>
      <c r="L1002" s="21" t="str">
        <f aca="false">IF(J1002="",IF(B1002="","",IF(N(C1002)&gt;=0,"Income","Expense")),IFERROR(INDEX(Lists!$B$2:$B$30,MATCH(J1002,Lists!$A$2:$A$30,0)),""))</f>
        <v/>
      </c>
      <c r="M1002" s="24"/>
      <c r="N1002" s="27" t="str">
        <f aca="false">IF(B1002="","",IFERROR(1000-SUMPRODUCT(MAX(ISNUMBER(SEARCH(Rules!$A$5:$A$204,B1002))*(Rules!$A$5:$A$204&lt;&gt;"")*(1000-ROW(Rules!$A$5:$A$204)))),""))</f>
        <v/>
      </c>
    </row>
    <row r="1003" customFormat="false" ht="15" hidden="false" customHeight="false" outlineLevel="0" collapsed="false">
      <c r="A1003" s="23"/>
      <c r="B1003" s="24"/>
      <c r="C1003" s="25"/>
      <c r="D1003" s="24"/>
      <c r="E1003" s="21" t="str">
        <f aca="false">IF(OR(B1003="",N(N1003)=0,N1003=1000),IF(B1003="","","Check"),INDEX(Rules!$B:$B,N1003))</f>
        <v/>
      </c>
      <c r="F1003" s="21" t="str">
        <f aca="false">IF(OR(B1003="",N(N1003)=0,N1003=1000),"",INDEX(Rules!$C:$C,N1003))</f>
        <v/>
      </c>
      <c r="G1003" s="24"/>
      <c r="H1003" s="24"/>
      <c r="I1003" s="20" t="str">
        <f aca="false">IF(B1003="","",IF(G1003&lt;&gt;"",G1003,E1003))</f>
        <v/>
      </c>
      <c r="J1003" s="21" t="str">
        <f aca="false">IF(B1003="","",IF(H1003&lt;&gt;"",H1003,F1003))</f>
        <v/>
      </c>
      <c r="K1003" s="26" t="str">
        <f aca="false">IF(A1003="","",DATE(YEAR(A1003),MONTH(A1003),1))</f>
        <v/>
      </c>
      <c r="L1003" s="21" t="str">
        <f aca="false">IF(J1003="",IF(B1003="","",IF(N(C1003)&gt;=0,"Income","Expense")),IFERROR(INDEX(Lists!$B$2:$B$30,MATCH(J1003,Lists!$A$2:$A$30,0)),""))</f>
        <v/>
      </c>
      <c r="M1003" s="24"/>
      <c r="N1003" s="27" t="str">
        <f aca="false">IF(B1003="","",IFERROR(1000-SUMPRODUCT(MAX(ISNUMBER(SEARCH(Rules!$A$5:$A$204,B1003))*(Rules!$A$5:$A$204&lt;&gt;"")*(1000-ROW(Rules!$A$5:$A$204)))),""))</f>
        <v/>
      </c>
    </row>
    <row r="1004" customFormat="false" ht="15" hidden="false" customHeight="false" outlineLevel="0" collapsed="false">
      <c r="A1004" s="23"/>
      <c r="B1004" s="24"/>
      <c r="C1004" s="25"/>
      <c r="D1004" s="24"/>
      <c r="E1004" s="21" t="str">
        <f aca="false">IF(OR(B1004="",N(N1004)=0,N1004=1000),IF(B1004="","","Check"),INDEX(Rules!$B:$B,N1004))</f>
        <v/>
      </c>
      <c r="F1004" s="21" t="str">
        <f aca="false">IF(OR(B1004="",N(N1004)=0,N1004=1000),"",INDEX(Rules!$C:$C,N1004))</f>
        <v/>
      </c>
      <c r="G1004" s="24"/>
      <c r="H1004" s="24"/>
      <c r="I1004" s="20" t="str">
        <f aca="false">IF(B1004="","",IF(G1004&lt;&gt;"",G1004,E1004))</f>
        <v/>
      </c>
      <c r="J1004" s="21" t="str">
        <f aca="false">IF(B1004="","",IF(H1004&lt;&gt;"",H1004,F1004))</f>
        <v/>
      </c>
      <c r="K1004" s="26" t="str">
        <f aca="false">IF(A1004="","",DATE(YEAR(A1004),MONTH(A1004),1))</f>
        <v/>
      </c>
      <c r="L1004" s="21" t="str">
        <f aca="false">IF(J1004="",IF(B1004="","",IF(N(C1004)&gt;=0,"Income","Expense")),IFERROR(INDEX(Lists!$B$2:$B$30,MATCH(J1004,Lists!$A$2:$A$30,0)),""))</f>
        <v/>
      </c>
      <c r="M1004" s="24"/>
      <c r="N1004" s="27" t="str">
        <f aca="false">IF(B1004="","",IFERROR(1000-SUMPRODUCT(MAX(ISNUMBER(SEARCH(Rules!$A$5:$A$204,B1004))*(Rules!$A$5:$A$204&lt;&gt;"")*(1000-ROW(Rules!$A$5:$A$204)))),""))</f>
        <v/>
      </c>
    </row>
    <row r="1005" customFormat="false" ht="15" hidden="false" customHeight="false" outlineLevel="0" collapsed="false">
      <c r="A1005" s="23"/>
      <c r="B1005" s="24"/>
      <c r="C1005" s="25"/>
      <c r="D1005" s="24"/>
      <c r="E1005" s="21" t="str">
        <f aca="false">IF(OR(B1005="",N(N1005)=0,N1005=1000),IF(B1005="","","Check"),INDEX(Rules!$B:$B,N1005))</f>
        <v/>
      </c>
      <c r="F1005" s="21" t="str">
        <f aca="false">IF(OR(B1005="",N(N1005)=0,N1005=1000),"",INDEX(Rules!$C:$C,N1005))</f>
        <v/>
      </c>
      <c r="G1005" s="24"/>
      <c r="H1005" s="24"/>
      <c r="I1005" s="20" t="str">
        <f aca="false">IF(B1005="","",IF(G1005&lt;&gt;"",G1005,E1005))</f>
        <v/>
      </c>
      <c r="J1005" s="21" t="str">
        <f aca="false">IF(B1005="","",IF(H1005&lt;&gt;"",H1005,F1005))</f>
        <v/>
      </c>
      <c r="K1005" s="26" t="str">
        <f aca="false">IF(A1005="","",DATE(YEAR(A1005),MONTH(A1005),1))</f>
        <v/>
      </c>
      <c r="L1005" s="21" t="str">
        <f aca="false">IF(J1005="",IF(B1005="","",IF(N(C1005)&gt;=0,"Income","Expense")),IFERROR(INDEX(Lists!$B$2:$B$30,MATCH(J1005,Lists!$A$2:$A$30,0)),""))</f>
        <v/>
      </c>
      <c r="M1005" s="24"/>
      <c r="N1005" s="27" t="str">
        <f aca="false">IF(B1005="","",IFERROR(1000-SUMPRODUCT(MAX(ISNUMBER(SEARCH(Rules!$A$5:$A$204,B1005))*(Rules!$A$5:$A$204&lt;&gt;"")*(1000-ROW(Rules!$A$5:$A$204)))),""))</f>
        <v/>
      </c>
    </row>
    <row r="1006" customFormat="false" ht="15" hidden="false" customHeight="false" outlineLevel="0" collapsed="false">
      <c r="A1006" s="23"/>
      <c r="B1006" s="24"/>
      <c r="C1006" s="25"/>
      <c r="D1006" s="24"/>
      <c r="E1006" s="21" t="str">
        <f aca="false">IF(OR(B1006="",N(N1006)=0,N1006=1000),IF(B1006="","","Check"),INDEX(Rules!$B:$B,N1006))</f>
        <v/>
      </c>
      <c r="F1006" s="21" t="str">
        <f aca="false">IF(OR(B1006="",N(N1006)=0,N1006=1000),"",INDEX(Rules!$C:$C,N1006))</f>
        <v/>
      </c>
      <c r="G1006" s="24"/>
      <c r="H1006" s="24"/>
      <c r="I1006" s="20" t="str">
        <f aca="false">IF(B1006="","",IF(G1006&lt;&gt;"",G1006,E1006))</f>
        <v/>
      </c>
      <c r="J1006" s="21" t="str">
        <f aca="false">IF(B1006="","",IF(H1006&lt;&gt;"",H1006,F1006))</f>
        <v/>
      </c>
      <c r="K1006" s="26" t="str">
        <f aca="false">IF(A1006="","",DATE(YEAR(A1006),MONTH(A1006),1))</f>
        <v/>
      </c>
      <c r="L1006" s="21" t="str">
        <f aca="false">IF(J1006="",IF(B1006="","",IF(N(C1006)&gt;=0,"Income","Expense")),IFERROR(INDEX(Lists!$B$2:$B$30,MATCH(J1006,Lists!$A$2:$A$30,0)),""))</f>
        <v/>
      </c>
      <c r="M1006" s="24"/>
      <c r="N1006" s="27" t="str">
        <f aca="false">IF(B1006="","",IFERROR(1000-SUMPRODUCT(MAX(ISNUMBER(SEARCH(Rules!$A$5:$A$204,B1006))*(Rules!$A$5:$A$204&lt;&gt;"")*(1000-ROW(Rules!$A$5:$A$204)))),""))</f>
        <v/>
      </c>
    </row>
    <row r="1007" customFormat="false" ht="15" hidden="false" customHeight="false" outlineLevel="0" collapsed="false">
      <c r="A1007" s="23"/>
      <c r="B1007" s="24"/>
      <c r="C1007" s="25"/>
      <c r="D1007" s="24"/>
      <c r="E1007" s="21" t="str">
        <f aca="false">IF(OR(B1007="",N(N1007)=0,N1007=1000),IF(B1007="","","Check"),INDEX(Rules!$B:$B,N1007))</f>
        <v/>
      </c>
      <c r="F1007" s="21" t="str">
        <f aca="false">IF(OR(B1007="",N(N1007)=0,N1007=1000),"",INDEX(Rules!$C:$C,N1007))</f>
        <v/>
      </c>
      <c r="G1007" s="24"/>
      <c r="H1007" s="24"/>
      <c r="I1007" s="20" t="str">
        <f aca="false">IF(B1007="","",IF(G1007&lt;&gt;"",G1007,E1007))</f>
        <v/>
      </c>
      <c r="J1007" s="21" t="str">
        <f aca="false">IF(B1007="","",IF(H1007&lt;&gt;"",H1007,F1007))</f>
        <v/>
      </c>
      <c r="K1007" s="26" t="str">
        <f aca="false">IF(A1007="","",DATE(YEAR(A1007),MONTH(A1007),1))</f>
        <v/>
      </c>
      <c r="L1007" s="21" t="str">
        <f aca="false">IF(J1007="",IF(B1007="","",IF(N(C1007)&gt;=0,"Income","Expense")),IFERROR(INDEX(Lists!$B$2:$B$30,MATCH(J1007,Lists!$A$2:$A$30,0)),""))</f>
        <v/>
      </c>
      <c r="M1007" s="24"/>
      <c r="N1007" s="27" t="str">
        <f aca="false">IF(B1007="","",IFERROR(1000-SUMPRODUCT(MAX(ISNUMBER(SEARCH(Rules!$A$5:$A$204,B1007))*(Rules!$A$5:$A$204&lt;&gt;"")*(1000-ROW(Rules!$A$5:$A$204)))),""))</f>
        <v/>
      </c>
    </row>
    <row r="1008" customFormat="false" ht="15" hidden="false" customHeight="false" outlineLevel="0" collapsed="false">
      <c r="A1008" s="23"/>
      <c r="B1008" s="24"/>
      <c r="C1008" s="25"/>
      <c r="D1008" s="24"/>
      <c r="E1008" s="21" t="str">
        <f aca="false">IF(OR(B1008="",N(N1008)=0,N1008=1000),IF(B1008="","","Check"),INDEX(Rules!$B:$B,N1008))</f>
        <v/>
      </c>
      <c r="F1008" s="21" t="str">
        <f aca="false">IF(OR(B1008="",N(N1008)=0,N1008=1000),"",INDEX(Rules!$C:$C,N1008))</f>
        <v/>
      </c>
      <c r="G1008" s="24"/>
      <c r="H1008" s="24"/>
      <c r="I1008" s="20" t="str">
        <f aca="false">IF(B1008="","",IF(G1008&lt;&gt;"",G1008,E1008))</f>
        <v/>
      </c>
      <c r="J1008" s="21" t="str">
        <f aca="false">IF(B1008="","",IF(H1008&lt;&gt;"",H1008,F1008))</f>
        <v/>
      </c>
      <c r="K1008" s="26" t="str">
        <f aca="false">IF(A1008="","",DATE(YEAR(A1008),MONTH(A1008),1))</f>
        <v/>
      </c>
      <c r="L1008" s="21" t="str">
        <f aca="false">IF(J1008="",IF(B1008="","",IF(N(C1008)&gt;=0,"Income","Expense")),IFERROR(INDEX(Lists!$B$2:$B$30,MATCH(J1008,Lists!$A$2:$A$30,0)),""))</f>
        <v/>
      </c>
      <c r="M1008" s="24"/>
      <c r="N1008" s="27" t="str">
        <f aca="false">IF(B1008="","",IFERROR(1000-SUMPRODUCT(MAX(ISNUMBER(SEARCH(Rules!$A$5:$A$204,B1008))*(Rules!$A$5:$A$204&lt;&gt;"")*(1000-ROW(Rules!$A$5:$A$204)))),""))</f>
        <v/>
      </c>
    </row>
    <row r="1009" customFormat="false" ht="15" hidden="false" customHeight="false" outlineLevel="0" collapsed="false">
      <c r="A1009" s="23"/>
      <c r="B1009" s="24"/>
      <c r="C1009" s="25"/>
      <c r="D1009" s="24"/>
      <c r="E1009" s="21" t="str">
        <f aca="false">IF(OR(B1009="",N(N1009)=0,N1009=1000),IF(B1009="","","Check"),INDEX(Rules!$B:$B,N1009))</f>
        <v/>
      </c>
      <c r="F1009" s="21" t="str">
        <f aca="false">IF(OR(B1009="",N(N1009)=0,N1009=1000),"",INDEX(Rules!$C:$C,N1009))</f>
        <v/>
      </c>
      <c r="G1009" s="24"/>
      <c r="H1009" s="24"/>
      <c r="I1009" s="20" t="str">
        <f aca="false">IF(B1009="","",IF(G1009&lt;&gt;"",G1009,E1009))</f>
        <v/>
      </c>
      <c r="J1009" s="21" t="str">
        <f aca="false">IF(B1009="","",IF(H1009&lt;&gt;"",H1009,F1009))</f>
        <v/>
      </c>
      <c r="K1009" s="26" t="str">
        <f aca="false">IF(A1009="","",DATE(YEAR(A1009),MONTH(A1009),1))</f>
        <v/>
      </c>
      <c r="L1009" s="21" t="str">
        <f aca="false">IF(J1009="",IF(B1009="","",IF(N(C1009)&gt;=0,"Income","Expense")),IFERROR(INDEX(Lists!$B$2:$B$30,MATCH(J1009,Lists!$A$2:$A$30,0)),""))</f>
        <v/>
      </c>
      <c r="M1009" s="24"/>
      <c r="N1009" s="27" t="str">
        <f aca="false">IF(B1009="","",IFERROR(1000-SUMPRODUCT(MAX(ISNUMBER(SEARCH(Rules!$A$5:$A$204,B1009))*(Rules!$A$5:$A$204&lt;&gt;"")*(1000-ROW(Rules!$A$5:$A$204)))),""))</f>
        <v/>
      </c>
    </row>
    <row r="1010" customFormat="false" ht="15" hidden="false" customHeight="false" outlineLevel="0" collapsed="false">
      <c r="A1010" s="23"/>
      <c r="B1010" s="24"/>
      <c r="C1010" s="25"/>
      <c r="D1010" s="24"/>
      <c r="E1010" s="21" t="str">
        <f aca="false">IF(OR(B1010="",N(N1010)=0,N1010=1000),IF(B1010="","","Check"),INDEX(Rules!$B:$B,N1010))</f>
        <v/>
      </c>
      <c r="F1010" s="21" t="str">
        <f aca="false">IF(OR(B1010="",N(N1010)=0,N1010=1000),"",INDEX(Rules!$C:$C,N1010))</f>
        <v/>
      </c>
      <c r="G1010" s="24"/>
      <c r="H1010" s="24"/>
      <c r="I1010" s="20" t="str">
        <f aca="false">IF(B1010="","",IF(G1010&lt;&gt;"",G1010,E1010))</f>
        <v/>
      </c>
      <c r="J1010" s="21" t="str">
        <f aca="false">IF(B1010="","",IF(H1010&lt;&gt;"",H1010,F1010))</f>
        <v/>
      </c>
      <c r="K1010" s="26" t="str">
        <f aca="false">IF(A1010="","",DATE(YEAR(A1010),MONTH(A1010),1))</f>
        <v/>
      </c>
      <c r="L1010" s="21" t="str">
        <f aca="false">IF(J1010="",IF(B1010="","",IF(N(C1010)&gt;=0,"Income","Expense")),IFERROR(INDEX(Lists!$B$2:$B$30,MATCH(J1010,Lists!$A$2:$A$30,0)),""))</f>
        <v/>
      </c>
      <c r="M1010" s="24"/>
      <c r="N1010" s="27" t="str">
        <f aca="false">IF(B1010="","",IFERROR(1000-SUMPRODUCT(MAX(ISNUMBER(SEARCH(Rules!$A$5:$A$204,B1010))*(Rules!$A$5:$A$204&lt;&gt;"")*(1000-ROW(Rules!$A$5:$A$204)))),""))</f>
        <v/>
      </c>
    </row>
    <row r="1011" customFormat="false" ht="15" hidden="false" customHeight="false" outlineLevel="0" collapsed="false">
      <c r="A1011" s="23"/>
      <c r="B1011" s="24"/>
      <c r="C1011" s="25"/>
      <c r="D1011" s="24"/>
      <c r="E1011" s="21" t="str">
        <f aca="false">IF(OR(B1011="",N(N1011)=0,N1011=1000),IF(B1011="","","Check"),INDEX(Rules!$B:$B,N1011))</f>
        <v/>
      </c>
      <c r="F1011" s="21" t="str">
        <f aca="false">IF(OR(B1011="",N(N1011)=0,N1011=1000),"",INDEX(Rules!$C:$C,N1011))</f>
        <v/>
      </c>
      <c r="G1011" s="24"/>
      <c r="H1011" s="24"/>
      <c r="I1011" s="20" t="str">
        <f aca="false">IF(B1011="","",IF(G1011&lt;&gt;"",G1011,E1011))</f>
        <v/>
      </c>
      <c r="J1011" s="21" t="str">
        <f aca="false">IF(B1011="","",IF(H1011&lt;&gt;"",H1011,F1011))</f>
        <v/>
      </c>
      <c r="K1011" s="26" t="str">
        <f aca="false">IF(A1011="","",DATE(YEAR(A1011),MONTH(A1011),1))</f>
        <v/>
      </c>
      <c r="L1011" s="21" t="str">
        <f aca="false">IF(J1011="",IF(B1011="","",IF(N(C1011)&gt;=0,"Income","Expense")),IFERROR(INDEX(Lists!$B$2:$B$30,MATCH(J1011,Lists!$A$2:$A$30,0)),""))</f>
        <v/>
      </c>
      <c r="M1011" s="24"/>
      <c r="N1011" s="27" t="str">
        <f aca="false">IF(B1011="","",IFERROR(1000-SUMPRODUCT(MAX(ISNUMBER(SEARCH(Rules!$A$5:$A$204,B1011))*(Rules!$A$5:$A$204&lt;&gt;"")*(1000-ROW(Rules!$A$5:$A$204)))),""))</f>
        <v/>
      </c>
    </row>
    <row r="1012" customFormat="false" ht="15" hidden="false" customHeight="false" outlineLevel="0" collapsed="false">
      <c r="A1012" s="23"/>
      <c r="B1012" s="24"/>
      <c r="C1012" s="25"/>
      <c r="D1012" s="24"/>
      <c r="E1012" s="21" t="str">
        <f aca="false">IF(OR(B1012="",N(N1012)=0,N1012=1000),IF(B1012="","","Check"),INDEX(Rules!$B:$B,N1012))</f>
        <v/>
      </c>
      <c r="F1012" s="21" t="str">
        <f aca="false">IF(OR(B1012="",N(N1012)=0,N1012=1000),"",INDEX(Rules!$C:$C,N1012))</f>
        <v/>
      </c>
      <c r="G1012" s="24"/>
      <c r="H1012" s="24"/>
      <c r="I1012" s="20" t="str">
        <f aca="false">IF(B1012="","",IF(G1012&lt;&gt;"",G1012,E1012))</f>
        <v/>
      </c>
      <c r="J1012" s="21" t="str">
        <f aca="false">IF(B1012="","",IF(H1012&lt;&gt;"",H1012,F1012))</f>
        <v/>
      </c>
      <c r="K1012" s="26" t="str">
        <f aca="false">IF(A1012="","",DATE(YEAR(A1012),MONTH(A1012),1))</f>
        <v/>
      </c>
      <c r="L1012" s="21" t="str">
        <f aca="false">IF(J1012="",IF(B1012="","",IF(N(C1012)&gt;=0,"Income","Expense")),IFERROR(INDEX(Lists!$B$2:$B$30,MATCH(J1012,Lists!$A$2:$A$30,0)),""))</f>
        <v/>
      </c>
      <c r="M1012" s="24"/>
      <c r="N1012" s="27" t="str">
        <f aca="false">IF(B1012="","",IFERROR(1000-SUMPRODUCT(MAX(ISNUMBER(SEARCH(Rules!$A$5:$A$204,B1012))*(Rules!$A$5:$A$204&lt;&gt;"")*(1000-ROW(Rules!$A$5:$A$204)))),""))</f>
        <v/>
      </c>
    </row>
    <row r="1013" customFormat="false" ht="15" hidden="false" customHeight="false" outlineLevel="0" collapsed="false">
      <c r="A1013" s="23"/>
      <c r="B1013" s="24"/>
      <c r="C1013" s="25"/>
      <c r="D1013" s="24"/>
      <c r="E1013" s="21" t="str">
        <f aca="false">IF(OR(B1013="",N(N1013)=0,N1013=1000),IF(B1013="","","Check"),INDEX(Rules!$B:$B,N1013))</f>
        <v/>
      </c>
      <c r="F1013" s="21" t="str">
        <f aca="false">IF(OR(B1013="",N(N1013)=0,N1013=1000),"",INDEX(Rules!$C:$C,N1013))</f>
        <v/>
      </c>
      <c r="G1013" s="24"/>
      <c r="H1013" s="24"/>
      <c r="I1013" s="20" t="str">
        <f aca="false">IF(B1013="","",IF(G1013&lt;&gt;"",G1013,E1013))</f>
        <v/>
      </c>
      <c r="J1013" s="21" t="str">
        <f aca="false">IF(B1013="","",IF(H1013&lt;&gt;"",H1013,F1013))</f>
        <v/>
      </c>
      <c r="K1013" s="26" t="str">
        <f aca="false">IF(A1013="","",DATE(YEAR(A1013),MONTH(A1013),1))</f>
        <v/>
      </c>
      <c r="L1013" s="21" t="str">
        <f aca="false">IF(J1013="",IF(B1013="","",IF(N(C1013)&gt;=0,"Income","Expense")),IFERROR(INDEX(Lists!$B$2:$B$30,MATCH(J1013,Lists!$A$2:$A$30,0)),""))</f>
        <v/>
      </c>
      <c r="M1013" s="24"/>
      <c r="N1013" s="27" t="str">
        <f aca="false">IF(B1013="","",IFERROR(1000-SUMPRODUCT(MAX(ISNUMBER(SEARCH(Rules!$A$5:$A$204,B1013))*(Rules!$A$5:$A$204&lt;&gt;"")*(1000-ROW(Rules!$A$5:$A$204)))),""))</f>
        <v/>
      </c>
    </row>
    <row r="1014" customFormat="false" ht="15" hidden="false" customHeight="false" outlineLevel="0" collapsed="false">
      <c r="A1014" s="23"/>
      <c r="B1014" s="24"/>
      <c r="C1014" s="25"/>
      <c r="D1014" s="24"/>
      <c r="E1014" s="21" t="str">
        <f aca="false">IF(OR(B1014="",N(N1014)=0,N1014=1000),IF(B1014="","","Check"),INDEX(Rules!$B:$B,N1014))</f>
        <v/>
      </c>
      <c r="F1014" s="21" t="str">
        <f aca="false">IF(OR(B1014="",N(N1014)=0,N1014=1000),"",INDEX(Rules!$C:$C,N1014))</f>
        <v/>
      </c>
      <c r="G1014" s="24"/>
      <c r="H1014" s="24"/>
      <c r="I1014" s="20" t="str">
        <f aca="false">IF(B1014="","",IF(G1014&lt;&gt;"",G1014,E1014))</f>
        <v/>
      </c>
      <c r="J1014" s="21" t="str">
        <f aca="false">IF(B1014="","",IF(H1014&lt;&gt;"",H1014,F1014))</f>
        <v/>
      </c>
      <c r="K1014" s="26" t="str">
        <f aca="false">IF(A1014="","",DATE(YEAR(A1014),MONTH(A1014),1))</f>
        <v/>
      </c>
      <c r="L1014" s="21" t="str">
        <f aca="false">IF(J1014="",IF(B1014="","",IF(N(C1014)&gt;=0,"Income","Expense")),IFERROR(INDEX(Lists!$B$2:$B$30,MATCH(J1014,Lists!$A$2:$A$30,0)),""))</f>
        <v/>
      </c>
      <c r="M1014" s="24"/>
      <c r="N1014" s="27" t="str">
        <f aca="false">IF(B1014="","",IFERROR(1000-SUMPRODUCT(MAX(ISNUMBER(SEARCH(Rules!$A$5:$A$204,B1014))*(Rules!$A$5:$A$204&lt;&gt;"")*(1000-ROW(Rules!$A$5:$A$204)))),""))</f>
        <v/>
      </c>
    </row>
    <row r="1015" customFormat="false" ht="15" hidden="false" customHeight="false" outlineLevel="0" collapsed="false">
      <c r="A1015" s="23"/>
      <c r="B1015" s="24"/>
      <c r="C1015" s="25"/>
      <c r="D1015" s="24"/>
      <c r="E1015" s="21" t="str">
        <f aca="false">IF(OR(B1015="",N(N1015)=0,N1015=1000),IF(B1015="","","Check"),INDEX(Rules!$B:$B,N1015))</f>
        <v/>
      </c>
      <c r="F1015" s="21" t="str">
        <f aca="false">IF(OR(B1015="",N(N1015)=0,N1015=1000),"",INDEX(Rules!$C:$C,N1015))</f>
        <v/>
      </c>
      <c r="G1015" s="24"/>
      <c r="H1015" s="24"/>
      <c r="I1015" s="20" t="str">
        <f aca="false">IF(B1015="","",IF(G1015&lt;&gt;"",G1015,E1015))</f>
        <v/>
      </c>
      <c r="J1015" s="21" t="str">
        <f aca="false">IF(B1015="","",IF(H1015&lt;&gt;"",H1015,F1015))</f>
        <v/>
      </c>
      <c r="K1015" s="26" t="str">
        <f aca="false">IF(A1015="","",DATE(YEAR(A1015),MONTH(A1015),1))</f>
        <v/>
      </c>
      <c r="L1015" s="21" t="str">
        <f aca="false">IF(J1015="",IF(B1015="","",IF(N(C1015)&gt;=0,"Income","Expense")),IFERROR(INDEX(Lists!$B$2:$B$30,MATCH(J1015,Lists!$A$2:$A$30,0)),""))</f>
        <v/>
      </c>
      <c r="M1015" s="24"/>
      <c r="N1015" s="27" t="str">
        <f aca="false">IF(B1015="","",IFERROR(1000-SUMPRODUCT(MAX(ISNUMBER(SEARCH(Rules!$A$5:$A$204,B1015))*(Rules!$A$5:$A$204&lt;&gt;"")*(1000-ROW(Rules!$A$5:$A$204)))),""))</f>
        <v/>
      </c>
    </row>
    <row r="1016" customFormat="false" ht="15" hidden="false" customHeight="false" outlineLevel="0" collapsed="false">
      <c r="A1016" s="23"/>
      <c r="B1016" s="24"/>
      <c r="C1016" s="25"/>
      <c r="D1016" s="24"/>
      <c r="E1016" s="21" t="str">
        <f aca="false">IF(OR(B1016="",N(N1016)=0,N1016=1000),IF(B1016="","","Check"),INDEX(Rules!$B:$B,N1016))</f>
        <v/>
      </c>
      <c r="F1016" s="21" t="str">
        <f aca="false">IF(OR(B1016="",N(N1016)=0,N1016=1000),"",INDEX(Rules!$C:$C,N1016))</f>
        <v/>
      </c>
      <c r="G1016" s="24"/>
      <c r="H1016" s="24"/>
      <c r="I1016" s="20" t="str">
        <f aca="false">IF(B1016="","",IF(G1016&lt;&gt;"",G1016,E1016))</f>
        <v/>
      </c>
      <c r="J1016" s="21" t="str">
        <f aca="false">IF(B1016="","",IF(H1016&lt;&gt;"",H1016,F1016))</f>
        <v/>
      </c>
      <c r="K1016" s="26" t="str">
        <f aca="false">IF(A1016="","",DATE(YEAR(A1016),MONTH(A1016),1))</f>
        <v/>
      </c>
      <c r="L1016" s="21" t="str">
        <f aca="false">IF(J1016="",IF(B1016="","",IF(N(C1016)&gt;=0,"Income","Expense")),IFERROR(INDEX(Lists!$B$2:$B$30,MATCH(J1016,Lists!$A$2:$A$30,0)),""))</f>
        <v/>
      </c>
      <c r="M1016" s="24"/>
      <c r="N1016" s="27" t="str">
        <f aca="false">IF(B1016="","",IFERROR(1000-SUMPRODUCT(MAX(ISNUMBER(SEARCH(Rules!$A$5:$A$204,B1016))*(Rules!$A$5:$A$204&lt;&gt;"")*(1000-ROW(Rules!$A$5:$A$204)))),""))</f>
        <v/>
      </c>
    </row>
    <row r="1017" customFormat="false" ht="15" hidden="false" customHeight="false" outlineLevel="0" collapsed="false">
      <c r="A1017" s="23"/>
      <c r="B1017" s="24"/>
      <c r="C1017" s="25"/>
      <c r="D1017" s="24"/>
      <c r="E1017" s="21" t="str">
        <f aca="false">IF(OR(B1017="",N(N1017)=0,N1017=1000),IF(B1017="","","Check"),INDEX(Rules!$B:$B,N1017))</f>
        <v/>
      </c>
      <c r="F1017" s="21" t="str">
        <f aca="false">IF(OR(B1017="",N(N1017)=0,N1017=1000),"",INDEX(Rules!$C:$C,N1017))</f>
        <v/>
      </c>
      <c r="G1017" s="24"/>
      <c r="H1017" s="24"/>
      <c r="I1017" s="20" t="str">
        <f aca="false">IF(B1017="","",IF(G1017&lt;&gt;"",G1017,E1017))</f>
        <v/>
      </c>
      <c r="J1017" s="21" t="str">
        <f aca="false">IF(B1017="","",IF(H1017&lt;&gt;"",H1017,F1017))</f>
        <v/>
      </c>
      <c r="K1017" s="26" t="str">
        <f aca="false">IF(A1017="","",DATE(YEAR(A1017),MONTH(A1017),1))</f>
        <v/>
      </c>
      <c r="L1017" s="21" t="str">
        <f aca="false">IF(J1017="",IF(B1017="","",IF(N(C1017)&gt;=0,"Income","Expense")),IFERROR(INDEX(Lists!$B$2:$B$30,MATCH(J1017,Lists!$A$2:$A$30,0)),""))</f>
        <v/>
      </c>
      <c r="M1017" s="24"/>
      <c r="N1017" s="27" t="str">
        <f aca="false">IF(B1017="","",IFERROR(1000-SUMPRODUCT(MAX(ISNUMBER(SEARCH(Rules!$A$5:$A$204,B1017))*(Rules!$A$5:$A$204&lt;&gt;"")*(1000-ROW(Rules!$A$5:$A$204)))),""))</f>
        <v/>
      </c>
    </row>
    <row r="1018" customFormat="false" ht="15" hidden="false" customHeight="false" outlineLevel="0" collapsed="false">
      <c r="A1018" s="23"/>
      <c r="B1018" s="24"/>
      <c r="C1018" s="25"/>
      <c r="D1018" s="24"/>
      <c r="E1018" s="21" t="str">
        <f aca="false">IF(OR(B1018="",N(N1018)=0,N1018=1000),IF(B1018="","","Check"),INDEX(Rules!$B:$B,N1018))</f>
        <v/>
      </c>
      <c r="F1018" s="21" t="str">
        <f aca="false">IF(OR(B1018="",N(N1018)=0,N1018=1000),"",INDEX(Rules!$C:$C,N1018))</f>
        <v/>
      </c>
      <c r="G1018" s="24"/>
      <c r="H1018" s="24"/>
      <c r="I1018" s="20" t="str">
        <f aca="false">IF(B1018="","",IF(G1018&lt;&gt;"",G1018,E1018))</f>
        <v/>
      </c>
      <c r="J1018" s="21" t="str">
        <f aca="false">IF(B1018="","",IF(H1018&lt;&gt;"",H1018,F1018))</f>
        <v/>
      </c>
      <c r="K1018" s="26" t="str">
        <f aca="false">IF(A1018="","",DATE(YEAR(A1018),MONTH(A1018),1))</f>
        <v/>
      </c>
      <c r="L1018" s="21" t="str">
        <f aca="false">IF(J1018="",IF(B1018="","",IF(N(C1018)&gt;=0,"Income","Expense")),IFERROR(INDEX(Lists!$B$2:$B$30,MATCH(J1018,Lists!$A$2:$A$30,0)),""))</f>
        <v/>
      </c>
      <c r="M1018" s="24"/>
      <c r="N1018" s="27" t="str">
        <f aca="false">IF(B1018="","",IFERROR(1000-SUMPRODUCT(MAX(ISNUMBER(SEARCH(Rules!$A$5:$A$204,B1018))*(Rules!$A$5:$A$204&lt;&gt;"")*(1000-ROW(Rules!$A$5:$A$204)))),""))</f>
        <v/>
      </c>
    </row>
    <row r="1019" customFormat="false" ht="15" hidden="false" customHeight="false" outlineLevel="0" collapsed="false">
      <c r="A1019" s="23"/>
      <c r="B1019" s="24"/>
      <c r="C1019" s="25"/>
      <c r="D1019" s="24"/>
      <c r="E1019" s="21" t="str">
        <f aca="false">IF(OR(B1019="",N(N1019)=0,N1019=1000),IF(B1019="","","Check"),INDEX(Rules!$B:$B,N1019))</f>
        <v/>
      </c>
      <c r="F1019" s="21" t="str">
        <f aca="false">IF(OR(B1019="",N(N1019)=0,N1019=1000),"",INDEX(Rules!$C:$C,N1019))</f>
        <v/>
      </c>
      <c r="G1019" s="24"/>
      <c r="H1019" s="24"/>
      <c r="I1019" s="20" t="str">
        <f aca="false">IF(B1019="","",IF(G1019&lt;&gt;"",G1019,E1019))</f>
        <v/>
      </c>
      <c r="J1019" s="21" t="str">
        <f aca="false">IF(B1019="","",IF(H1019&lt;&gt;"",H1019,F1019))</f>
        <v/>
      </c>
      <c r="K1019" s="26" t="str">
        <f aca="false">IF(A1019="","",DATE(YEAR(A1019),MONTH(A1019),1))</f>
        <v/>
      </c>
      <c r="L1019" s="21" t="str">
        <f aca="false">IF(J1019="",IF(B1019="","",IF(N(C1019)&gt;=0,"Income","Expense")),IFERROR(INDEX(Lists!$B$2:$B$30,MATCH(J1019,Lists!$A$2:$A$30,0)),""))</f>
        <v/>
      </c>
      <c r="M1019" s="24"/>
      <c r="N1019" s="27" t="str">
        <f aca="false">IF(B1019="","",IFERROR(1000-SUMPRODUCT(MAX(ISNUMBER(SEARCH(Rules!$A$5:$A$204,B1019))*(Rules!$A$5:$A$204&lt;&gt;"")*(1000-ROW(Rules!$A$5:$A$204)))),""))</f>
        <v/>
      </c>
    </row>
    <row r="1020" customFormat="false" ht="15" hidden="false" customHeight="false" outlineLevel="0" collapsed="false">
      <c r="A1020" s="23"/>
      <c r="B1020" s="24"/>
      <c r="C1020" s="25"/>
      <c r="D1020" s="24"/>
      <c r="E1020" s="21" t="str">
        <f aca="false">IF(OR(B1020="",N(N1020)=0,N1020=1000),IF(B1020="","","Check"),INDEX(Rules!$B:$B,N1020))</f>
        <v/>
      </c>
      <c r="F1020" s="21" t="str">
        <f aca="false">IF(OR(B1020="",N(N1020)=0,N1020=1000),"",INDEX(Rules!$C:$C,N1020))</f>
        <v/>
      </c>
      <c r="G1020" s="24"/>
      <c r="H1020" s="24"/>
      <c r="I1020" s="20" t="str">
        <f aca="false">IF(B1020="","",IF(G1020&lt;&gt;"",G1020,E1020))</f>
        <v/>
      </c>
      <c r="J1020" s="21" t="str">
        <f aca="false">IF(B1020="","",IF(H1020&lt;&gt;"",H1020,F1020))</f>
        <v/>
      </c>
      <c r="K1020" s="26" t="str">
        <f aca="false">IF(A1020="","",DATE(YEAR(A1020),MONTH(A1020),1))</f>
        <v/>
      </c>
      <c r="L1020" s="21" t="str">
        <f aca="false">IF(J1020="",IF(B1020="","",IF(N(C1020)&gt;=0,"Income","Expense")),IFERROR(INDEX(Lists!$B$2:$B$30,MATCH(J1020,Lists!$A$2:$A$30,0)),""))</f>
        <v/>
      </c>
      <c r="M1020" s="24"/>
      <c r="N1020" s="27" t="str">
        <f aca="false">IF(B1020="","",IFERROR(1000-SUMPRODUCT(MAX(ISNUMBER(SEARCH(Rules!$A$5:$A$204,B1020))*(Rules!$A$5:$A$204&lt;&gt;"")*(1000-ROW(Rules!$A$5:$A$204)))),""))</f>
        <v/>
      </c>
    </row>
    <row r="1021" customFormat="false" ht="15" hidden="false" customHeight="false" outlineLevel="0" collapsed="false">
      <c r="A1021" s="23"/>
      <c r="B1021" s="24"/>
      <c r="C1021" s="25"/>
      <c r="D1021" s="24"/>
      <c r="E1021" s="21" t="str">
        <f aca="false">IF(OR(B1021="",N(N1021)=0,N1021=1000),IF(B1021="","","Check"),INDEX(Rules!$B:$B,N1021))</f>
        <v/>
      </c>
      <c r="F1021" s="21" t="str">
        <f aca="false">IF(OR(B1021="",N(N1021)=0,N1021=1000),"",INDEX(Rules!$C:$C,N1021))</f>
        <v/>
      </c>
      <c r="G1021" s="24"/>
      <c r="H1021" s="24"/>
      <c r="I1021" s="20" t="str">
        <f aca="false">IF(B1021="","",IF(G1021&lt;&gt;"",G1021,E1021))</f>
        <v/>
      </c>
      <c r="J1021" s="21" t="str">
        <f aca="false">IF(B1021="","",IF(H1021&lt;&gt;"",H1021,F1021))</f>
        <v/>
      </c>
      <c r="K1021" s="26" t="str">
        <f aca="false">IF(A1021="","",DATE(YEAR(A1021),MONTH(A1021),1))</f>
        <v/>
      </c>
      <c r="L1021" s="21" t="str">
        <f aca="false">IF(J1021="",IF(B1021="","",IF(N(C1021)&gt;=0,"Income","Expense")),IFERROR(INDEX(Lists!$B$2:$B$30,MATCH(J1021,Lists!$A$2:$A$30,0)),""))</f>
        <v/>
      </c>
      <c r="M1021" s="24"/>
      <c r="N1021" s="27" t="str">
        <f aca="false">IF(B1021="","",IFERROR(1000-SUMPRODUCT(MAX(ISNUMBER(SEARCH(Rules!$A$5:$A$204,B1021))*(Rules!$A$5:$A$204&lt;&gt;"")*(1000-ROW(Rules!$A$5:$A$204)))),""))</f>
        <v/>
      </c>
    </row>
    <row r="1022" customFormat="false" ht="15" hidden="false" customHeight="false" outlineLevel="0" collapsed="false">
      <c r="A1022" s="23"/>
      <c r="B1022" s="24"/>
      <c r="C1022" s="25"/>
      <c r="D1022" s="24"/>
      <c r="E1022" s="21" t="str">
        <f aca="false">IF(OR(B1022="",N(N1022)=0,N1022=1000),IF(B1022="","","Check"),INDEX(Rules!$B:$B,N1022))</f>
        <v/>
      </c>
      <c r="F1022" s="21" t="str">
        <f aca="false">IF(OR(B1022="",N(N1022)=0,N1022=1000),"",INDEX(Rules!$C:$C,N1022))</f>
        <v/>
      </c>
      <c r="G1022" s="24"/>
      <c r="H1022" s="24"/>
      <c r="I1022" s="20" t="str">
        <f aca="false">IF(B1022="","",IF(G1022&lt;&gt;"",G1022,E1022))</f>
        <v/>
      </c>
      <c r="J1022" s="21" t="str">
        <f aca="false">IF(B1022="","",IF(H1022&lt;&gt;"",H1022,F1022))</f>
        <v/>
      </c>
      <c r="K1022" s="26" t="str">
        <f aca="false">IF(A1022="","",DATE(YEAR(A1022),MONTH(A1022),1))</f>
        <v/>
      </c>
      <c r="L1022" s="21" t="str">
        <f aca="false">IF(J1022="",IF(B1022="","",IF(N(C1022)&gt;=0,"Income","Expense")),IFERROR(INDEX(Lists!$B$2:$B$30,MATCH(J1022,Lists!$A$2:$A$30,0)),""))</f>
        <v/>
      </c>
      <c r="M1022" s="24"/>
      <c r="N1022" s="27" t="str">
        <f aca="false">IF(B1022="","",IFERROR(1000-SUMPRODUCT(MAX(ISNUMBER(SEARCH(Rules!$A$5:$A$204,B1022))*(Rules!$A$5:$A$204&lt;&gt;"")*(1000-ROW(Rules!$A$5:$A$204)))),""))</f>
        <v/>
      </c>
    </row>
    <row r="1023" customFormat="false" ht="15" hidden="false" customHeight="false" outlineLevel="0" collapsed="false">
      <c r="A1023" s="23"/>
      <c r="B1023" s="24"/>
      <c r="C1023" s="25"/>
      <c r="D1023" s="24"/>
      <c r="E1023" s="21" t="str">
        <f aca="false">IF(OR(B1023="",N(N1023)=0,N1023=1000),IF(B1023="","","Check"),INDEX(Rules!$B:$B,N1023))</f>
        <v/>
      </c>
      <c r="F1023" s="21" t="str">
        <f aca="false">IF(OR(B1023="",N(N1023)=0,N1023=1000),"",INDEX(Rules!$C:$C,N1023))</f>
        <v/>
      </c>
      <c r="G1023" s="24"/>
      <c r="H1023" s="24"/>
      <c r="I1023" s="20" t="str">
        <f aca="false">IF(B1023="","",IF(G1023&lt;&gt;"",G1023,E1023))</f>
        <v/>
      </c>
      <c r="J1023" s="21" t="str">
        <f aca="false">IF(B1023="","",IF(H1023&lt;&gt;"",H1023,F1023))</f>
        <v/>
      </c>
      <c r="K1023" s="26" t="str">
        <f aca="false">IF(A1023="","",DATE(YEAR(A1023),MONTH(A1023),1))</f>
        <v/>
      </c>
      <c r="L1023" s="21" t="str">
        <f aca="false">IF(J1023="",IF(B1023="","",IF(N(C1023)&gt;=0,"Income","Expense")),IFERROR(INDEX(Lists!$B$2:$B$30,MATCH(J1023,Lists!$A$2:$A$30,0)),""))</f>
        <v/>
      </c>
      <c r="M1023" s="24"/>
      <c r="N1023" s="27" t="str">
        <f aca="false">IF(B1023="","",IFERROR(1000-SUMPRODUCT(MAX(ISNUMBER(SEARCH(Rules!$A$5:$A$204,B1023))*(Rules!$A$5:$A$204&lt;&gt;"")*(1000-ROW(Rules!$A$5:$A$204)))),""))</f>
        <v/>
      </c>
    </row>
    <row r="1024" customFormat="false" ht="15" hidden="false" customHeight="false" outlineLevel="0" collapsed="false">
      <c r="A1024" s="23"/>
      <c r="B1024" s="24"/>
      <c r="C1024" s="25"/>
      <c r="D1024" s="24"/>
      <c r="E1024" s="21" t="str">
        <f aca="false">IF(OR(B1024="",N(N1024)=0,N1024=1000),IF(B1024="","","Check"),INDEX(Rules!$B:$B,N1024))</f>
        <v/>
      </c>
      <c r="F1024" s="21" t="str">
        <f aca="false">IF(OR(B1024="",N(N1024)=0,N1024=1000),"",INDEX(Rules!$C:$C,N1024))</f>
        <v/>
      </c>
      <c r="G1024" s="24"/>
      <c r="H1024" s="24"/>
      <c r="I1024" s="20" t="str">
        <f aca="false">IF(B1024="","",IF(G1024&lt;&gt;"",G1024,E1024))</f>
        <v/>
      </c>
      <c r="J1024" s="21" t="str">
        <f aca="false">IF(B1024="","",IF(H1024&lt;&gt;"",H1024,F1024))</f>
        <v/>
      </c>
      <c r="K1024" s="26" t="str">
        <f aca="false">IF(A1024="","",DATE(YEAR(A1024),MONTH(A1024),1))</f>
        <v/>
      </c>
      <c r="L1024" s="21" t="str">
        <f aca="false">IF(J1024="",IF(B1024="","",IF(N(C1024)&gt;=0,"Income","Expense")),IFERROR(INDEX(Lists!$B$2:$B$30,MATCH(J1024,Lists!$A$2:$A$30,0)),""))</f>
        <v/>
      </c>
      <c r="M1024" s="24"/>
      <c r="N1024" s="27" t="str">
        <f aca="false">IF(B1024="","",IFERROR(1000-SUMPRODUCT(MAX(ISNUMBER(SEARCH(Rules!$A$5:$A$204,B1024))*(Rules!$A$5:$A$204&lt;&gt;"")*(1000-ROW(Rules!$A$5:$A$204)))),""))</f>
        <v/>
      </c>
    </row>
    <row r="1025" customFormat="false" ht="15" hidden="false" customHeight="false" outlineLevel="0" collapsed="false">
      <c r="A1025" s="23"/>
      <c r="B1025" s="24"/>
      <c r="C1025" s="25"/>
      <c r="D1025" s="24"/>
      <c r="E1025" s="21" t="str">
        <f aca="false">IF(OR(B1025="",N(N1025)=0,N1025=1000),IF(B1025="","","Check"),INDEX(Rules!$B:$B,N1025))</f>
        <v/>
      </c>
      <c r="F1025" s="21" t="str">
        <f aca="false">IF(OR(B1025="",N(N1025)=0,N1025=1000),"",INDEX(Rules!$C:$C,N1025))</f>
        <v/>
      </c>
      <c r="G1025" s="24"/>
      <c r="H1025" s="24"/>
      <c r="I1025" s="20" t="str">
        <f aca="false">IF(B1025="","",IF(G1025&lt;&gt;"",G1025,E1025))</f>
        <v/>
      </c>
      <c r="J1025" s="21" t="str">
        <f aca="false">IF(B1025="","",IF(H1025&lt;&gt;"",H1025,F1025))</f>
        <v/>
      </c>
      <c r="K1025" s="26" t="str">
        <f aca="false">IF(A1025="","",DATE(YEAR(A1025),MONTH(A1025),1))</f>
        <v/>
      </c>
      <c r="L1025" s="21" t="str">
        <f aca="false">IF(J1025="",IF(B1025="","",IF(N(C1025)&gt;=0,"Income","Expense")),IFERROR(INDEX(Lists!$B$2:$B$30,MATCH(J1025,Lists!$A$2:$A$30,0)),""))</f>
        <v/>
      </c>
      <c r="M1025" s="24"/>
      <c r="N1025" s="27" t="str">
        <f aca="false">IF(B1025="","",IFERROR(1000-SUMPRODUCT(MAX(ISNUMBER(SEARCH(Rules!$A$5:$A$204,B1025))*(Rules!$A$5:$A$204&lt;&gt;"")*(1000-ROW(Rules!$A$5:$A$204)))),""))</f>
        <v/>
      </c>
    </row>
    <row r="1026" customFormat="false" ht="15" hidden="false" customHeight="false" outlineLevel="0" collapsed="false">
      <c r="A1026" s="23"/>
      <c r="B1026" s="24"/>
      <c r="C1026" s="25"/>
      <c r="D1026" s="24"/>
      <c r="E1026" s="21" t="str">
        <f aca="false">IF(OR(B1026="",N(N1026)=0,N1026=1000),IF(B1026="","","Check"),INDEX(Rules!$B:$B,N1026))</f>
        <v/>
      </c>
      <c r="F1026" s="21" t="str">
        <f aca="false">IF(OR(B1026="",N(N1026)=0,N1026=1000),"",INDEX(Rules!$C:$C,N1026))</f>
        <v/>
      </c>
      <c r="G1026" s="24"/>
      <c r="H1026" s="24"/>
      <c r="I1026" s="20" t="str">
        <f aca="false">IF(B1026="","",IF(G1026&lt;&gt;"",G1026,E1026))</f>
        <v/>
      </c>
      <c r="J1026" s="21" t="str">
        <f aca="false">IF(B1026="","",IF(H1026&lt;&gt;"",H1026,F1026))</f>
        <v/>
      </c>
      <c r="K1026" s="26" t="str">
        <f aca="false">IF(A1026="","",DATE(YEAR(A1026),MONTH(A1026),1))</f>
        <v/>
      </c>
      <c r="L1026" s="21" t="str">
        <f aca="false">IF(J1026="",IF(B1026="","",IF(N(C1026)&gt;=0,"Income","Expense")),IFERROR(INDEX(Lists!$B$2:$B$30,MATCH(J1026,Lists!$A$2:$A$30,0)),""))</f>
        <v/>
      </c>
      <c r="M1026" s="24"/>
      <c r="N1026" s="27" t="str">
        <f aca="false">IF(B1026="","",IFERROR(1000-SUMPRODUCT(MAX(ISNUMBER(SEARCH(Rules!$A$5:$A$204,B1026))*(Rules!$A$5:$A$204&lt;&gt;"")*(1000-ROW(Rules!$A$5:$A$204)))),""))</f>
        <v/>
      </c>
    </row>
    <row r="1027" customFormat="false" ht="15" hidden="false" customHeight="false" outlineLevel="0" collapsed="false">
      <c r="A1027" s="23"/>
      <c r="B1027" s="24"/>
      <c r="C1027" s="25"/>
      <c r="D1027" s="24"/>
      <c r="E1027" s="21" t="str">
        <f aca="false">IF(OR(B1027="",N(N1027)=0,N1027=1000),IF(B1027="","","Check"),INDEX(Rules!$B:$B,N1027))</f>
        <v/>
      </c>
      <c r="F1027" s="21" t="str">
        <f aca="false">IF(OR(B1027="",N(N1027)=0,N1027=1000),"",INDEX(Rules!$C:$C,N1027))</f>
        <v/>
      </c>
      <c r="G1027" s="24"/>
      <c r="H1027" s="24"/>
      <c r="I1027" s="20" t="str">
        <f aca="false">IF(B1027="","",IF(G1027&lt;&gt;"",G1027,E1027))</f>
        <v/>
      </c>
      <c r="J1027" s="21" t="str">
        <f aca="false">IF(B1027="","",IF(H1027&lt;&gt;"",H1027,F1027))</f>
        <v/>
      </c>
      <c r="K1027" s="26" t="str">
        <f aca="false">IF(A1027="","",DATE(YEAR(A1027),MONTH(A1027),1))</f>
        <v/>
      </c>
      <c r="L1027" s="21" t="str">
        <f aca="false">IF(J1027="",IF(B1027="","",IF(N(C1027)&gt;=0,"Income","Expense")),IFERROR(INDEX(Lists!$B$2:$B$30,MATCH(J1027,Lists!$A$2:$A$30,0)),""))</f>
        <v/>
      </c>
      <c r="M1027" s="24"/>
      <c r="N1027" s="27" t="str">
        <f aca="false">IF(B1027="","",IFERROR(1000-SUMPRODUCT(MAX(ISNUMBER(SEARCH(Rules!$A$5:$A$204,B1027))*(Rules!$A$5:$A$204&lt;&gt;"")*(1000-ROW(Rules!$A$5:$A$204)))),""))</f>
        <v/>
      </c>
    </row>
    <row r="1028" customFormat="false" ht="15" hidden="false" customHeight="false" outlineLevel="0" collapsed="false">
      <c r="A1028" s="23"/>
      <c r="B1028" s="24"/>
      <c r="C1028" s="25"/>
      <c r="D1028" s="24"/>
      <c r="E1028" s="21" t="str">
        <f aca="false">IF(OR(B1028="",N(N1028)=0,N1028=1000),IF(B1028="","","Check"),INDEX(Rules!$B:$B,N1028))</f>
        <v/>
      </c>
      <c r="F1028" s="21" t="str">
        <f aca="false">IF(OR(B1028="",N(N1028)=0,N1028=1000),"",INDEX(Rules!$C:$C,N1028))</f>
        <v/>
      </c>
      <c r="G1028" s="24"/>
      <c r="H1028" s="24"/>
      <c r="I1028" s="20" t="str">
        <f aca="false">IF(B1028="","",IF(G1028&lt;&gt;"",G1028,E1028))</f>
        <v/>
      </c>
      <c r="J1028" s="21" t="str">
        <f aca="false">IF(B1028="","",IF(H1028&lt;&gt;"",H1028,F1028))</f>
        <v/>
      </c>
      <c r="K1028" s="26" t="str">
        <f aca="false">IF(A1028="","",DATE(YEAR(A1028),MONTH(A1028),1))</f>
        <v/>
      </c>
      <c r="L1028" s="21" t="str">
        <f aca="false">IF(J1028="",IF(B1028="","",IF(N(C1028)&gt;=0,"Income","Expense")),IFERROR(INDEX(Lists!$B$2:$B$30,MATCH(J1028,Lists!$A$2:$A$30,0)),""))</f>
        <v/>
      </c>
      <c r="M1028" s="24"/>
      <c r="N1028" s="27" t="str">
        <f aca="false">IF(B1028="","",IFERROR(1000-SUMPRODUCT(MAX(ISNUMBER(SEARCH(Rules!$A$5:$A$204,B1028))*(Rules!$A$5:$A$204&lt;&gt;"")*(1000-ROW(Rules!$A$5:$A$204)))),""))</f>
        <v/>
      </c>
    </row>
    <row r="1029" customFormat="false" ht="15" hidden="false" customHeight="false" outlineLevel="0" collapsed="false">
      <c r="A1029" s="23"/>
      <c r="B1029" s="24"/>
      <c r="C1029" s="25"/>
      <c r="D1029" s="24"/>
      <c r="E1029" s="21" t="str">
        <f aca="false">IF(OR(B1029="",N(N1029)=0,N1029=1000),IF(B1029="","","Check"),INDEX(Rules!$B:$B,N1029))</f>
        <v/>
      </c>
      <c r="F1029" s="21" t="str">
        <f aca="false">IF(OR(B1029="",N(N1029)=0,N1029=1000),"",INDEX(Rules!$C:$C,N1029))</f>
        <v/>
      </c>
      <c r="G1029" s="24"/>
      <c r="H1029" s="24"/>
      <c r="I1029" s="20" t="str">
        <f aca="false">IF(B1029="","",IF(G1029&lt;&gt;"",G1029,E1029))</f>
        <v/>
      </c>
      <c r="J1029" s="21" t="str">
        <f aca="false">IF(B1029="","",IF(H1029&lt;&gt;"",H1029,F1029))</f>
        <v/>
      </c>
      <c r="K1029" s="26" t="str">
        <f aca="false">IF(A1029="","",DATE(YEAR(A1029),MONTH(A1029),1))</f>
        <v/>
      </c>
      <c r="L1029" s="21" t="str">
        <f aca="false">IF(J1029="",IF(B1029="","",IF(N(C1029)&gt;=0,"Income","Expense")),IFERROR(INDEX(Lists!$B$2:$B$30,MATCH(J1029,Lists!$A$2:$A$30,0)),""))</f>
        <v/>
      </c>
      <c r="M1029" s="24"/>
      <c r="N1029" s="27" t="str">
        <f aca="false">IF(B1029="","",IFERROR(1000-SUMPRODUCT(MAX(ISNUMBER(SEARCH(Rules!$A$5:$A$204,B1029))*(Rules!$A$5:$A$204&lt;&gt;"")*(1000-ROW(Rules!$A$5:$A$204)))),""))</f>
        <v/>
      </c>
    </row>
    <row r="1030" customFormat="false" ht="15" hidden="false" customHeight="false" outlineLevel="0" collapsed="false">
      <c r="A1030" s="23"/>
      <c r="B1030" s="24"/>
      <c r="C1030" s="25"/>
      <c r="D1030" s="24"/>
      <c r="E1030" s="21" t="str">
        <f aca="false">IF(OR(B1030="",N(N1030)=0,N1030=1000),IF(B1030="","","Check"),INDEX(Rules!$B:$B,N1030))</f>
        <v/>
      </c>
      <c r="F1030" s="21" t="str">
        <f aca="false">IF(OR(B1030="",N(N1030)=0,N1030=1000),"",INDEX(Rules!$C:$C,N1030))</f>
        <v/>
      </c>
      <c r="G1030" s="24"/>
      <c r="H1030" s="24"/>
      <c r="I1030" s="20" t="str">
        <f aca="false">IF(B1030="","",IF(G1030&lt;&gt;"",G1030,E1030))</f>
        <v/>
      </c>
      <c r="J1030" s="21" t="str">
        <f aca="false">IF(B1030="","",IF(H1030&lt;&gt;"",H1030,F1030))</f>
        <v/>
      </c>
      <c r="K1030" s="26" t="str">
        <f aca="false">IF(A1030="","",DATE(YEAR(A1030),MONTH(A1030),1))</f>
        <v/>
      </c>
      <c r="L1030" s="21" t="str">
        <f aca="false">IF(J1030="",IF(B1030="","",IF(N(C1030)&gt;=0,"Income","Expense")),IFERROR(INDEX(Lists!$B$2:$B$30,MATCH(J1030,Lists!$A$2:$A$30,0)),""))</f>
        <v/>
      </c>
      <c r="M1030" s="24"/>
      <c r="N1030" s="27" t="str">
        <f aca="false">IF(B1030="","",IFERROR(1000-SUMPRODUCT(MAX(ISNUMBER(SEARCH(Rules!$A$5:$A$204,B1030))*(Rules!$A$5:$A$204&lt;&gt;"")*(1000-ROW(Rules!$A$5:$A$204)))),""))</f>
        <v/>
      </c>
    </row>
    <row r="1031" customFormat="false" ht="15" hidden="false" customHeight="false" outlineLevel="0" collapsed="false">
      <c r="A1031" s="23"/>
      <c r="B1031" s="24"/>
      <c r="C1031" s="25"/>
      <c r="D1031" s="24"/>
      <c r="E1031" s="21" t="str">
        <f aca="false">IF(OR(B1031="",N(N1031)=0,N1031=1000),IF(B1031="","","Check"),INDEX(Rules!$B:$B,N1031))</f>
        <v/>
      </c>
      <c r="F1031" s="21" t="str">
        <f aca="false">IF(OR(B1031="",N(N1031)=0,N1031=1000),"",INDEX(Rules!$C:$C,N1031))</f>
        <v/>
      </c>
      <c r="G1031" s="24"/>
      <c r="H1031" s="24"/>
      <c r="I1031" s="20" t="str">
        <f aca="false">IF(B1031="","",IF(G1031&lt;&gt;"",G1031,E1031))</f>
        <v/>
      </c>
      <c r="J1031" s="21" t="str">
        <f aca="false">IF(B1031="","",IF(H1031&lt;&gt;"",H1031,F1031))</f>
        <v/>
      </c>
      <c r="K1031" s="26" t="str">
        <f aca="false">IF(A1031="","",DATE(YEAR(A1031),MONTH(A1031),1))</f>
        <v/>
      </c>
      <c r="L1031" s="21" t="str">
        <f aca="false">IF(J1031="",IF(B1031="","",IF(N(C1031)&gt;=0,"Income","Expense")),IFERROR(INDEX(Lists!$B$2:$B$30,MATCH(J1031,Lists!$A$2:$A$30,0)),""))</f>
        <v/>
      </c>
      <c r="M1031" s="24"/>
      <c r="N1031" s="27" t="str">
        <f aca="false">IF(B1031="","",IFERROR(1000-SUMPRODUCT(MAX(ISNUMBER(SEARCH(Rules!$A$5:$A$204,B1031))*(Rules!$A$5:$A$204&lt;&gt;"")*(1000-ROW(Rules!$A$5:$A$204)))),""))</f>
        <v/>
      </c>
    </row>
    <row r="1032" customFormat="false" ht="15" hidden="false" customHeight="false" outlineLevel="0" collapsed="false">
      <c r="A1032" s="23"/>
      <c r="B1032" s="24"/>
      <c r="C1032" s="25"/>
      <c r="D1032" s="24"/>
      <c r="E1032" s="21" t="str">
        <f aca="false">IF(OR(B1032="",N(N1032)=0,N1032=1000),IF(B1032="","","Check"),INDEX(Rules!$B:$B,N1032))</f>
        <v/>
      </c>
      <c r="F1032" s="21" t="str">
        <f aca="false">IF(OR(B1032="",N(N1032)=0,N1032=1000),"",INDEX(Rules!$C:$C,N1032))</f>
        <v/>
      </c>
      <c r="G1032" s="24"/>
      <c r="H1032" s="24"/>
      <c r="I1032" s="20" t="str">
        <f aca="false">IF(B1032="","",IF(G1032&lt;&gt;"",G1032,E1032))</f>
        <v/>
      </c>
      <c r="J1032" s="21" t="str">
        <f aca="false">IF(B1032="","",IF(H1032&lt;&gt;"",H1032,F1032))</f>
        <v/>
      </c>
      <c r="K1032" s="26" t="str">
        <f aca="false">IF(A1032="","",DATE(YEAR(A1032),MONTH(A1032),1))</f>
        <v/>
      </c>
      <c r="L1032" s="21" t="str">
        <f aca="false">IF(J1032="",IF(B1032="","",IF(N(C1032)&gt;=0,"Income","Expense")),IFERROR(INDEX(Lists!$B$2:$B$30,MATCH(J1032,Lists!$A$2:$A$30,0)),""))</f>
        <v/>
      </c>
      <c r="M1032" s="24"/>
      <c r="N1032" s="27" t="str">
        <f aca="false">IF(B1032="","",IFERROR(1000-SUMPRODUCT(MAX(ISNUMBER(SEARCH(Rules!$A$5:$A$204,B1032))*(Rules!$A$5:$A$204&lt;&gt;"")*(1000-ROW(Rules!$A$5:$A$204)))),""))</f>
        <v/>
      </c>
    </row>
    <row r="1033" customFormat="false" ht="15" hidden="false" customHeight="false" outlineLevel="0" collapsed="false">
      <c r="A1033" s="23"/>
      <c r="B1033" s="24"/>
      <c r="C1033" s="25"/>
      <c r="D1033" s="24"/>
      <c r="E1033" s="21" t="str">
        <f aca="false">IF(OR(B1033="",N(N1033)=0,N1033=1000),IF(B1033="","","Check"),INDEX(Rules!$B:$B,N1033))</f>
        <v/>
      </c>
      <c r="F1033" s="21" t="str">
        <f aca="false">IF(OR(B1033="",N(N1033)=0,N1033=1000),"",INDEX(Rules!$C:$C,N1033))</f>
        <v/>
      </c>
      <c r="G1033" s="24"/>
      <c r="H1033" s="24"/>
      <c r="I1033" s="20" t="str">
        <f aca="false">IF(B1033="","",IF(G1033&lt;&gt;"",G1033,E1033))</f>
        <v/>
      </c>
      <c r="J1033" s="21" t="str">
        <f aca="false">IF(B1033="","",IF(H1033&lt;&gt;"",H1033,F1033))</f>
        <v/>
      </c>
      <c r="K1033" s="26" t="str">
        <f aca="false">IF(A1033="","",DATE(YEAR(A1033),MONTH(A1033),1))</f>
        <v/>
      </c>
      <c r="L1033" s="21" t="str">
        <f aca="false">IF(J1033="",IF(B1033="","",IF(N(C1033)&gt;=0,"Income","Expense")),IFERROR(INDEX(Lists!$B$2:$B$30,MATCH(J1033,Lists!$A$2:$A$30,0)),""))</f>
        <v/>
      </c>
      <c r="M1033" s="24"/>
      <c r="N1033" s="27" t="str">
        <f aca="false">IF(B1033="","",IFERROR(1000-SUMPRODUCT(MAX(ISNUMBER(SEARCH(Rules!$A$5:$A$204,B1033))*(Rules!$A$5:$A$204&lt;&gt;"")*(1000-ROW(Rules!$A$5:$A$204)))),""))</f>
        <v/>
      </c>
    </row>
    <row r="1034" customFormat="false" ht="15" hidden="false" customHeight="false" outlineLevel="0" collapsed="false">
      <c r="A1034" s="23"/>
      <c r="B1034" s="24"/>
      <c r="C1034" s="25"/>
      <c r="D1034" s="24"/>
      <c r="E1034" s="21" t="str">
        <f aca="false">IF(OR(B1034="",N(N1034)=0,N1034=1000),IF(B1034="","","Check"),INDEX(Rules!$B:$B,N1034))</f>
        <v/>
      </c>
      <c r="F1034" s="21" t="str">
        <f aca="false">IF(OR(B1034="",N(N1034)=0,N1034=1000),"",INDEX(Rules!$C:$C,N1034))</f>
        <v/>
      </c>
      <c r="G1034" s="24"/>
      <c r="H1034" s="24"/>
      <c r="I1034" s="20" t="str">
        <f aca="false">IF(B1034="","",IF(G1034&lt;&gt;"",G1034,E1034))</f>
        <v/>
      </c>
      <c r="J1034" s="21" t="str">
        <f aca="false">IF(B1034="","",IF(H1034&lt;&gt;"",H1034,F1034))</f>
        <v/>
      </c>
      <c r="K1034" s="26" t="str">
        <f aca="false">IF(A1034="","",DATE(YEAR(A1034),MONTH(A1034),1))</f>
        <v/>
      </c>
      <c r="L1034" s="21" t="str">
        <f aca="false">IF(J1034="",IF(B1034="","",IF(N(C1034)&gt;=0,"Income","Expense")),IFERROR(INDEX(Lists!$B$2:$B$30,MATCH(J1034,Lists!$A$2:$A$30,0)),""))</f>
        <v/>
      </c>
      <c r="M1034" s="24"/>
      <c r="N1034" s="27" t="str">
        <f aca="false">IF(B1034="","",IFERROR(1000-SUMPRODUCT(MAX(ISNUMBER(SEARCH(Rules!$A$5:$A$204,B1034))*(Rules!$A$5:$A$204&lt;&gt;"")*(1000-ROW(Rules!$A$5:$A$204)))),""))</f>
        <v/>
      </c>
    </row>
    <row r="1035" customFormat="false" ht="15" hidden="false" customHeight="false" outlineLevel="0" collapsed="false">
      <c r="A1035" s="23"/>
      <c r="B1035" s="24"/>
      <c r="C1035" s="25"/>
      <c r="D1035" s="24"/>
      <c r="E1035" s="21" t="str">
        <f aca="false">IF(OR(B1035="",N(N1035)=0,N1035=1000),IF(B1035="","","Check"),INDEX(Rules!$B:$B,N1035))</f>
        <v/>
      </c>
      <c r="F1035" s="21" t="str">
        <f aca="false">IF(OR(B1035="",N(N1035)=0,N1035=1000),"",INDEX(Rules!$C:$C,N1035))</f>
        <v/>
      </c>
      <c r="G1035" s="24"/>
      <c r="H1035" s="24"/>
      <c r="I1035" s="20" t="str">
        <f aca="false">IF(B1035="","",IF(G1035&lt;&gt;"",G1035,E1035))</f>
        <v/>
      </c>
      <c r="J1035" s="21" t="str">
        <f aca="false">IF(B1035="","",IF(H1035&lt;&gt;"",H1035,F1035))</f>
        <v/>
      </c>
      <c r="K1035" s="26" t="str">
        <f aca="false">IF(A1035="","",DATE(YEAR(A1035),MONTH(A1035),1))</f>
        <v/>
      </c>
      <c r="L1035" s="21" t="str">
        <f aca="false">IF(J1035="",IF(B1035="","",IF(N(C1035)&gt;=0,"Income","Expense")),IFERROR(INDEX(Lists!$B$2:$B$30,MATCH(J1035,Lists!$A$2:$A$30,0)),""))</f>
        <v/>
      </c>
      <c r="M1035" s="24"/>
      <c r="N1035" s="27" t="str">
        <f aca="false">IF(B1035="","",IFERROR(1000-SUMPRODUCT(MAX(ISNUMBER(SEARCH(Rules!$A$5:$A$204,B1035))*(Rules!$A$5:$A$204&lt;&gt;"")*(1000-ROW(Rules!$A$5:$A$204)))),""))</f>
        <v/>
      </c>
    </row>
    <row r="1036" customFormat="false" ht="15" hidden="false" customHeight="false" outlineLevel="0" collapsed="false">
      <c r="A1036" s="23"/>
      <c r="B1036" s="24"/>
      <c r="C1036" s="25"/>
      <c r="D1036" s="24"/>
      <c r="E1036" s="21" t="str">
        <f aca="false">IF(OR(B1036="",N(N1036)=0,N1036=1000),IF(B1036="","","Check"),INDEX(Rules!$B:$B,N1036))</f>
        <v/>
      </c>
      <c r="F1036" s="21" t="str">
        <f aca="false">IF(OR(B1036="",N(N1036)=0,N1036=1000),"",INDEX(Rules!$C:$C,N1036))</f>
        <v/>
      </c>
      <c r="G1036" s="24"/>
      <c r="H1036" s="24"/>
      <c r="I1036" s="20" t="str">
        <f aca="false">IF(B1036="","",IF(G1036&lt;&gt;"",G1036,E1036))</f>
        <v/>
      </c>
      <c r="J1036" s="21" t="str">
        <f aca="false">IF(B1036="","",IF(H1036&lt;&gt;"",H1036,F1036))</f>
        <v/>
      </c>
      <c r="K1036" s="26" t="str">
        <f aca="false">IF(A1036="","",DATE(YEAR(A1036),MONTH(A1036),1))</f>
        <v/>
      </c>
      <c r="L1036" s="21" t="str">
        <f aca="false">IF(J1036="",IF(B1036="","",IF(N(C1036)&gt;=0,"Income","Expense")),IFERROR(INDEX(Lists!$B$2:$B$30,MATCH(J1036,Lists!$A$2:$A$30,0)),""))</f>
        <v/>
      </c>
      <c r="M1036" s="24"/>
      <c r="N1036" s="27" t="str">
        <f aca="false">IF(B1036="","",IFERROR(1000-SUMPRODUCT(MAX(ISNUMBER(SEARCH(Rules!$A$5:$A$204,B1036))*(Rules!$A$5:$A$204&lt;&gt;"")*(1000-ROW(Rules!$A$5:$A$204)))),""))</f>
        <v/>
      </c>
    </row>
    <row r="1037" customFormat="false" ht="15" hidden="false" customHeight="false" outlineLevel="0" collapsed="false">
      <c r="A1037" s="23"/>
      <c r="B1037" s="24"/>
      <c r="C1037" s="25"/>
      <c r="D1037" s="24"/>
      <c r="E1037" s="21" t="str">
        <f aca="false">IF(OR(B1037="",N(N1037)=0,N1037=1000),IF(B1037="","","Check"),INDEX(Rules!$B:$B,N1037))</f>
        <v/>
      </c>
      <c r="F1037" s="21" t="str">
        <f aca="false">IF(OR(B1037="",N(N1037)=0,N1037=1000),"",INDEX(Rules!$C:$C,N1037))</f>
        <v/>
      </c>
      <c r="G1037" s="24"/>
      <c r="H1037" s="24"/>
      <c r="I1037" s="20" t="str">
        <f aca="false">IF(B1037="","",IF(G1037&lt;&gt;"",G1037,E1037))</f>
        <v/>
      </c>
      <c r="J1037" s="21" t="str">
        <f aca="false">IF(B1037="","",IF(H1037&lt;&gt;"",H1037,F1037))</f>
        <v/>
      </c>
      <c r="K1037" s="26" t="str">
        <f aca="false">IF(A1037="","",DATE(YEAR(A1037),MONTH(A1037),1))</f>
        <v/>
      </c>
      <c r="L1037" s="21" t="str">
        <f aca="false">IF(J1037="",IF(B1037="","",IF(N(C1037)&gt;=0,"Income","Expense")),IFERROR(INDEX(Lists!$B$2:$B$30,MATCH(J1037,Lists!$A$2:$A$30,0)),""))</f>
        <v/>
      </c>
      <c r="M1037" s="24"/>
      <c r="N1037" s="27" t="str">
        <f aca="false">IF(B1037="","",IFERROR(1000-SUMPRODUCT(MAX(ISNUMBER(SEARCH(Rules!$A$5:$A$204,B1037))*(Rules!$A$5:$A$204&lt;&gt;"")*(1000-ROW(Rules!$A$5:$A$204)))),""))</f>
        <v/>
      </c>
    </row>
    <row r="1038" customFormat="false" ht="15" hidden="false" customHeight="false" outlineLevel="0" collapsed="false">
      <c r="A1038" s="23"/>
      <c r="B1038" s="24"/>
      <c r="C1038" s="25"/>
      <c r="D1038" s="24"/>
      <c r="E1038" s="21" t="str">
        <f aca="false">IF(OR(B1038="",N(N1038)=0,N1038=1000),IF(B1038="","","Check"),INDEX(Rules!$B:$B,N1038))</f>
        <v/>
      </c>
      <c r="F1038" s="21" t="str">
        <f aca="false">IF(OR(B1038="",N(N1038)=0,N1038=1000),"",INDEX(Rules!$C:$C,N1038))</f>
        <v/>
      </c>
      <c r="G1038" s="24"/>
      <c r="H1038" s="24"/>
      <c r="I1038" s="20" t="str">
        <f aca="false">IF(B1038="","",IF(G1038&lt;&gt;"",G1038,E1038))</f>
        <v/>
      </c>
      <c r="J1038" s="21" t="str">
        <f aca="false">IF(B1038="","",IF(H1038&lt;&gt;"",H1038,F1038))</f>
        <v/>
      </c>
      <c r="K1038" s="26" t="str">
        <f aca="false">IF(A1038="","",DATE(YEAR(A1038),MONTH(A1038),1))</f>
        <v/>
      </c>
      <c r="L1038" s="21" t="str">
        <f aca="false">IF(J1038="",IF(B1038="","",IF(N(C1038)&gt;=0,"Income","Expense")),IFERROR(INDEX(Lists!$B$2:$B$30,MATCH(J1038,Lists!$A$2:$A$30,0)),""))</f>
        <v/>
      </c>
      <c r="M1038" s="24"/>
      <c r="N1038" s="27" t="str">
        <f aca="false">IF(B1038="","",IFERROR(1000-SUMPRODUCT(MAX(ISNUMBER(SEARCH(Rules!$A$5:$A$204,B1038))*(Rules!$A$5:$A$204&lt;&gt;"")*(1000-ROW(Rules!$A$5:$A$204)))),""))</f>
        <v/>
      </c>
    </row>
    <row r="1039" customFormat="false" ht="15" hidden="false" customHeight="false" outlineLevel="0" collapsed="false">
      <c r="A1039" s="23"/>
      <c r="B1039" s="24"/>
      <c r="C1039" s="25"/>
      <c r="D1039" s="24"/>
      <c r="E1039" s="21" t="str">
        <f aca="false">IF(OR(B1039="",N(N1039)=0,N1039=1000),IF(B1039="","","Check"),INDEX(Rules!$B:$B,N1039))</f>
        <v/>
      </c>
      <c r="F1039" s="21" t="str">
        <f aca="false">IF(OR(B1039="",N(N1039)=0,N1039=1000),"",INDEX(Rules!$C:$C,N1039))</f>
        <v/>
      </c>
      <c r="G1039" s="24"/>
      <c r="H1039" s="24"/>
      <c r="I1039" s="20" t="str">
        <f aca="false">IF(B1039="","",IF(G1039&lt;&gt;"",G1039,E1039))</f>
        <v/>
      </c>
      <c r="J1039" s="21" t="str">
        <f aca="false">IF(B1039="","",IF(H1039&lt;&gt;"",H1039,F1039))</f>
        <v/>
      </c>
      <c r="K1039" s="26" t="str">
        <f aca="false">IF(A1039="","",DATE(YEAR(A1039),MONTH(A1039),1))</f>
        <v/>
      </c>
      <c r="L1039" s="21" t="str">
        <f aca="false">IF(J1039="",IF(B1039="","",IF(N(C1039)&gt;=0,"Income","Expense")),IFERROR(INDEX(Lists!$B$2:$B$30,MATCH(J1039,Lists!$A$2:$A$30,0)),""))</f>
        <v/>
      </c>
      <c r="M1039" s="24"/>
      <c r="N1039" s="27" t="str">
        <f aca="false">IF(B1039="","",IFERROR(1000-SUMPRODUCT(MAX(ISNUMBER(SEARCH(Rules!$A$5:$A$204,B1039))*(Rules!$A$5:$A$204&lt;&gt;"")*(1000-ROW(Rules!$A$5:$A$204)))),""))</f>
        <v/>
      </c>
    </row>
    <row r="1040" customFormat="false" ht="15" hidden="false" customHeight="false" outlineLevel="0" collapsed="false">
      <c r="A1040" s="23"/>
      <c r="B1040" s="24"/>
      <c r="C1040" s="25"/>
      <c r="D1040" s="24"/>
      <c r="E1040" s="21" t="str">
        <f aca="false">IF(OR(B1040="",N(N1040)=0,N1040=1000),IF(B1040="","","Check"),INDEX(Rules!$B:$B,N1040))</f>
        <v/>
      </c>
      <c r="F1040" s="21" t="str">
        <f aca="false">IF(OR(B1040="",N(N1040)=0,N1040=1000),"",INDEX(Rules!$C:$C,N1040))</f>
        <v/>
      </c>
      <c r="G1040" s="24"/>
      <c r="H1040" s="24"/>
      <c r="I1040" s="20" t="str">
        <f aca="false">IF(B1040="","",IF(G1040&lt;&gt;"",G1040,E1040))</f>
        <v/>
      </c>
      <c r="J1040" s="21" t="str">
        <f aca="false">IF(B1040="","",IF(H1040&lt;&gt;"",H1040,F1040))</f>
        <v/>
      </c>
      <c r="K1040" s="26" t="str">
        <f aca="false">IF(A1040="","",DATE(YEAR(A1040),MONTH(A1040),1))</f>
        <v/>
      </c>
      <c r="L1040" s="21" t="str">
        <f aca="false">IF(J1040="",IF(B1040="","",IF(N(C1040)&gt;=0,"Income","Expense")),IFERROR(INDEX(Lists!$B$2:$B$30,MATCH(J1040,Lists!$A$2:$A$30,0)),""))</f>
        <v/>
      </c>
      <c r="M1040" s="24"/>
      <c r="N1040" s="27" t="str">
        <f aca="false">IF(B1040="","",IFERROR(1000-SUMPRODUCT(MAX(ISNUMBER(SEARCH(Rules!$A$5:$A$204,B1040))*(Rules!$A$5:$A$204&lt;&gt;"")*(1000-ROW(Rules!$A$5:$A$204)))),""))</f>
        <v/>
      </c>
    </row>
    <row r="1041" customFormat="false" ht="15" hidden="false" customHeight="false" outlineLevel="0" collapsed="false">
      <c r="A1041" s="23"/>
      <c r="B1041" s="24"/>
      <c r="C1041" s="25"/>
      <c r="D1041" s="24"/>
      <c r="E1041" s="21" t="str">
        <f aca="false">IF(OR(B1041="",N(N1041)=0,N1041=1000),IF(B1041="","","Check"),INDEX(Rules!$B:$B,N1041))</f>
        <v/>
      </c>
      <c r="F1041" s="21" t="str">
        <f aca="false">IF(OR(B1041="",N(N1041)=0,N1041=1000),"",INDEX(Rules!$C:$C,N1041))</f>
        <v/>
      </c>
      <c r="G1041" s="24"/>
      <c r="H1041" s="24"/>
      <c r="I1041" s="20" t="str">
        <f aca="false">IF(B1041="","",IF(G1041&lt;&gt;"",G1041,E1041))</f>
        <v/>
      </c>
      <c r="J1041" s="21" t="str">
        <f aca="false">IF(B1041="","",IF(H1041&lt;&gt;"",H1041,F1041))</f>
        <v/>
      </c>
      <c r="K1041" s="26" t="str">
        <f aca="false">IF(A1041="","",DATE(YEAR(A1041),MONTH(A1041),1))</f>
        <v/>
      </c>
      <c r="L1041" s="21" t="str">
        <f aca="false">IF(J1041="",IF(B1041="","",IF(N(C1041)&gt;=0,"Income","Expense")),IFERROR(INDEX(Lists!$B$2:$B$30,MATCH(J1041,Lists!$A$2:$A$30,0)),""))</f>
        <v/>
      </c>
      <c r="M1041" s="24"/>
      <c r="N1041" s="27" t="str">
        <f aca="false">IF(B1041="","",IFERROR(1000-SUMPRODUCT(MAX(ISNUMBER(SEARCH(Rules!$A$5:$A$204,B1041))*(Rules!$A$5:$A$204&lt;&gt;"")*(1000-ROW(Rules!$A$5:$A$204)))),""))</f>
        <v/>
      </c>
    </row>
    <row r="1042" customFormat="false" ht="15" hidden="false" customHeight="false" outlineLevel="0" collapsed="false">
      <c r="A1042" s="23"/>
      <c r="B1042" s="24"/>
      <c r="C1042" s="25"/>
      <c r="D1042" s="24"/>
      <c r="E1042" s="21" t="str">
        <f aca="false">IF(OR(B1042="",N(N1042)=0,N1042=1000),IF(B1042="","","Check"),INDEX(Rules!$B:$B,N1042))</f>
        <v/>
      </c>
      <c r="F1042" s="21" t="str">
        <f aca="false">IF(OR(B1042="",N(N1042)=0,N1042=1000),"",INDEX(Rules!$C:$C,N1042))</f>
        <v/>
      </c>
      <c r="G1042" s="24"/>
      <c r="H1042" s="24"/>
      <c r="I1042" s="20" t="str">
        <f aca="false">IF(B1042="","",IF(G1042&lt;&gt;"",G1042,E1042))</f>
        <v/>
      </c>
      <c r="J1042" s="21" t="str">
        <f aca="false">IF(B1042="","",IF(H1042&lt;&gt;"",H1042,F1042))</f>
        <v/>
      </c>
      <c r="K1042" s="26" t="str">
        <f aca="false">IF(A1042="","",DATE(YEAR(A1042),MONTH(A1042),1))</f>
        <v/>
      </c>
      <c r="L1042" s="21" t="str">
        <f aca="false">IF(J1042="",IF(B1042="","",IF(N(C1042)&gt;=0,"Income","Expense")),IFERROR(INDEX(Lists!$B$2:$B$30,MATCH(J1042,Lists!$A$2:$A$30,0)),""))</f>
        <v/>
      </c>
      <c r="M1042" s="24"/>
      <c r="N1042" s="27" t="str">
        <f aca="false">IF(B1042="","",IFERROR(1000-SUMPRODUCT(MAX(ISNUMBER(SEARCH(Rules!$A$5:$A$204,B1042))*(Rules!$A$5:$A$204&lt;&gt;"")*(1000-ROW(Rules!$A$5:$A$204)))),""))</f>
        <v/>
      </c>
    </row>
    <row r="1043" customFormat="false" ht="15" hidden="false" customHeight="false" outlineLevel="0" collapsed="false">
      <c r="A1043" s="23"/>
      <c r="B1043" s="24"/>
      <c r="C1043" s="25"/>
      <c r="D1043" s="24"/>
      <c r="E1043" s="21" t="str">
        <f aca="false">IF(OR(B1043="",N(N1043)=0,N1043=1000),IF(B1043="","","Check"),INDEX(Rules!$B:$B,N1043))</f>
        <v/>
      </c>
      <c r="F1043" s="21" t="str">
        <f aca="false">IF(OR(B1043="",N(N1043)=0,N1043=1000),"",INDEX(Rules!$C:$C,N1043))</f>
        <v/>
      </c>
      <c r="G1043" s="24"/>
      <c r="H1043" s="24"/>
      <c r="I1043" s="20" t="str">
        <f aca="false">IF(B1043="","",IF(G1043&lt;&gt;"",G1043,E1043))</f>
        <v/>
      </c>
      <c r="J1043" s="21" t="str">
        <f aca="false">IF(B1043="","",IF(H1043&lt;&gt;"",H1043,F1043))</f>
        <v/>
      </c>
      <c r="K1043" s="26" t="str">
        <f aca="false">IF(A1043="","",DATE(YEAR(A1043),MONTH(A1043),1))</f>
        <v/>
      </c>
      <c r="L1043" s="21" t="str">
        <f aca="false">IF(J1043="",IF(B1043="","",IF(N(C1043)&gt;=0,"Income","Expense")),IFERROR(INDEX(Lists!$B$2:$B$30,MATCH(J1043,Lists!$A$2:$A$30,0)),""))</f>
        <v/>
      </c>
      <c r="M1043" s="24"/>
      <c r="N1043" s="27" t="str">
        <f aca="false">IF(B1043="","",IFERROR(1000-SUMPRODUCT(MAX(ISNUMBER(SEARCH(Rules!$A$5:$A$204,B1043))*(Rules!$A$5:$A$204&lt;&gt;"")*(1000-ROW(Rules!$A$5:$A$204)))),""))</f>
        <v/>
      </c>
    </row>
    <row r="1044" customFormat="false" ht="15" hidden="false" customHeight="false" outlineLevel="0" collapsed="false">
      <c r="A1044" s="23"/>
      <c r="B1044" s="24"/>
      <c r="C1044" s="25"/>
      <c r="D1044" s="24"/>
      <c r="E1044" s="21" t="str">
        <f aca="false">IF(OR(B1044="",N(N1044)=0,N1044=1000),IF(B1044="","","Check"),INDEX(Rules!$B:$B,N1044))</f>
        <v/>
      </c>
      <c r="F1044" s="21" t="str">
        <f aca="false">IF(OR(B1044="",N(N1044)=0,N1044=1000),"",INDEX(Rules!$C:$C,N1044))</f>
        <v/>
      </c>
      <c r="G1044" s="24"/>
      <c r="H1044" s="24"/>
      <c r="I1044" s="20" t="str">
        <f aca="false">IF(B1044="","",IF(G1044&lt;&gt;"",G1044,E1044))</f>
        <v/>
      </c>
      <c r="J1044" s="21" t="str">
        <f aca="false">IF(B1044="","",IF(H1044&lt;&gt;"",H1044,F1044))</f>
        <v/>
      </c>
      <c r="K1044" s="26" t="str">
        <f aca="false">IF(A1044="","",DATE(YEAR(A1044),MONTH(A1044),1))</f>
        <v/>
      </c>
      <c r="L1044" s="21" t="str">
        <f aca="false">IF(J1044="",IF(B1044="","",IF(N(C1044)&gt;=0,"Income","Expense")),IFERROR(INDEX(Lists!$B$2:$B$30,MATCH(J1044,Lists!$A$2:$A$30,0)),""))</f>
        <v/>
      </c>
      <c r="M1044" s="24"/>
      <c r="N1044" s="27" t="str">
        <f aca="false">IF(B1044="","",IFERROR(1000-SUMPRODUCT(MAX(ISNUMBER(SEARCH(Rules!$A$5:$A$204,B1044))*(Rules!$A$5:$A$204&lt;&gt;"")*(1000-ROW(Rules!$A$5:$A$204)))),""))</f>
        <v/>
      </c>
    </row>
    <row r="1045" customFormat="false" ht="15" hidden="false" customHeight="false" outlineLevel="0" collapsed="false">
      <c r="A1045" s="23"/>
      <c r="B1045" s="24"/>
      <c r="C1045" s="25"/>
      <c r="D1045" s="24"/>
      <c r="E1045" s="21" t="str">
        <f aca="false">IF(OR(B1045="",N(N1045)=0,N1045=1000),IF(B1045="","","Check"),INDEX(Rules!$B:$B,N1045))</f>
        <v/>
      </c>
      <c r="F1045" s="21" t="str">
        <f aca="false">IF(OR(B1045="",N(N1045)=0,N1045=1000),"",INDEX(Rules!$C:$C,N1045))</f>
        <v/>
      </c>
      <c r="G1045" s="24"/>
      <c r="H1045" s="24"/>
      <c r="I1045" s="20" t="str">
        <f aca="false">IF(B1045="","",IF(G1045&lt;&gt;"",G1045,E1045))</f>
        <v/>
      </c>
      <c r="J1045" s="21" t="str">
        <f aca="false">IF(B1045="","",IF(H1045&lt;&gt;"",H1045,F1045))</f>
        <v/>
      </c>
      <c r="K1045" s="26" t="str">
        <f aca="false">IF(A1045="","",DATE(YEAR(A1045),MONTH(A1045),1))</f>
        <v/>
      </c>
      <c r="L1045" s="21" t="str">
        <f aca="false">IF(J1045="",IF(B1045="","",IF(N(C1045)&gt;=0,"Income","Expense")),IFERROR(INDEX(Lists!$B$2:$B$30,MATCH(J1045,Lists!$A$2:$A$30,0)),""))</f>
        <v/>
      </c>
      <c r="M1045" s="24"/>
      <c r="N1045" s="27" t="str">
        <f aca="false">IF(B1045="","",IFERROR(1000-SUMPRODUCT(MAX(ISNUMBER(SEARCH(Rules!$A$5:$A$204,B1045))*(Rules!$A$5:$A$204&lt;&gt;"")*(1000-ROW(Rules!$A$5:$A$204)))),""))</f>
        <v/>
      </c>
    </row>
    <row r="1046" customFormat="false" ht="15" hidden="false" customHeight="false" outlineLevel="0" collapsed="false">
      <c r="A1046" s="23"/>
      <c r="B1046" s="24"/>
      <c r="C1046" s="25"/>
      <c r="D1046" s="24"/>
      <c r="E1046" s="21" t="str">
        <f aca="false">IF(OR(B1046="",N(N1046)=0,N1046=1000),IF(B1046="","","Check"),INDEX(Rules!$B:$B,N1046))</f>
        <v/>
      </c>
      <c r="F1046" s="21" t="str">
        <f aca="false">IF(OR(B1046="",N(N1046)=0,N1046=1000),"",INDEX(Rules!$C:$C,N1046))</f>
        <v/>
      </c>
      <c r="G1046" s="24"/>
      <c r="H1046" s="24"/>
      <c r="I1046" s="20" t="str">
        <f aca="false">IF(B1046="","",IF(G1046&lt;&gt;"",G1046,E1046))</f>
        <v/>
      </c>
      <c r="J1046" s="21" t="str">
        <f aca="false">IF(B1046="","",IF(H1046&lt;&gt;"",H1046,F1046))</f>
        <v/>
      </c>
      <c r="K1046" s="26" t="str">
        <f aca="false">IF(A1046="","",DATE(YEAR(A1046),MONTH(A1046),1))</f>
        <v/>
      </c>
      <c r="L1046" s="21" t="str">
        <f aca="false">IF(J1046="",IF(B1046="","",IF(N(C1046)&gt;=0,"Income","Expense")),IFERROR(INDEX(Lists!$B$2:$B$30,MATCH(J1046,Lists!$A$2:$A$30,0)),""))</f>
        <v/>
      </c>
      <c r="M1046" s="24"/>
      <c r="N1046" s="27" t="str">
        <f aca="false">IF(B1046="","",IFERROR(1000-SUMPRODUCT(MAX(ISNUMBER(SEARCH(Rules!$A$5:$A$204,B1046))*(Rules!$A$5:$A$204&lt;&gt;"")*(1000-ROW(Rules!$A$5:$A$204)))),""))</f>
        <v/>
      </c>
    </row>
    <row r="1047" customFormat="false" ht="15" hidden="false" customHeight="false" outlineLevel="0" collapsed="false">
      <c r="A1047" s="23"/>
      <c r="B1047" s="24"/>
      <c r="C1047" s="25"/>
      <c r="D1047" s="24"/>
      <c r="E1047" s="21" t="str">
        <f aca="false">IF(OR(B1047="",N(N1047)=0,N1047=1000),IF(B1047="","","Check"),INDEX(Rules!$B:$B,N1047))</f>
        <v/>
      </c>
      <c r="F1047" s="21" t="str">
        <f aca="false">IF(OR(B1047="",N(N1047)=0,N1047=1000),"",INDEX(Rules!$C:$C,N1047))</f>
        <v/>
      </c>
      <c r="G1047" s="24"/>
      <c r="H1047" s="24"/>
      <c r="I1047" s="20" t="str">
        <f aca="false">IF(B1047="","",IF(G1047&lt;&gt;"",G1047,E1047))</f>
        <v/>
      </c>
      <c r="J1047" s="21" t="str">
        <f aca="false">IF(B1047="","",IF(H1047&lt;&gt;"",H1047,F1047))</f>
        <v/>
      </c>
      <c r="K1047" s="26" t="str">
        <f aca="false">IF(A1047="","",DATE(YEAR(A1047),MONTH(A1047),1))</f>
        <v/>
      </c>
      <c r="L1047" s="21" t="str">
        <f aca="false">IF(J1047="",IF(B1047="","",IF(N(C1047)&gt;=0,"Income","Expense")),IFERROR(INDEX(Lists!$B$2:$B$30,MATCH(J1047,Lists!$A$2:$A$30,0)),""))</f>
        <v/>
      </c>
      <c r="M1047" s="24"/>
      <c r="N1047" s="27" t="str">
        <f aca="false">IF(B1047="","",IFERROR(1000-SUMPRODUCT(MAX(ISNUMBER(SEARCH(Rules!$A$5:$A$204,B1047))*(Rules!$A$5:$A$204&lt;&gt;"")*(1000-ROW(Rules!$A$5:$A$204)))),""))</f>
        <v/>
      </c>
    </row>
    <row r="1048" customFormat="false" ht="15" hidden="false" customHeight="false" outlineLevel="0" collapsed="false">
      <c r="A1048" s="23"/>
      <c r="B1048" s="24"/>
      <c r="C1048" s="25"/>
      <c r="D1048" s="24"/>
      <c r="E1048" s="21" t="str">
        <f aca="false">IF(OR(B1048="",N(N1048)=0,N1048=1000),IF(B1048="","","Check"),INDEX(Rules!$B:$B,N1048))</f>
        <v/>
      </c>
      <c r="F1048" s="21" t="str">
        <f aca="false">IF(OR(B1048="",N(N1048)=0,N1048=1000),"",INDEX(Rules!$C:$C,N1048))</f>
        <v/>
      </c>
      <c r="G1048" s="24"/>
      <c r="H1048" s="24"/>
      <c r="I1048" s="20" t="str">
        <f aca="false">IF(B1048="","",IF(G1048&lt;&gt;"",G1048,E1048))</f>
        <v/>
      </c>
      <c r="J1048" s="21" t="str">
        <f aca="false">IF(B1048="","",IF(H1048&lt;&gt;"",H1048,F1048))</f>
        <v/>
      </c>
      <c r="K1048" s="26" t="str">
        <f aca="false">IF(A1048="","",DATE(YEAR(A1048),MONTH(A1048),1))</f>
        <v/>
      </c>
      <c r="L1048" s="21" t="str">
        <f aca="false">IF(J1048="",IF(B1048="","",IF(N(C1048)&gt;=0,"Income","Expense")),IFERROR(INDEX(Lists!$B$2:$B$30,MATCH(J1048,Lists!$A$2:$A$30,0)),""))</f>
        <v/>
      </c>
      <c r="M1048" s="24"/>
      <c r="N1048" s="27" t="str">
        <f aca="false">IF(B1048="","",IFERROR(1000-SUMPRODUCT(MAX(ISNUMBER(SEARCH(Rules!$A$5:$A$204,B1048))*(Rules!$A$5:$A$204&lt;&gt;"")*(1000-ROW(Rules!$A$5:$A$204)))),""))</f>
        <v/>
      </c>
    </row>
    <row r="1049" customFormat="false" ht="15" hidden="false" customHeight="false" outlineLevel="0" collapsed="false">
      <c r="A1049" s="23"/>
      <c r="B1049" s="24"/>
      <c r="C1049" s="25"/>
      <c r="D1049" s="24"/>
      <c r="E1049" s="21" t="str">
        <f aca="false">IF(OR(B1049="",N(N1049)=0,N1049=1000),IF(B1049="","","Check"),INDEX(Rules!$B:$B,N1049))</f>
        <v/>
      </c>
      <c r="F1049" s="21" t="str">
        <f aca="false">IF(OR(B1049="",N(N1049)=0,N1049=1000),"",INDEX(Rules!$C:$C,N1049))</f>
        <v/>
      </c>
      <c r="G1049" s="24"/>
      <c r="H1049" s="24"/>
      <c r="I1049" s="20" t="str">
        <f aca="false">IF(B1049="","",IF(G1049&lt;&gt;"",G1049,E1049))</f>
        <v/>
      </c>
      <c r="J1049" s="21" t="str">
        <f aca="false">IF(B1049="","",IF(H1049&lt;&gt;"",H1049,F1049))</f>
        <v/>
      </c>
      <c r="K1049" s="26" t="str">
        <f aca="false">IF(A1049="","",DATE(YEAR(A1049),MONTH(A1049),1))</f>
        <v/>
      </c>
      <c r="L1049" s="21" t="str">
        <f aca="false">IF(J1049="",IF(B1049="","",IF(N(C1049)&gt;=0,"Income","Expense")),IFERROR(INDEX(Lists!$B$2:$B$30,MATCH(J1049,Lists!$A$2:$A$30,0)),""))</f>
        <v/>
      </c>
      <c r="M1049" s="24"/>
      <c r="N1049" s="27" t="str">
        <f aca="false">IF(B1049="","",IFERROR(1000-SUMPRODUCT(MAX(ISNUMBER(SEARCH(Rules!$A$5:$A$204,B1049))*(Rules!$A$5:$A$204&lt;&gt;"")*(1000-ROW(Rules!$A$5:$A$204)))),""))</f>
        <v/>
      </c>
    </row>
    <row r="1050" customFormat="false" ht="15" hidden="false" customHeight="false" outlineLevel="0" collapsed="false">
      <c r="A1050" s="23"/>
      <c r="B1050" s="24"/>
      <c r="C1050" s="25"/>
      <c r="D1050" s="24"/>
      <c r="E1050" s="21" t="str">
        <f aca="false">IF(OR(B1050="",N(N1050)=0,N1050=1000),IF(B1050="","","Check"),INDEX(Rules!$B:$B,N1050))</f>
        <v/>
      </c>
      <c r="F1050" s="21" t="str">
        <f aca="false">IF(OR(B1050="",N(N1050)=0,N1050=1000),"",INDEX(Rules!$C:$C,N1050))</f>
        <v/>
      </c>
      <c r="G1050" s="24"/>
      <c r="H1050" s="24"/>
      <c r="I1050" s="20" t="str">
        <f aca="false">IF(B1050="","",IF(G1050&lt;&gt;"",G1050,E1050))</f>
        <v/>
      </c>
      <c r="J1050" s="21" t="str">
        <f aca="false">IF(B1050="","",IF(H1050&lt;&gt;"",H1050,F1050))</f>
        <v/>
      </c>
      <c r="K1050" s="26" t="str">
        <f aca="false">IF(A1050="","",DATE(YEAR(A1050),MONTH(A1050),1))</f>
        <v/>
      </c>
      <c r="L1050" s="21" t="str">
        <f aca="false">IF(J1050="",IF(B1050="","",IF(N(C1050)&gt;=0,"Income","Expense")),IFERROR(INDEX(Lists!$B$2:$B$30,MATCH(J1050,Lists!$A$2:$A$30,0)),""))</f>
        <v/>
      </c>
      <c r="M1050" s="24"/>
      <c r="N1050" s="27" t="str">
        <f aca="false">IF(B1050="","",IFERROR(1000-SUMPRODUCT(MAX(ISNUMBER(SEARCH(Rules!$A$5:$A$204,B1050))*(Rules!$A$5:$A$204&lt;&gt;"")*(1000-ROW(Rules!$A$5:$A$204)))),""))</f>
        <v/>
      </c>
    </row>
    <row r="1051" customFormat="false" ht="15" hidden="false" customHeight="false" outlineLevel="0" collapsed="false">
      <c r="A1051" s="23"/>
      <c r="B1051" s="24"/>
      <c r="C1051" s="25"/>
      <c r="D1051" s="24"/>
      <c r="E1051" s="21" t="str">
        <f aca="false">IF(OR(B1051="",N(N1051)=0,N1051=1000),IF(B1051="","","Check"),INDEX(Rules!$B:$B,N1051))</f>
        <v/>
      </c>
      <c r="F1051" s="21" t="str">
        <f aca="false">IF(OR(B1051="",N(N1051)=0,N1051=1000),"",INDEX(Rules!$C:$C,N1051))</f>
        <v/>
      </c>
      <c r="G1051" s="24"/>
      <c r="H1051" s="24"/>
      <c r="I1051" s="20" t="str">
        <f aca="false">IF(B1051="","",IF(G1051&lt;&gt;"",G1051,E1051))</f>
        <v/>
      </c>
      <c r="J1051" s="21" t="str">
        <f aca="false">IF(B1051="","",IF(H1051&lt;&gt;"",H1051,F1051))</f>
        <v/>
      </c>
      <c r="K1051" s="26" t="str">
        <f aca="false">IF(A1051="","",DATE(YEAR(A1051),MONTH(A1051),1))</f>
        <v/>
      </c>
      <c r="L1051" s="21" t="str">
        <f aca="false">IF(J1051="",IF(B1051="","",IF(N(C1051)&gt;=0,"Income","Expense")),IFERROR(INDEX(Lists!$B$2:$B$30,MATCH(J1051,Lists!$A$2:$A$30,0)),""))</f>
        <v/>
      </c>
      <c r="M1051" s="24"/>
      <c r="N1051" s="27" t="str">
        <f aca="false">IF(B1051="","",IFERROR(1000-SUMPRODUCT(MAX(ISNUMBER(SEARCH(Rules!$A$5:$A$204,B1051))*(Rules!$A$5:$A$204&lt;&gt;"")*(1000-ROW(Rules!$A$5:$A$204)))),""))</f>
        <v/>
      </c>
    </row>
    <row r="1052" customFormat="false" ht="15" hidden="false" customHeight="false" outlineLevel="0" collapsed="false">
      <c r="A1052" s="23"/>
      <c r="B1052" s="24"/>
      <c r="C1052" s="25"/>
      <c r="D1052" s="24"/>
      <c r="E1052" s="21" t="str">
        <f aca="false">IF(OR(B1052="",N(N1052)=0,N1052=1000),IF(B1052="","","Check"),INDEX(Rules!$B:$B,N1052))</f>
        <v/>
      </c>
      <c r="F1052" s="21" t="str">
        <f aca="false">IF(OR(B1052="",N(N1052)=0,N1052=1000),"",INDEX(Rules!$C:$C,N1052))</f>
        <v/>
      </c>
      <c r="G1052" s="24"/>
      <c r="H1052" s="24"/>
      <c r="I1052" s="20" t="str">
        <f aca="false">IF(B1052="","",IF(G1052&lt;&gt;"",G1052,E1052))</f>
        <v/>
      </c>
      <c r="J1052" s="21" t="str">
        <f aca="false">IF(B1052="","",IF(H1052&lt;&gt;"",H1052,F1052))</f>
        <v/>
      </c>
      <c r="K1052" s="26" t="str">
        <f aca="false">IF(A1052="","",DATE(YEAR(A1052),MONTH(A1052),1))</f>
        <v/>
      </c>
      <c r="L1052" s="21" t="str">
        <f aca="false">IF(J1052="",IF(B1052="","",IF(N(C1052)&gt;=0,"Income","Expense")),IFERROR(INDEX(Lists!$B$2:$B$30,MATCH(J1052,Lists!$A$2:$A$30,0)),""))</f>
        <v/>
      </c>
      <c r="M1052" s="24"/>
      <c r="N1052" s="27" t="str">
        <f aca="false">IF(B1052="","",IFERROR(1000-SUMPRODUCT(MAX(ISNUMBER(SEARCH(Rules!$A$5:$A$204,B1052))*(Rules!$A$5:$A$204&lt;&gt;"")*(1000-ROW(Rules!$A$5:$A$204)))),""))</f>
        <v/>
      </c>
    </row>
    <row r="1053" customFormat="false" ht="15" hidden="false" customHeight="false" outlineLevel="0" collapsed="false">
      <c r="A1053" s="23"/>
      <c r="B1053" s="24"/>
      <c r="C1053" s="25"/>
      <c r="D1053" s="24"/>
      <c r="E1053" s="21" t="str">
        <f aca="false">IF(OR(B1053="",N(N1053)=0,N1053=1000),IF(B1053="","","Check"),INDEX(Rules!$B:$B,N1053))</f>
        <v/>
      </c>
      <c r="F1053" s="21" t="str">
        <f aca="false">IF(OR(B1053="",N(N1053)=0,N1053=1000),"",INDEX(Rules!$C:$C,N1053))</f>
        <v/>
      </c>
      <c r="G1053" s="24"/>
      <c r="H1053" s="24"/>
      <c r="I1053" s="20" t="str">
        <f aca="false">IF(B1053="","",IF(G1053&lt;&gt;"",G1053,E1053))</f>
        <v/>
      </c>
      <c r="J1053" s="21" t="str">
        <f aca="false">IF(B1053="","",IF(H1053&lt;&gt;"",H1053,F1053))</f>
        <v/>
      </c>
      <c r="K1053" s="26" t="str">
        <f aca="false">IF(A1053="","",DATE(YEAR(A1053),MONTH(A1053),1))</f>
        <v/>
      </c>
      <c r="L1053" s="21" t="str">
        <f aca="false">IF(J1053="",IF(B1053="","",IF(N(C1053)&gt;=0,"Income","Expense")),IFERROR(INDEX(Lists!$B$2:$B$30,MATCH(J1053,Lists!$A$2:$A$30,0)),""))</f>
        <v/>
      </c>
      <c r="M1053" s="24"/>
      <c r="N1053" s="27" t="str">
        <f aca="false">IF(B1053="","",IFERROR(1000-SUMPRODUCT(MAX(ISNUMBER(SEARCH(Rules!$A$5:$A$204,B1053))*(Rules!$A$5:$A$204&lt;&gt;"")*(1000-ROW(Rules!$A$5:$A$204)))),""))</f>
        <v/>
      </c>
    </row>
    <row r="1054" customFormat="false" ht="15" hidden="false" customHeight="false" outlineLevel="0" collapsed="false">
      <c r="A1054" s="23"/>
      <c r="B1054" s="24"/>
      <c r="C1054" s="25"/>
      <c r="D1054" s="24"/>
      <c r="E1054" s="21" t="str">
        <f aca="false">IF(OR(B1054="",N(N1054)=0,N1054=1000),IF(B1054="","","Check"),INDEX(Rules!$B:$B,N1054))</f>
        <v/>
      </c>
      <c r="F1054" s="21" t="str">
        <f aca="false">IF(OR(B1054="",N(N1054)=0,N1054=1000),"",INDEX(Rules!$C:$C,N1054))</f>
        <v/>
      </c>
      <c r="G1054" s="24"/>
      <c r="H1054" s="24"/>
      <c r="I1054" s="20" t="str">
        <f aca="false">IF(B1054="","",IF(G1054&lt;&gt;"",G1054,E1054))</f>
        <v/>
      </c>
      <c r="J1054" s="21" t="str">
        <f aca="false">IF(B1054="","",IF(H1054&lt;&gt;"",H1054,F1054))</f>
        <v/>
      </c>
      <c r="K1054" s="26" t="str">
        <f aca="false">IF(A1054="","",DATE(YEAR(A1054),MONTH(A1054),1))</f>
        <v/>
      </c>
      <c r="L1054" s="21" t="str">
        <f aca="false">IF(J1054="",IF(B1054="","",IF(N(C1054)&gt;=0,"Income","Expense")),IFERROR(INDEX(Lists!$B$2:$B$30,MATCH(J1054,Lists!$A$2:$A$30,0)),""))</f>
        <v/>
      </c>
      <c r="M1054" s="24"/>
      <c r="N1054" s="27" t="str">
        <f aca="false">IF(B1054="","",IFERROR(1000-SUMPRODUCT(MAX(ISNUMBER(SEARCH(Rules!$A$5:$A$204,B1054))*(Rules!$A$5:$A$204&lt;&gt;"")*(1000-ROW(Rules!$A$5:$A$204)))),""))</f>
        <v/>
      </c>
    </row>
    <row r="1055" customFormat="false" ht="15" hidden="false" customHeight="false" outlineLevel="0" collapsed="false">
      <c r="A1055" s="23"/>
      <c r="B1055" s="24"/>
      <c r="C1055" s="25"/>
      <c r="D1055" s="24"/>
      <c r="E1055" s="21" t="str">
        <f aca="false">IF(OR(B1055="",N(N1055)=0,N1055=1000),IF(B1055="","","Check"),INDEX(Rules!$B:$B,N1055))</f>
        <v/>
      </c>
      <c r="F1055" s="21" t="str">
        <f aca="false">IF(OR(B1055="",N(N1055)=0,N1055=1000),"",INDEX(Rules!$C:$C,N1055))</f>
        <v/>
      </c>
      <c r="G1055" s="24"/>
      <c r="H1055" s="24"/>
      <c r="I1055" s="20" t="str">
        <f aca="false">IF(B1055="","",IF(G1055&lt;&gt;"",G1055,E1055))</f>
        <v/>
      </c>
      <c r="J1055" s="21" t="str">
        <f aca="false">IF(B1055="","",IF(H1055&lt;&gt;"",H1055,F1055))</f>
        <v/>
      </c>
      <c r="K1055" s="26" t="str">
        <f aca="false">IF(A1055="","",DATE(YEAR(A1055),MONTH(A1055),1))</f>
        <v/>
      </c>
      <c r="L1055" s="21" t="str">
        <f aca="false">IF(J1055="",IF(B1055="","",IF(N(C1055)&gt;=0,"Income","Expense")),IFERROR(INDEX(Lists!$B$2:$B$30,MATCH(J1055,Lists!$A$2:$A$30,0)),""))</f>
        <v/>
      </c>
      <c r="M1055" s="24"/>
      <c r="N1055" s="27" t="str">
        <f aca="false">IF(B1055="","",IFERROR(1000-SUMPRODUCT(MAX(ISNUMBER(SEARCH(Rules!$A$5:$A$204,B1055))*(Rules!$A$5:$A$204&lt;&gt;"")*(1000-ROW(Rules!$A$5:$A$204)))),""))</f>
        <v/>
      </c>
    </row>
    <row r="1056" customFormat="false" ht="15" hidden="false" customHeight="false" outlineLevel="0" collapsed="false">
      <c r="A1056" s="23"/>
      <c r="B1056" s="24"/>
      <c r="C1056" s="25"/>
      <c r="D1056" s="24"/>
      <c r="E1056" s="21" t="str">
        <f aca="false">IF(OR(B1056="",N(N1056)=0,N1056=1000),IF(B1056="","","Check"),INDEX(Rules!$B:$B,N1056))</f>
        <v/>
      </c>
      <c r="F1056" s="21" t="str">
        <f aca="false">IF(OR(B1056="",N(N1056)=0,N1056=1000),"",INDEX(Rules!$C:$C,N1056))</f>
        <v/>
      </c>
      <c r="G1056" s="24"/>
      <c r="H1056" s="24"/>
      <c r="I1056" s="20" t="str">
        <f aca="false">IF(B1056="","",IF(G1056&lt;&gt;"",G1056,E1056))</f>
        <v/>
      </c>
      <c r="J1056" s="21" t="str">
        <f aca="false">IF(B1056="","",IF(H1056&lt;&gt;"",H1056,F1056))</f>
        <v/>
      </c>
      <c r="K1056" s="26" t="str">
        <f aca="false">IF(A1056="","",DATE(YEAR(A1056),MONTH(A1056),1))</f>
        <v/>
      </c>
      <c r="L1056" s="21" t="str">
        <f aca="false">IF(J1056="",IF(B1056="","",IF(N(C1056)&gt;=0,"Income","Expense")),IFERROR(INDEX(Lists!$B$2:$B$30,MATCH(J1056,Lists!$A$2:$A$30,0)),""))</f>
        <v/>
      </c>
      <c r="M1056" s="24"/>
      <c r="N1056" s="27" t="str">
        <f aca="false">IF(B1056="","",IFERROR(1000-SUMPRODUCT(MAX(ISNUMBER(SEARCH(Rules!$A$5:$A$204,B1056))*(Rules!$A$5:$A$204&lt;&gt;"")*(1000-ROW(Rules!$A$5:$A$204)))),""))</f>
        <v/>
      </c>
    </row>
    <row r="1057" customFormat="false" ht="15" hidden="false" customHeight="false" outlineLevel="0" collapsed="false">
      <c r="A1057" s="23"/>
      <c r="B1057" s="24"/>
      <c r="C1057" s="25"/>
      <c r="D1057" s="24"/>
      <c r="E1057" s="21" t="str">
        <f aca="false">IF(OR(B1057="",N(N1057)=0,N1057=1000),IF(B1057="","","Check"),INDEX(Rules!$B:$B,N1057))</f>
        <v/>
      </c>
      <c r="F1057" s="21" t="str">
        <f aca="false">IF(OR(B1057="",N(N1057)=0,N1057=1000),"",INDEX(Rules!$C:$C,N1057))</f>
        <v/>
      </c>
      <c r="G1057" s="24"/>
      <c r="H1057" s="24"/>
      <c r="I1057" s="20" t="str">
        <f aca="false">IF(B1057="","",IF(G1057&lt;&gt;"",G1057,E1057))</f>
        <v/>
      </c>
      <c r="J1057" s="21" t="str">
        <f aca="false">IF(B1057="","",IF(H1057&lt;&gt;"",H1057,F1057))</f>
        <v/>
      </c>
      <c r="K1057" s="26" t="str">
        <f aca="false">IF(A1057="","",DATE(YEAR(A1057),MONTH(A1057),1))</f>
        <v/>
      </c>
      <c r="L1057" s="21" t="str">
        <f aca="false">IF(J1057="",IF(B1057="","",IF(N(C1057)&gt;=0,"Income","Expense")),IFERROR(INDEX(Lists!$B$2:$B$30,MATCH(J1057,Lists!$A$2:$A$30,0)),""))</f>
        <v/>
      </c>
      <c r="M1057" s="24"/>
      <c r="N1057" s="27" t="str">
        <f aca="false">IF(B1057="","",IFERROR(1000-SUMPRODUCT(MAX(ISNUMBER(SEARCH(Rules!$A$5:$A$204,B1057))*(Rules!$A$5:$A$204&lt;&gt;"")*(1000-ROW(Rules!$A$5:$A$204)))),""))</f>
        <v/>
      </c>
    </row>
    <row r="1058" customFormat="false" ht="15" hidden="false" customHeight="false" outlineLevel="0" collapsed="false">
      <c r="A1058" s="23"/>
      <c r="B1058" s="24"/>
      <c r="C1058" s="25"/>
      <c r="D1058" s="24"/>
      <c r="E1058" s="21" t="str">
        <f aca="false">IF(OR(B1058="",N(N1058)=0,N1058=1000),IF(B1058="","","Check"),INDEX(Rules!$B:$B,N1058))</f>
        <v/>
      </c>
      <c r="F1058" s="21" t="str">
        <f aca="false">IF(OR(B1058="",N(N1058)=0,N1058=1000),"",INDEX(Rules!$C:$C,N1058))</f>
        <v/>
      </c>
      <c r="G1058" s="24"/>
      <c r="H1058" s="24"/>
      <c r="I1058" s="20" t="str">
        <f aca="false">IF(B1058="","",IF(G1058&lt;&gt;"",G1058,E1058))</f>
        <v/>
      </c>
      <c r="J1058" s="21" t="str">
        <f aca="false">IF(B1058="","",IF(H1058&lt;&gt;"",H1058,F1058))</f>
        <v/>
      </c>
      <c r="K1058" s="26" t="str">
        <f aca="false">IF(A1058="","",DATE(YEAR(A1058),MONTH(A1058),1))</f>
        <v/>
      </c>
      <c r="L1058" s="21" t="str">
        <f aca="false">IF(J1058="",IF(B1058="","",IF(N(C1058)&gt;=0,"Income","Expense")),IFERROR(INDEX(Lists!$B$2:$B$30,MATCH(J1058,Lists!$A$2:$A$30,0)),""))</f>
        <v/>
      </c>
      <c r="M1058" s="24"/>
      <c r="N1058" s="27" t="str">
        <f aca="false">IF(B1058="","",IFERROR(1000-SUMPRODUCT(MAX(ISNUMBER(SEARCH(Rules!$A$5:$A$204,B1058))*(Rules!$A$5:$A$204&lt;&gt;"")*(1000-ROW(Rules!$A$5:$A$204)))),""))</f>
        <v/>
      </c>
    </row>
    <row r="1059" customFormat="false" ht="15" hidden="false" customHeight="false" outlineLevel="0" collapsed="false">
      <c r="A1059" s="23"/>
      <c r="B1059" s="24"/>
      <c r="C1059" s="25"/>
      <c r="D1059" s="24"/>
      <c r="E1059" s="21" t="str">
        <f aca="false">IF(OR(B1059="",N(N1059)=0,N1059=1000),IF(B1059="","","Check"),INDEX(Rules!$B:$B,N1059))</f>
        <v/>
      </c>
      <c r="F1059" s="21" t="str">
        <f aca="false">IF(OR(B1059="",N(N1059)=0,N1059=1000),"",INDEX(Rules!$C:$C,N1059))</f>
        <v/>
      </c>
      <c r="G1059" s="24"/>
      <c r="H1059" s="24"/>
      <c r="I1059" s="20" t="str">
        <f aca="false">IF(B1059="","",IF(G1059&lt;&gt;"",G1059,E1059))</f>
        <v/>
      </c>
      <c r="J1059" s="21" t="str">
        <f aca="false">IF(B1059="","",IF(H1059&lt;&gt;"",H1059,F1059))</f>
        <v/>
      </c>
      <c r="K1059" s="26" t="str">
        <f aca="false">IF(A1059="","",DATE(YEAR(A1059),MONTH(A1059),1))</f>
        <v/>
      </c>
      <c r="L1059" s="21" t="str">
        <f aca="false">IF(J1059="",IF(B1059="","",IF(N(C1059)&gt;=0,"Income","Expense")),IFERROR(INDEX(Lists!$B$2:$B$30,MATCH(J1059,Lists!$A$2:$A$30,0)),""))</f>
        <v/>
      </c>
      <c r="M1059" s="24"/>
      <c r="N1059" s="27" t="str">
        <f aca="false">IF(B1059="","",IFERROR(1000-SUMPRODUCT(MAX(ISNUMBER(SEARCH(Rules!$A$5:$A$204,B1059))*(Rules!$A$5:$A$204&lt;&gt;"")*(1000-ROW(Rules!$A$5:$A$204)))),""))</f>
        <v/>
      </c>
    </row>
    <row r="1060" customFormat="false" ht="15" hidden="false" customHeight="false" outlineLevel="0" collapsed="false">
      <c r="A1060" s="23"/>
      <c r="B1060" s="24"/>
      <c r="C1060" s="25"/>
      <c r="D1060" s="24"/>
      <c r="E1060" s="21" t="str">
        <f aca="false">IF(OR(B1060="",N(N1060)=0,N1060=1000),IF(B1060="","","Check"),INDEX(Rules!$B:$B,N1060))</f>
        <v/>
      </c>
      <c r="F1060" s="21" t="str">
        <f aca="false">IF(OR(B1060="",N(N1060)=0,N1060=1000),"",INDEX(Rules!$C:$C,N1060))</f>
        <v/>
      </c>
      <c r="G1060" s="24"/>
      <c r="H1060" s="24"/>
      <c r="I1060" s="20" t="str">
        <f aca="false">IF(B1060="","",IF(G1060&lt;&gt;"",G1060,E1060))</f>
        <v/>
      </c>
      <c r="J1060" s="21" t="str">
        <f aca="false">IF(B1060="","",IF(H1060&lt;&gt;"",H1060,F1060))</f>
        <v/>
      </c>
      <c r="K1060" s="26" t="str">
        <f aca="false">IF(A1060="","",DATE(YEAR(A1060),MONTH(A1060),1))</f>
        <v/>
      </c>
      <c r="L1060" s="21" t="str">
        <f aca="false">IF(J1060="",IF(B1060="","",IF(N(C1060)&gt;=0,"Income","Expense")),IFERROR(INDEX(Lists!$B$2:$B$30,MATCH(J1060,Lists!$A$2:$A$30,0)),""))</f>
        <v/>
      </c>
      <c r="M1060" s="24"/>
      <c r="N1060" s="27" t="str">
        <f aca="false">IF(B1060="","",IFERROR(1000-SUMPRODUCT(MAX(ISNUMBER(SEARCH(Rules!$A$5:$A$204,B1060))*(Rules!$A$5:$A$204&lt;&gt;"")*(1000-ROW(Rules!$A$5:$A$204)))),""))</f>
        <v/>
      </c>
    </row>
    <row r="1061" customFormat="false" ht="15" hidden="false" customHeight="false" outlineLevel="0" collapsed="false">
      <c r="A1061" s="23"/>
      <c r="B1061" s="24"/>
      <c r="C1061" s="25"/>
      <c r="D1061" s="24"/>
      <c r="E1061" s="21" t="str">
        <f aca="false">IF(OR(B1061="",N(N1061)=0,N1061=1000),IF(B1061="","","Check"),INDEX(Rules!$B:$B,N1061))</f>
        <v/>
      </c>
      <c r="F1061" s="21" t="str">
        <f aca="false">IF(OR(B1061="",N(N1061)=0,N1061=1000),"",INDEX(Rules!$C:$C,N1061))</f>
        <v/>
      </c>
      <c r="G1061" s="24"/>
      <c r="H1061" s="24"/>
      <c r="I1061" s="20" t="str">
        <f aca="false">IF(B1061="","",IF(G1061&lt;&gt;"",G1061,E1061))</f>
        <v/>
      </c>
      <c r="J1061" s="21" t="str">
        <f aca="false">IF(B1061="","",IF(H1061&lt;&gt;"",H1061,F1061))</f>
        <v/>
      </c>
      <c r="K1061" s="26" t="str">
        <f aca="false">IF(A1061="","",DATE(YEAR(A1061),MONTH(A1061),1))</f>
        <v/>
      </c>
      <c r="L1061" s="21" t="str">
        <f aca="false">IF(J1061="",IF(B1061="","",IF(N(C1061)&gt;=0,"Income","Expense")),IFERROR(INDEX(Lists!$B$2:$B$30,MATCH(J1061,Lists!$A$2:$A$30,0)),""))</f>
        <v/>
      </c>
      <c r="M1061" s="24"/>
      <c r="N1061" s="27" t="str">
        <f aca="false">IF(B1061="","",IFERROR(1000-SUMPRODUCT(MAX(ISNUMBER(SEARCH(Rules!$A$5:$A$204,B1061))*(Rules!$A$5:$A$204&lt;&gt;"")*(1000-ROW(Rules!$A$5:$A$204)))),""))</f>
        <v/>
      </c>
    </row>
    <row r="1062" customFormat="false" ht="15" hidden="false" customHeight="false" outlineLevel="0" collapsed="false">
      <c r="A1062" s="23"/>
      <c r="B1062" s="24"/>
      <c r="C1062" s="25"/>
      <c r="D1062" s="24"/>
      <c r="E1062" s="21" t="str">
        <f aca="false">IF(OR(B1062="",N(N1062)=0,N1062=1000),IF(B1062="","","Check"),INDEX(Rules!$B:$B,N1062))</f>
        <v/>
      </c>
      <c r="F1062" s="21" t="str">
        <f aca="false">IF(OR(B1062="",N(N1062)=0,N1062=1000),"",INDEX(Rules!$C:$C,N1062))</f>
        <v/>
      </c>
      <c r="G1062" s="24"/>
      <c r="H1062" s="24"/>
      <c r="I1062" s="20" t="str">
        <f aca="false">IF(B1062="","",IF(G1062&lt;&gt;"",G1062,E1062))</f>
        <v/>
      </c>
      <c r="J1062" s="21" t="str">
        <f aca="false">IF(B1062="","",IF(H1062&lt;&gt;"",H1062,F1062))</f>
        <v/>
      </c>
      <c r="K1062" s="26" t="str">
        <f aca="false">IF(A1062="","",DATE(YEAR(A1062),MONTH(A1062),1))</f>
        <v/>
      </c>
      <c r="L1062" s="21" t="str">
        <f aca="false">IF(J1062="",IF(B1062="","",IF(N(C1062)&gt;=0,"Income","Expense")),IFERROR(INDEX(Lists!$B$2:$B$30,MATCH(J1062,Lists!$A$2:$A$30,0)),""))</f>
        <v/>
      </c>
      <c r="M1062" s="24"/>
      <c r="N1062" s="27" t="str">
        <f aca="false">IF(B1062="","",IFERROR(1000-SUMPRODUCT(MAX(ISNUMBER(SEARCH(Rules!$A$5:$A$204,B1062))*(Rules!$A$5:$A$204&lt;&gt;"")*(1000-ROW(Rules!$A$5:$A$204)))),""))</f>
        <v/>
      </c>
    </row>
    <row r="1063" customFormat="false" ht="15" hidden="false" customHeight="false" outlineLevel="0" collapsed="false">
      <c r="A1063" s="23"/>
      <c r="B1063" s="24"/>
      <c r="C1063" s="25"/>
      <c r="D1063" s="24"/>
      <c r="E1063" s="21" t="str">
        <f aca="false">IF(OR(B1063="",N(N1063)=0,N1063=1000),IF(B1063="","","Check"),INDEX(Rules!$B:$B,N1063))</f>
        <v/>
      </c>
      <c r="F1063" s="21" t="str">
        <f aca="false">IF(OR(B1063="",N(N1063)=0,N1063=1000),"",INDEX(Rules!$C:$C,N1063))</f>
        <v/>
      </c>
      <c r="G1063" s="24"/>
      <c r="H1063" s="24"/>
      <c r="I1063" s="20" t="str">
        <f aca="false">IF(B1063="","",IF(G1063&lt;&gt;"",G1063,E1063))</f>
        <v/>
      </c>
      <c r="J1063" s="21" t="str">
        <f aca="false">IF(B1063="","",IF(H1063&lt;&gt;"",H1063,F1063))</f>
        <v/>
      </c>
      <c r="K1063" s="26" t="str">
        <f aca="false">IF(A1063="","",DATE(YEAR(A1063),MONTH(A1063),1))</f>
        <v/>
      </c>
      <c r="L1063" s="21" t="str">
        <f aca="false">IF(J1063="",IF(B1063="","",IF(N(C1063)&gt;=0,"Income","Expense")),IFERROR(INDEX(Lists!$B$2:$B$30,MATCH(J1063,Lists!$A$2:$A$30,0)),""))</f>
        <v/>
      </c>
      <c r="M1063" s="24"/>
      <c r="N1063" s="27" t="str">
        <f aca="false">IF(B1063="","",IFERROR(1000-SUMPRODUCT(MAX(ISNUMBER(SEARCH(Rules!$A$5:$A$204,B1063))*(Rules!$A$5:$A$204&lt;&gt;"")*(1000-ROW(Rules!$A$5:$A$204)))),""))</f>
        <v/>
      </c>
    </row>
    <row r="1064" customFormat="false" ht="15" hidden="false" customHeight="false" outlineLevel="0" collapsed="false">
      <c r="A1064" s="23"/>
      <c r="B1064" s="24"/>
      <c r="C1064" s="25"/>
      <c r="D1064" s="24"/>
      <c r="E1064" s="21" t="str">
        <f aca="false">IF(OR(B1064="",N(N1064)=0,N1064=1000),IF(B1064="","","Check"),INDEX(Rules!$B:$B,N1064))</f>
        <v/>
      </c>
      <c r="F1064" s="21" t="str">
        <f aca="false">IF(OR(B1064="",N(N1064)=0,N1064=1000),"",INDEX(Rules!$C:$C,N1064))</f>
        <v/>
      </c>
      <c r="G1064" s="24"/>
      <c r="H1064" s="24"/>
      <c r="I1064" s="20" t="str">
        <f aca="false">IF(B1064="","",IF(G1064&lt;&gt;"",G1064,E1064))</f>
        <v/>
      </c>
      <c r="J1064" s="21" t="str">
        <f aca="false">IF(B1064="","",IF(H1064&lt;&gt;"",H1064,F1064))</f>
        <v/>
      </c>
      <c r="K1064" s="26" t="str">
        <f aca="false">IF(A1064="","",DATE(YEAR(A1064),MONTH(A1064),1))</f>
        <v/>
      </c>
      <c r="L1064" s="21" t="str">
        <f aca="false">IF(J1064="",IF(B1064="","",IF(N(C1064)&gt;=0,"Income","Expense")),IFERROR(INDEX(Lists!$B$2:$B$30,MATCH(J1064,Lists!$A$2:$A$30,0)),""))</f>
        <v/>
      </c>
      <c r="M1064" s="24"/>
      <c r="N1064" s="27" t="str">
        <f aca="false">IF(B1064="","",IFERROR(1000-SUMPRODUCT(MAX(ISNUMBER(SEARCH(Rules!$A$5:$A$204,B1064))*(Rules!$A$5:$A$204&lt;&gt;"")*(1000-ROW(Rules!$A$5:$A$204)))),""))</f>
        <v/>
      </c>
    </row>
    <row r="1065" customFormat="false" ht="15" hidden="false" customHeight="false" outlineLevel="0" collapsed="false">
      <c r="A1065" s="23"/>
      <c r="B1065" s="24"/>
      <c r="C1065" s="25"/>
      <c r="D1065" s="24"/>
      <c r="E1065" s="21" t="str">
        <f aca="false">IF(OR(B1065="",N(N1065)=0,N1065=1000),IF(B1065="","","Check"),INDEX(Rules!$B:$B,N1065))</f>
        <v/>
      </c>
      <c r="F1065" s="21" t="str">
        <f aca="false">IF(OR(B1065="",N(N1065)=0,N1065=1000),"",INDEX(Rules!$C:$C,N1065))</f>
        <v/>
      </c>
      <c r="G1065" s="24"/>
      <c r="H1065" s="24"/>
      <c r="I1065" s="20" t="str">
        <f aca="false">IF(B1065="","",IF(G1065&lt;&gt;"",G1065,E1065))</f>
        <v/>
      </c>
      <c r="J1065" s="21" t="str">
        <f aca="false">IF(B1065="","",IF(H1065&lt;&gt;"",H1065,F1065))</f>
        <v/>
      </c>
      <c r="K1065" s="26" t="str">
        <f aca="false">IF(A1065="","",DATE(YEAR(A1065),MONTH(A1065),1))</f>
        <v/>
      </c>
      <c r="L1065" s="21" t="str">
        <f aca="false">IF(J1065="",IF(B1065="","",IF(N(C1065)&gt;=0,"Income","Expense")),IFERROR(INDEX(Lists!$B$2:$B$30,MATCH(J1065,Lists!$A$2:$A$30,0)),""))</f>
        <v/>
      </c>
      <c r="M1065" s="24"/>
      <c r="N1065" s="27" t="str">
        <f aca="false">IF(B1065="","",IFERROR(1000-SUMPRODUCT(MAX(ISNUMBER(SEARCH(Rules!$A$5:$A$204,B1065))*(Rules!$A$5:$A$204&lt;&gt;"")*(1000-ROW(Rules!$A$5:$A$204)))),""))</f>
        <v/>
      </c>
    </row>
    <row r="1066" customFormat="false" ht="15" hidden="false" customHeight="false" outlineLevel="0" collapsed="false">
      <c r="A1066" s="23"/>
      <c r="B1066" s="24"/>
      <c r="C1066" s="25"/>
      <c r="D1066" s="24"/>
      <c r="E1066" s="21" t="str">
        <f aca="false">IF(OR(B1066="",N(N1066)=0,N1066=1000),IF(B1066="","","Check"),INDEX(Rules!$B:$B,N1066))</f>
        <v/>
      </c>
      <c r="F1066" s="21" t="str">
        <f aca="false">IF(OR(B1066="",N(N1066)=0,N1066=1000),"",INDEX(Rules!$C:$C,N1066))</f>
        <v/>
      </c>
      <c r="G1066" s="24"/>
      <c r="H1066" s="24"/>
      <c r="I1066" s="20" t="str">
        <f aca="false">IF(B1066="","",IF(G1066&lt;&gt;"",G1066,E1066))</f>
        <v/>
      </c>
      <c r="J1066" s="21" t="str">
        <f aca="false">IF(B1066="","",IF(H1066&lt;&gt;"",H1066,F1066))</f>
        <v/>
      </c>
      <c r="K1066" s="26" t="str">
        <f aca="false">IF(A1066="","",DATE(YEAR(A1066),MONTH(A1066),1))</f>
        <v/>
      </c>
      <c r="L1066" s="21" t="str">
        <f aca="false">IF(J1066="",IF(B1066="","",IF(N(C1066)&gt;=0,"Income","Expense")),IFERROR(INDEX(Lists!$B$2:$B$30,MATCH(J1066,Lists!$A$2:$A$30,0)),""))</f>
        <v/>
      </c>
      <c r="M1066" s="24"/>
      <c r="N1066" s="27" t="str">
        <f aca="false">IF(B1066="","",IFERROR(1000-SUMPRODUCT(MAX(ISNUMBER(SEARCH(Rules!$A$5:$A$204,B1066))*(Rules!$A$5:$A$204&lt;&gt;"")*(1000-ROW(Rules!$A$5:$A$204)))),""))</f>
        <v/>
      </c>
    </row>
    <row r="1067" customFormat="false" ht="15" hidden="false" customHeight="false" outlineLevel="0" collapsed="false">
      <c r="A1067" s="23"/>
      <c r="B1067" s="24"/>
      <c r="C1067" s="25"/>
      <c r="D1067" s="24"/>
      <c r="E1067" s="21" t="str">
        <f aca="false">IF(OR(B1067="",N(N1067)=0,N1067=1000),IF(B1067="","","Check"),INDEX(Rules!$B:$B,N1067))</f>
        <v/>
      </c>
      <c r="F1067" s="21" t="str">
        <f aca="false">IF(OR(B1067="",N(N1067)=0,N1067=1000),"",INDEX(Rules!$C:$C,N1067))</f>
        <v/>
      </c>
      <c r="G1067" s="24"/>
      <c r="H1067" s="24"/>
      <c r="I1067" s="20" t="str">
        <f aca="false">IF(B1067="","",IF(G1067&lt;&gt;"",G1067,E1067))</f>
        <v/>
      </c>
      <c r="J1067" s="21" t="str">
        <f aca="false">IF(B1067="","",IF(H1067&lt;&gt;"",H1067,F1067))</f>
        <v/>
      </c>
      <c r="K1067" s="26" t="str">
        <f aca="false">IF(A1067="","",DATE(YEAR(A1067),MONTH(A1067),1))</f>
        <v/>
      </c>
      <c r="L1067" s="21" t="str">
        <f aca="false">IF(J1067="",IF(B1067="","",IF(N(C1067)&gt;=0,"Income","Expense")),IFERROR(INDEX(Lists!$B$2:$B$30,MATCH(J1067,Lists!$A$2:$A$30,0)),""))</f>
        <v/>
      </c>
      <c r="M1067" s="24"/>
      <c r="N1067" s="27" t="str">
        <f aca="false">IF(B1067="","",IFERROR(1000-SUMPRODUCT(MAX(ISNUMBER(SEARCH(Rules!$A$5:$A$204,B1067))*(Rules!$A$5:$A$204&lt;&gt;"")*(1000-ROW(Rules!$A$5:$A$204)))),""))</f>
        <v/>
      </c>
    </row>
    <row r="1068" customFormat="false" ht="15" hidden="false" customHeight="false" outlineLevel="0" collapsed="false">
      <c r="A1068" s="23"/>
      <c r="B1068" s="24"/>
      <c r="C1068" s="25"/>
      <c r="D1068" s="24"/>
      <c r="E1068" s="21" t="str">
        <f aca="false">IF(OR(B1068="",N(N1068)=0,N1068=1000),IF(B1068="","","Check"),INDEX(Rules!$B:$B,N1068))</f>
        <v/>
      </c>
      <c r="F1068" s="21" t="str">
        <f aca="false">IF(OR(B1068="",N(N1068)=0,N1068=1000),"",INDEX(Rules!$C:$C,N1068))</f>
        <v/>
      </c>
      <c r="G1068" s="24"/>
      <c r="H1068" s="24"/>
      <c r="I1068" s="20" t="str">
        <f aca="false">IF(B1068="","",IF(G1068&lt;&gt;"",G1068,E1068))</f>
        <v/>
      </c>
      <c r="J1068" s="21" t="str">
        <f aca="false">IF(B1068="","",IF(H1068&lt;&gt;"",H1068,F1068))</f>
        <v/>
      </c>
      <c r="K1068" s="26" t="str">
        <f aca="false">IF(A1068="","",DATE(YEAR(A1068),MONTH(A1068),1))</f>
        <v/>
      </c>
      <c r="L1068" s="21" t="str">
        <f aca="false">IF(J1068="",IF(B1068="","",IF(N(C1068)&gt;=0,"Income","Expense")),IFERROR(INDEX(Lists!$B$2:$B$30,MATCH(J1068,Lists!$A$2:$A$30,0)),""))</f>
        <v/>
      </c>
      <c r="M1068" s="24"/>
      <c r="N1068" s="27" t="str">
        <f aca="false">IF(B1068="","",IFERROR(1000-SUMPRODUCT(MAX(ISNUMBER(SEARCH(Rules!$A$5:$A$204,B1068))*(Rules!$A$5:$A$204&lt;&gt;"")*(1000-ROW(Rules!$A$5:$A$204)))),""))</f>
        <v/>
      </c>
    </row>
    <row r="1069" customFormat="false" ht="15" hidden="false" customHeight="false" outlineLevel="0" collapsed="false">
      <c r="A1069" s="23"/>
      <c r="B1069" s="24"/>
      <c r="C1069" s="25"/>
      <c r="D1069" s="24"/>
      <c r="E1069" s="21" t="str">
        <f aca="false">IF(OR(B1069="",N(N1069)=0,N1069=1000),IF(B1069="","","Check"),INDEX(Rules!$B:$B,N1069))</f>
        <v/>
      </c>
      <c r="F1069" s="21" t="str">
        <f aca="false">IF(OR(B1069="",N(N1069)=0,N1069=1000),"",INDEX(Rules!$C:$C,N1069))</f>
        <v/>
      </c>
      <c r="G1069" s="24"/>
      <c r="H1069" s="24"/>
      <c r="I1069" s="20" t="str">
        <f aca="false">IF(B1069="","",IF(G1069&lt;&gt;"",G1069,E1069))</f>
        <v/>
      </c>
      <c r="J1069" s="21" t="str">
        <f aca="false">IF(B1069="","",IF(H1069&lt;&gt;"",H1069,F1069))</f>
        <v/>
      </c>
      <c r="K1069" s="26" t="str">
        <f aca="false">IF(A1069="","",DATE(YEAR(A1069),MONTH(A1069),1))</f>
        <v/>
      </c>
      <c r="L1069" s="21" t="str">
        <f aca="false">IF(J1069="",IF(B1069="","",IF(N(C1069)&gt;=0,"Income","Expense")),IFERROR(INDEX(Lists!$B$2:$B$30,MATCH(J1069,Lists!$A$2:$A$30,0)),""))</f>
        <v/>
      </c>
      <c r="M1069" s="24"/>
      <c r="N1069" s="27" t="str">
        <f aca="false">IF(B1069="","",IFERROR(1000-SUMPRODUCT(MAX(ISNUMBER(SEARCH(Rules!$A$5:$A$204,B1069))*(Rules!$A$5:$A$204&lt;&gt;"")*(1000-ROW(Rules!$A$5:$A$204)))),""))</f>
        <v/>
      </c>
    </row>
    <row r="1070" customFormat="false" ht="15" hidden="false" customHeight="false" outlineLevel="0" collapsed="false">
      <c r="A1070" s="23"/>
      <c r="B1070" s="24"/>
      <c r="C1070" s="25"/>
      <c r="D1070" s="24"/>
      <c r="E1070" s="21" t="str">
        <f aca="false">IF(OR(B1070="",N(N1070)=0,N1070=1000),IF(B1070="","","Check"),INDEX(Rules!$B:$B,N1070))</f>
        <v/>
      </c>
      <c r="F1070" s="21" t="str">
        <f aca="false">IF(OR(B1070="",N(N1070)=0,N1070=1000),"",INDEX(Rules!$C:$C,N1070))</f>
        <v/>
      </c>
      <c r="G1070" s="24"/>
      <c r="H1070" s="24"/>
      <c r="I1070" s="20" t="str">
        <f aca="false">IF(B1070="","",IF(G1070&lt;&gt;"",G1070,E1070))</f>
        <v/>
      </c>
      <c r="J1070" s="21" t="str">
        <f aca="false">IF(B1070="","",IF(H1070&lt;&gt;"",H1070,F1070))</f>
        <v/>
      </c>
      <c r="K1070" s="26" t="str">
        <f aca="false">IF(A1070="","",DATE(YEAR(A1070),MONTH(A1070),1))</f>
        <v/>
      </c>
      <c r="L1070" s="21" t="str">
        <f aca="false">IF(J1070="",IF(B1070="","",IF(N(C1070)&gt;=0,"Income","Expense")),IFERROR(INDEX(Lists!$B$2:$B$30,MATCH(J1070,Lists!$A$2:$A$30,0)),""))</f>
        <v/>
      </c>
      <c r="M1070" s="24"/>
      <c r="N1070" s="27" t="str">
        <f aca="false">IF(B1070="","",IFERROR(1000-SUMPRODUCT(MAX(ISNUMBER(SEARCH(Rules!$A$5:$A$204,B1070))*(Rules!$A$5:$A$204&lt;&gt;"")*(1000-ROW(Rules!$A$5:$A$204)))),""))</f>
        <v/>
      </c>
    </row>
    <row r="1071" customFormat="false" ht="15" hidden="false" customHeight="false" outlineLevel="0" collapsed="false">
      <c r="A1071" s="23"/>
      <c r="B1071" s="24"/>
      <c r="C1071" s="25"/>
      <c r="D1071" s="24"/>
      <c r="E1071" s="21" t="str">
        <f aca="false">IF(OR(B1071="",N(N1071)=0,N1071=1000),IF(B1071="","","Check"),INDEX(Rules!$B:$B,N1071))</f>
        <v/>
      </c>
      <c r="F1071" s="21" t="str">
        <f aca="false">IF(OR(B1071="",N(N1071)=0,N1071=1000),"",INDEX(Rules!$C:$C,N1071))</f>
        <v/>
      </c>
      <c r="G1071" s="24"/>
      <c r="H1071" s="24"/>
      <c r="I1071" s="20" t="str">
        <f aca="false">IF(B1071="","",IF(G1071&lt;&gt;"",G1071,E1071))</f>
        <v/>
      </c>
      <c r="J1071" s="21" t="str">
        <f aca="false">IF(B1071="","",IF(H1071&lt;&gt;"",H1071,F1071))</f>
        <v/>
      </c>
      <c r="K1071" s="26" t="str">
        <f aca="false">IF(A1071="","",DATE(YEAR(A1071),MONTH(A1071),1))</f>
        <v/>
      </c>
      <c r="L1071" s="21" t="str">
        <f aca="false">IF(J1071="",IF(B1071="","",IF(N(C1071)&gt;=0,"Income","Expense")),IFERROR(INDEX(Lists!$B$2:$B$30,MATCH(J1071,Lists!$A$2:$A$30,0)),""))</f>
        <v/>
      </c>
      <c r="M1071" s="24"/>
      <c r="N1071" s="27" t="str">
        <f aca="false">IF(B1071="","",IFERROR(1000-SUMPRODUCT(MAX(ISNUMBER(SEARCH(Rules!$A$5:$A$204,B1071))*(Rules!$A$5:$A$204&lt;&gt;"")*(1000-ROW(Rules!$A$5:$A$204)))),""))</f>
        <v/>
      </c>
    </row>
    <row r="1072" customFormat="false" ht="15" hidden="false" customHeight="false" outlineLevel="0" collapsed="false">
      <c r="A1072" s="23"/>
      <c r="B1072" s="24"/>
      <c r="C1072" s="25"/>
      <c r="D1072" s="24"/>
      <c r="E1072" s="21" t="str">
        <f aca="false">IF(OR(B1072="",N(N1072)=0,N1072=1000),IF(B1072="","","Check"),INDEX(Rules!$B:$B,N1072))</f>
        <v/>
      </c>
      <c r="F1072" s="21" t="str">
        <f aca="false">IF(OR(B1072="",N(N1072)=0,N1072=1000),"",INDEX(Rules!$C:$C,N1072))</f>
        <v/>
      </c>
      <c r="G1072" s="24"/>
      <c r="H1072" s="24"/>
      <c r="I1072" s="20" t="str">
        <f aca="false">IF(B1072="","",IF(G1072&lt;&gt;"",G1072,E1072))</f>
        <v/>
      </c>
      <c r="J1072" s="21" t="str">
        <f aca="false">IF(B1072="","",IF(H1072&lt;&gt;"",H1072,F1072))</f>
        <v/>
      </c>
      <c r="K1072" s="26" t="str">
        <f aca="false">IF(A1072="","",DATE(YEAR(A1072),MONTH(A1072),1))</f>
        <v/>
      </c>
      <c r="L1072" s="21" t="str">
        <f aca="false">IF(J1072="",IF(B1072="","",IF(N(C1072)&gt;=0,"Income","Expense")),IFERROR(INDEX(Lists!$B$2:$B$30,MATCH(J1072,Lists!$A$2:$A$30,0)),""))</f>
        <v/>
      </c>
      <c r="M1072" s="24"/>
      <c r="N1072" s="27" t="str">
        <f aca="false">IF(B1072="","",IFERROR(1000-SUMPRODUCT(MAX(ISNUMBER(SEARCH(Rules!$A$5:$A$204,B1072))*(Rules!$A$5:$A$204&lt;&gt;"")*(1000-ROW(Rules!$A$5:$A$204)))),""))</f>
        <v/>
      </c>
    </row>
    <row r="1073" customFormat="false" ht="15" hidden="false" customHeight="false" outlineLevel="0" collapsed="false">
      <c r="A1073" s="23"/>
      <c r="B1073" s="24"/>
      <c r="C1073" s="25"/>
      <c r="D1073" s="24"/>
      <c r="E1073" s="21" t="str">
        <f aca="false">IF(OR(B1073="",N(N1073)=0,N1073=1000),IF(B1073="","","Check"),INDEX(Rules!$B:$B,N1073))</f>
        <v/>
      </c>
      <c r="F1073" s="21" t="str">
        <f aca="false">IF(OR(B1073="",N(N1073)=0,N1073=1000),"",INDEX(Rules!$C:$C,N1073))</f>
        <v/>
      </c>
      <c r="G1073" s="24"/>
      <c r="H1073" s="24"/>
      <c r="I1073" s="20" t="str">
        <f aca="false">IF(B1073="","",IF(G1073&lt;&gt;"",G1073,E1073))</f>
        <v/>
      </c>
      <c r="J1073" s="21" t="str">
        <f aca="false">IF(B1073="","",IF(H1073&lt;&gt;"",H1073,F1073))</f>
        <v/>
      </c>
      <c r="K1073" s="26" t="str">
        <f aca="false">IF(A1073="","",DATE(YEAR(A1073),MONTH(A1073),1))</f>
        <v/>
      </c>
      <c r="L1073" s="21" t="str">
        <f aca="false">IF(J1073="",IF(B1073="","",IF(N(C1073)&gt;=0,"Income","Expense")),IFERROR(INDEX(Lists!$B$2:$B$30,MATCH(J1073,Lists!$A$2:$A$30,0)),""))</f>
        <v/>
      </c>
      <c r="M1073" s="24"/>
      <c r="N1073" s="27" t="str">
        <f aca="false">IF(B1073="","",IFERROR(1000-SUMPRODUCT(MAX(ISNUMBER(SEARCH(Rules!$A$5:$A$204,B1073))*(Rules!$A$5:$A$204&lt;&gt;"")*(1000-ROW(Rules!$A$5:$A$204)))),""))</f>
        <v/>
      </c>
    </row>
    <row r="1074" customFormat="false" ht="15" hidden="false" customHeight="false" outlineLevel="0" collapsed="false">
      <c r="A1074" s="23"/>
      <c r="B1074" s="24"/>
      <c r="C1074" s="25"/>
      <c r="D1074" s="24"/>
      <c r="E1074" s="21" t="str">
        <f aca="false">IF(OR(B1074="",N(N1074)=0,N1074=1000),IF(B1074="","","Check"),INDEX(Rules!$B:$B,N1074))</f>
        <v/>
      </c>
      <c r="F1074" s="21" t="str">
        <f aca="false">IF(OR(B1074="",N(N1074)=0,N1074=1000),"",INDEX(Rules!$C:$C,N1074))</f>
        <v/>
      </c>
      <c r="G1074" s="24"/>
      <c r="H1074" s="24"/>
      <c r="I1074" s="20" t="str">
        <f aca="false">IF(B1074="","",IF(G1074&lt;&gt;"",G1074,E1074))</f>
        <v/>
      </c>
      <c r="J1074" s="21" t="str">
        <f aca="false">IF(B1074="","",IF(H1074&lt;&gt;"",H1074,F1074))</f>
        <v/>
      </c>
      <c r="K1074" s="26" t="str">
        <f aca="false">IF(A1074="","",DATE(YEAR(A1074),MONTH(A1074),1))</f>
        <v/>
      </c>
      <c r="L1074" s="21" t="str">
        <f aca="false">IF(J1074="",IF(B1074="","",IF(N(C1074)&gt;=0,"Income","Expense")),IFERROR(INDEX(Lists!$B$2:$B$30,MATCH(J1074,Lists!$A$2:$A$30,0)),""))</f>
        <v/>
      </c>
      <c r="M1074" s="24"/>
      <c r="N1074" s="27" t="str">
        <f aca="false">IF(B1074="","",IFERROR(1000-SUMPRODUCT(MAX(ISNUMBER(SEARCH(Rules!$A$5:$A$204,B1074))*(Rules!$A$5:$A$204&lt;&gt;"")*(1000-ROW(Rules!$A$5:$A$204)))),""))</f>
        <v/>
      </c>
    </row>
    <row r="1075" customFormat="false" ht="15" hidden="false" customHeight="false" outlineLevel="0" collapsed="false">
      <c r="A1075" s="23"/>
      <c r="B1075" s="24"/>
      <c r="C1075" s="25"/>
      <c r="D1075" s="24"/>
      <c r="E1075" s="21" t="str">
        <f aca="false">IF(OR(B1075="",N(N1075)=0,N1075=1000),IF(B1075="","","Check"),INDEX(Rules!$B:$B,N1075))</f>
        <v/>
      </c>
      <c r="F1075" s="21" t="str">
        <f aca="false">IF(OR(B1075="",N(N1075)=0,N1075=1000),"",INDEX(Rules!$C:$C,N1075))</f>
        <v/>
      </c>
      <c r="G1075" s="24"/>
      <c r="H1075" s="24"/>
      <c r="I1075" s="20" t="str">
        <f aca="false">IF(B1075="","",IF(G1075&lt;&gt;"",G1075,E1075))</f>
        <v/>
      </c>
      <c r="J1075" s="21" t="str">
        <f aca="false">IF(B1075="","",IF(H1075&lt;&gt;"",H1075,F1075))</f>
        <v/>
      </c>
      <c r="K1075" s="26" t="str">
        <f aca="false">IF(A1075="","",DATE(YEAR(A1075),MONTH(A1075),1))</f>
        <v/>
      </c>
      <c r="L1075" s="21" t="str">
        <f aca="false">IF(J1075="",IF(B1075="","",IF(N(C1075)&gt;=0,"Income","Expense")),IFERROR(INDEX(Lists!$B$2:$B$30,MATCH(J1075,Lists!$A$2:$A$30,0)),""))</f>
        <v/>
      </c>
      <c r="M1075" s="24"/>
      <c r="N1075" s="27" t="str">
        <f aca="false">IF(B1075="","",IFERROR(1000-SUMPRODUCT(MAX(ISNUMBER(SEARCH(Rules!$A$5:$A$204,B1075))*(Rules!$A$5:$A$204&lt;&gt;"")*(1000-ROW(Rules!$A$5:$A$204)))),""))</f>
        <v/>
      </c>
    </row>
    <row r="1076" customFormat="false" ht="15" hidden="false" customHeight="false" outlineLevel="0" collapsed="false">
      <c r="A1076" s="23"/>
      <c r="B1076" s="24"/>
      <c r="C1076" s="25"/>
      <c r="D1076" s="24"/>
      <c r="E1076" s="21" t="str">
        <f aca="false">IF(OR(B1076="",N(N1076)=0,N1076=1000),IF(B1076="","","Check"),INDEX(Rules!$B:$B,N1076))</f>
        <v/>
      </c>
      <c r="F1076" s="21" t="str">
        <f aca="false">IF(OR(B1076="",N(N1076)=0,N1076=1000),"",INDEX(Rules!$C:$C,N1076))</f>
        <v/>
      </c>
      <c r="G1076" s="24"/>
      <c r="H1076" s="24"/>
      <c r="I1076" s="20" t="str">
        <f aca="false">IF(B1076="","",IF(G1076&lt;&gt;"",G1076,E1076))</f>
        <v/>
      </c>
      <c r="J1076" s="21" t="str">
        <f aca="false">IF(B1076="","",IF(H1076&lt;&gt;"",H1076,F1076))</f>
        <v/>
      </c>
      <c r="K1076" s="26" t="str">
        <f aca="false">IF(A1076="","",DATE(YEAR(A1076),MONTH(A1076),1))</f>
        <v/>
      </c>
      <c r="L1076" s="21" t="str">
        <f aca="false">IF(J1076="",IF(B1076="","",IF(N(C1076)&gt;=0,"Income","Expense")),IFERROR(INDEX(Lists!$B$2:$B$30,MATCH(J1076,Lists!$A$2:$A$30,0)),""))</f>
        <v/>
      </c>
      <c r="M1076" s="24"/>
      <c r="N1076" s="27" t="str">
        <f aca="false">IF(B1076="","",IFERROR(1000-SUMPRODUCT(MAX(ISNUMBER(SEARCH(Rules!$A$5:$A$204,B1076))*(Rules!$A$5:$A$204&lt;&gt;"")*(1000-ROW(Rules!$A$5:$A$204)))),""))</f>
        <v/>
      </c>
    </row>
    <row r="1077" customFormat="false" ht="15" hidden="false" customHeight="false" outlineLevel="0" collapsed="false">
      <c r="A1077" s="23"/>
      <c r="B1077" s="24"/>
      <c r="C1077" s="25"/>
      <c r="D1077" s="24"/>
      <c r="E1077" s="21" t="str">
        <f aca="false">IF(OR(B1077="",N(N1077)=0,N1077=1000),IF(B1077="","","Check"),INDEX(Rules!$B:$B,N1077))</f>
        <v/>
      </c>
      <c r="F1077" s="21" t="str">
        <f aca="false">IF(OR(B1077="",N(N1077)=0,N1077=1000),"",INDEX(Rules!$C:$C,N1077))</f>
        <v/>
      </c>
      <c r="G1077" s="24"/>
      <c r="H1077" s="24"/>
      <c r="I1077" s="20" t="str">
        <f aca="false">IF(B1077="","",IF(G1077&lt;&gt;"",G1077,E1077))</f>
        <v/>
      </c>
      <c r="J1077" s="21" t="str">
        <f aca="false">IF(B1077="","",IF(H1077&lt;&gt;"",H1077,F1077))</f>
        <v/>
      </c>
      <c r="K1077" s="26" t="str">
        <f aca="false">IF(A1077="","",DATE(YEAR(A1077),MONTH(A1077),1))</f>
        <v/>
      </c>
      <c r="L1077" s="21" t="str">
        <f aca="false">IF(J1077="",IF(B1077="","",IF(N(C1077)&gt;=0,"Income","Expense")),IFERROR(INDEX(Lists!$B$2:$B$30,MATCH(J1077,Lists!$A$2:$A$30,0)),""))</f>
        <v/>
      </c>
      <c r="M1077" s="24"/>
      <c r="N1077" s="27" t="str">
        <f aca="false">IF(B1077="","",IFERROR(1000-SUMPRODUCT(MAX(ISNUMBER(SEARCH(Rules!$A$5:$A$204,B1077))*(Rules!$A$5:$A$204&lt;&gt;"")*(1000-ROW(Rules!$A$5:$A$204)))),""))</f>
        <v/>
      </c>
    </row>
    <row r="1078" customFormat="false" ht="15" hidden="false" customHeight="false" outlineLevel="0" collapsed="false">
      <c r="A1078" s="23"/>
      <c r="B1078" s="24"/>
      <c r="C1078" s="25"/>
      <c r="D1078" s="24"/>
      <c r="E1078" s="21" t="str">
        <f aca="false">IF(OR(B1078="",N(N1078)=0,N1078=1000),IF(B1078="","","Check"),INDEX(Rules!$B:$B,N1078))</f>
        <v/>
      </c>
      <c r="F1078" s="21" t="str">
        <f aca="false">IF(OR(B1078="",N(N1078)=0,N1078=1000),"",INDEX(Rules!$C:$C,N1078))</f>
        <v/>
      </c>
      <c r="G1078" s="24"/>
      <c r="H1078" s="24"/>
      <c r="I1078" s="20" t="str">
        <f aca="false">IF(B1078="","",IF(G1078&lt;&gt;"",G1078,E1078))</f>
        <v/>
      </c>
      <c r="J1078" s="21" t="str">
        <f aca="false">IF(B1078="","",IF(H1078&lt;&gt;"",H1078,F1078))</f>
        <v/>
      </c>
      <c r="K1078" s="26" t="str">
        <f aca="false">IF(A1078="","",DATE(YEAR(A1078),MONTH(A1078),1))</f>
        <v/>
      </c>
      <c r="L1078" s="21" t="str">
        <f aca="false">IF(J1078="",IF(B1078="","",IF(N(C1078)&gt;=0,"Income","Expense")),IFERROR(INDEX(Lists!$B$2:$B$30,MATCH(J1078,Lists!$A$2:$A$30,0)),""))</f>
        <v/>
      </c>
      <c r="M1078" s="24"/>
      <c r="N1078" s="27" t="str">
        <f aca="false">IF(B1078="","",IFERROR(1000-SUMPRODUCT(MAX(ISNUMBER(SEARCH(Rules!$A$5:$A$204,B1078))*(Rules!$A$5:$A$204&lt;&gt;"")*(1000-ROW(Rules!$A$5:$A$204)))),""))</f>
        <v/>
      </c>
    </row>
    <row r="1079" customFormat="false" ht="15" hidden="false" customHeight="false" outlineLevel="0" collapsed="false">
      <c r="A1079" s="23"/>
      <c r="B1079" s="24"/>
      <c r="C1079" s="25"/>
      <c r="D1079" s="24"/>
      <c r="E1079" s="21" t="str">
        <f aca="false">IF(OR(B1079="",N(N1079)=0,N1079=1000),IF(B1079="","","Check"),INDEX(Rules!$B:$B,N1079))</f>
        <v/>
      </c>
      <c r="F1079" s="21" t="str">
        <f aca="false">IF(OR(B1079="",N(N1079)=0,N1079=1000),"",INDEX(Rules!$C:$C,N1079))</f>
        <v/>
      </c>
      <c r="G1079" s="24"/>
      <c r="H1079" s="24"/>
      <c r="I1079" s="20" t="str">
        <f aca="false">IF(B1079="","",IF(G1079&lt;&gt;"",G1079,E1079))</f>
        <v/>
      </c>
      <c r="J1079" s="21" t="str">
        <f aca="false">IF(B1079="","",IF(H1079&lt;&gt;"",H1079,F1079))</f>
        <v/>
      </c>
      <c r="K1079" s="26" t="str">
        <f aca="false">IF(A1079="","",DATE(YEAR(A1079),MONTH(A1079),1))</f>
        <v/>
      </c>
      <c r="L1079" s="21" t="str">
        <f aca="false">IF(J1079="",IF(B1079="","",IF(N(C1079)&gt;=0,"Income","Expense")),IFERROR(INDEX(Lists!$B$2:$B$30,MATCH(J1079,Lists!$A$2:$A$30,0)),""))</f>
        <v/>
      </c>
      <c r="M1079" s="24"/>
      <c r="N1079" s="27" t="str">
        <f aca="false">IF(B1079="","",IFERROR(1000-SUMPRODUCT(MAX(ISNUMBER(SEARCH(Rules!$A$5:$A$204,B1079))*(Rules!$A$5:$A$204&lt;&gt;"")*(1000-ROW(Rules!$A$5:$A$204)))),""))</f>
        <v/>
      </c>
    </row>
    <row r="1080" customFormat="false" ht="15" hidden="false" customHeight="false" outlineLevel="0" collapsed="false">
      <c r="A1080" s="23"/>
      <c r="B1080" s="24"/>
      <c r="C1080" s="25"/>
      <c r="D1080" s="24"/>
      <c r="E1080" s="21" t="str">
        <f aca="false">IF(OR(B1080="",N(N1080)=0,N1080=1000),IF(B1080="","","Check"),INDEX(Rules!$B:$B,N1080))</f>
        <v/>
      </c>
      <c r="F1080" s="21" t="str">
        <f aca="false">IF(OR(B1080="",N(N1080)=0,N1080=1000),"",INDEX(Rules!$C:$C,N1080))</f>
        <v/>
      </c>
      <c r="G1080" s="24"/>
      <c r="H1080" s="24"/>
      <c r="I1080" s="20" t="str">
        <f aca="false">IF(B1080="","",IF(G1080&lt;&gt;"",G1080,E1080))</f>
        <v/>
      </c>
      <c r="J1080" s="21" t="str">
        <f aca="false">IF(B1080="","",IF(H1080&lt;&gt;"",H1080,F1080))</f>
        <v/>
      </c>
      <c r="K1080" s="26" t="str">
        <f aca="false">IF(A1080="","",DATE(YEAR(A1080),MONTH(A1080),1))</f>
        <v/>
      </c>
      <c r="L1080" s="21" t="str">
        <f aca="false">IF(J1080="",IF(B1080="","",IF(N(C1080)&gt;=0,"Income","Expense")),IFERROR(INDEX(Lists!$B$2:$B$30,MATCH(J1080,Lists!$A$2:$A$30,0)),""))</f>
        <v/>
      </c>
      <c r="M1080" s="24"/>
      <c r="N1080" s="27" t="str">
        <f aca="false">IF(B1080="","",IFERROR(1000-SUMPRODUCT(MAX(ISNUMBER(SEARCH(Rules!$A$5:$A$204,B1080))*(Rules!$A$5:$A$204&lt;&gt;"")*(1000-ROW(Rules!$A$5:$A$204)))),""))</f>
        <v/>
      </c>
    </row>
    <row r="1081" customFormat="false" ht="15" hidden="false" customHeight="false" outlineLevel="0" collapsed="false">
      <c r="A1081" s="23"/>
      <c r="B1081" s="24"/>
      <c r="C1081" s="25"/>
      <c r="D1081" s="24"/>
      <c r="E1081" s="21" t="str">
        <f aca="false">IF(OR(B1081="",N(N1081)=0,N1081=1000),IF(B1081="","","Check"),INDEX(Rules!$B:$B,N1081))</f>
        <v/>
      </c>
      <c r="F1081" s="21" t="str">
        <f aca="false">IF(OR(B1081="",N(N1081)=0,N1081=1000),"",INDEX(Rules!$C:$C,N1081))</f>
        <v/>
      </c>
      <c r="G1081" s="24"/>
      <c r="H1081" s="24"/>
      <c r="I1081" s="20" t="str">
        <f aca="false">IF(B1081="","",IF(G1081&lt;&gt;"",G1081,E1081))</f>
        <v/>
      </c>
      <c r="J1081" s="21" t="str">
        <f aca="false">IF(B1081="","",IF(H1081&lt;&gt;"",H1081,F1081))</f>
        <v/>
      </c>
      <c r="K1081" s="26" t="str">
        <f aca="false">IF(A1081="","",DATE(YEAR(A1081),MONTH(A1081),1))</f>
        <v/>
      </c>
      <c r="L1081" s="21" t="str">
        <f aca="false">IF(J1081="",IF(B1081="","",IF(N(C1081)&gt;=0,"Income","Expense")),IFERROR(INDEX(Lists!$B$2:$B$30,MATCH(J1081,Lists!$A$2:$A$30,0)),""))</f>
        <v/>
      </c>
      <c r="M1081" s="24"/>
      <c r="N1081" s="27" t="str">
        <f aca="false">IF(B1081="","",IFERROR(1000-SUMPRODUCT(MAX(ISNUMBER(SEARCH(Rules!$A$5:$A$204,B1081))*(Rules!$A$5:$A$204&lt;&gt;"")*(1000-ROW(Rules!$A$5:$A$204)))),""))</f>
        <v/>
      </c>
    </row>
    <row r="1082" customFormat="false" ht="15" hidden="false" customHeight="false" outlineLevel="0" collapsed="false">
      <c r="A1082" s="23"/>
      <c r="B1082" s="24"/>
      <c r="C1082" s="25"/>
      <c r="D1082" s="24"/>
      <c r="E1082" s="21" t="str">
        <f aca="false">IF(OR(B1082="",N(N1082)=0,N1082=1000),IF(B1082="","","Check"),INDEX(Rules!$B:$B,N1082))</f>
        <v/>
      </c>
      <c r="F1082" s="21" t="str">
        <f aca="false">IF(OR(B1082="",N(N1082)=0,N1082=1000),"",INDEX(Rules!$C:$C,N1082))</f>
        <v/>
      </c>
      <c r="G1082" s="24"/>
      <c r="H1082" s="24"/>
      <c r="I1082" s="20" t="str">
        <f aca="false">IF(B1082="","",IF(G1082&lt;&gt;"",G1082,E1082))</f>
        <v/>
      </c>
      <c r="J1082" s="21" t="str">
        <f aca="false">IF(B1082="","",IF(H1082&lt;&gt;"",H1082,F1082))</f>
        <v/>
      </c>
      <c r="K1082" s="26" t="str">
        <f aca="false">IF(A1082="","",DATE(YEAR(A1082),MONTH(A1082),1))</f>
        <v/>
      </c>
      <c r="L1082" s="21" t="str">
        <f aca="false">IF(J1082="",IF(B1082="","",IF(N(C1082)&gt;=0,"Income","Expense")),IFERROR(INDEX(Lists!$B$2:$B$30,MATCH(J1082,Lists!$A$2:$A$30,0)),""))</f>
        <v/>
      </c>
      <c r="M1082" s="24"/>
      <c r="N1082" s="27" t="str">
        <f aca="false">IF(B1082="","",IFERROR(1000-SUMPRODUCT(MAX(ISNUMBER(SEARCH(Rules!$A$5:$A$204,B1082))*(Rules!$A$5:$A$204&lt;&gt;"")*(1000-ROW(Rules!$A$5:$A$204)))),""))</f>
        <v/>
      </c>
    </row>
    <row r="1083" customFormat="false" ht="15" hidden="false" customHeight="false" outlineLevel="0" collapsed="false">
      <c r="A1083" s="23"/>
      <c r="B1083" s="24"/>
      <c r="C1083" s="25"/>
      <c r="D1083" s="24"/>
      <c r="E1083" s="21" t="str">
        <f aca="false">IF(OR(B1083="",N(N1083)=0,N1083=1000),IF(B1083="","","Check"),INDEX(Rules!$B:$B,N1083))</f>
        <v/>
      </c>
      <c r="F1083" s="21" t="str">
        <f aca="false">IF(OR(B1083="",N(N1083)=0,N1083=1000),"",INDEX(Rules!$C:$C,N1083))</f>
        <v/>
      </c>
      <c r="G1083" s="24"/>
      <c r="H1083" s="24"/>
      <c r="I1083" s="20" t="str">
        <f aca="false">IF(B1083="","",IF(G1083&lt;&gt;"",G1083,E1083))</f>
        <v/>
      </c>
      <c r="J1083" s="21" t="str">
        <f aca="false">IF(B1083="","",IF(H1083&lt;&gt;"",H1083,F1083))</f>
        <v/>
      </c>
      <c r="K1083" s="26" t="str">
        <f aca="false">IF(A1083="","",DATE(YEAR(A1083),MONTH(A1083),1))</f>
        <v/>
      </c>
      <c r="L1083" s="21" t="str">
        <f aca="false">IF(J1083="",IF(B1083="","",IF(N(C1083)&gt;=0,"Income","Expense")),IFERROR(INDEX(Lists!$B$2:$B$30,MATCH(J1083,Lists!$A$2:$A$30,0)),""))</f>
        <v/>
      </c>
      <c r="M1083" s="24"/>
      <c r="N1083" s="27" t="str">
        <f aca="false">IF(B1083="","",IFERROR(1000-SUMPRODUCT(MAX(ISNUMBER(SEARCH(Rules!$A$5:$A$204,B1083))*(Rules!$A$5:$A$204&lt;&gt;"")*(1000-ROW(Rules!$A$5:$A$204)))),""))</f>
        <v/>
      </c>
    </row>
    <row r="1084" customFormat="false" ht="15" hidden="false" customHeight="false" outlineLevel="0" collapsed="false">
      <c r="A1084" s="23"/>
      <c r="B1084" s="24"/>
      <c r="C1084" s="25"/>
      <c r="D1084" s="24"/>
      <c r="E1084" s="21" t="str">
        <f aca="false">IF(OR(B1084="",N(N1084)=0,N1084=1000),IF(B1084="","","Check"),INDEX(Rules!$B:$B,N1084))</f>
        <v/>
      </c>
      <c r="F1084" s="21" t="str">
        <f aca="false">IF(OR(B1084="",N(N1084)=0,N1084=1000),"",INDEX(Rules!$C:$C,N1084))</f>
        <v/>
      </c>
      <c r="G1084" s="24"/>
      <c r="H1084" s="24"/>
      <c r="I1084" s="20" t="str">
        <f aca="false">IF(B1084="","",IF(G1084&lt;&gt;"",G1084,E1084))</f>
        <v/>
      </c>
      <c r="J1084" s="21" t="str">
        <f aca="false">IF(B1084="","",IF(H1084&lt;&gt;"",H1084,F1084))</f>
        <v/>
      </c>
      <c r="K1084" s="26" t="str">
        <f aca="false">IF(A1084="","",DATE(YEAR(A1084),MONTH(A1084),1))</f>
        <v/>
      </c>
      <c r="L1084" s="21" t="str">
        <f aca="false">IF(J1084="",IF(B1084="","",IF(N(C1084)&gt;=0,"Income","Expense")),IFERROR(INDEX(Lists!$B$2:$B$30,MATCH(J1084,Lists!$A$2:$A$30,0)),""))</f>
        <v/>
      </c>
      <c r="M1084" s="24"/>
      <c r="N1084" s="27" t="str">
        <f aca="false">IF(B1084="","",IFERROR(1000-SUMPRODUCT(MAX(ISNUMBER(SEARCH(Rules!$A$5:$A$204,B1084))*(Rules!$A$5:$A$204&lt;&gt;"")*(1000-ROW(Rules!$A$5:$A$204)))),""))</f>
        <v/>
      </c>
    </row>
    <row r="1085" customFormat="false" ht="15" hidden="false" customHeight="false" outlineLevel="0" collapsed="false">
      <c r="A1085" s="23"/>
      <c r="B1085" s="24"/>
      <c r="C1085" s="25"/>
      <c r="D1085" s="24"/>
      <c r="E1085" s="21" t="str">
        <f aca="false">IF(OR(B1085="",N(N1085)=0,N1085=1000),IF(B1085="","","Check"),INDEX(Rules!$B:$B,N1085))</f>
        <v/>
      </c>
      <c r="F1085" s="21" t="str">
        <f aca="false">IF(OR(B1085="",N(N1085)=0,N1085=1000),"",INDEX(Rules!$C:$C,N1085))</f>
        <v/>
      </c>
      <c r="G1085" s="24"/>
      <c r="H1085" s="24"/>
      <c r="I1085" s="20" t="str">
        <f aca="false">IF(B1085="","",IF(G1085&lt;&gt;"",G1085,E1085))</f>
        <v/>
      </c>
      <c r="J1085" s="21" t="str">
        <f aca="false">IF(B1085="","",IF(H1085&lt;&gt;"",H1085,F1085))</f>
        <v/>
      </c>
      <c r="K1085" s="26" t="str">
        <f aca="false">IF(A1085="","",DATE(YEAR(A1085),MONTH(A1085),1))</f>
        <v/>
      </c>
      <c r="L1085" s="21" t="str">
        <f aca="false">IF(J1085="",IF(B1085="","",IF(N(C1085)&gt;=0,"Income","Expense")),IFERROR(INDEX(Lists!$B$2:$B$30,MATCH(J1085,Lists!$A$2:$A$30,0)),""))</f>
        <v/>
      </c>
      <c r="M1085" s="24"/>
      <c r="N1085" s="27" t="str">
        <f aca="false">IF(B1085="","",IFERROR(1000-SUMPRODUCT(MAX(ISNUMBER(SEARCH(Rules!$A$5:$A$204,B1085))*(Rules!$A$5:$A$204&lt;&gt;"")*(1000-ROW(Rules!$A$5:$A$204)))),""))</f>
        <v/>
      </c>
    </row>
    <row r="1086" customFormat="false" ht="15" hidden="false" customHeight="false" outlineLevel="0" collapsed="false">
      <c r="A1086" s="23"/>
      <c r="B1086" s="24"/>
      <c r="C1086" s="25"/>
      <c r="D1086" s="24"/>
      <c r="E1086" s="21" t="str">
        <f aca="false">IF(OR(B1086="",N(N1086)=0,N1086=1000),IF(B1086="","","Check"),INDEX(Rules!$B:$B,N1086))</f>
        <v/>
      </c>
      <c r="F1086" s="21" t="str">
        <f aca="false">IF(OR(B1086="",N(N1086)=0,N1086=1000),"",INDEX(Rules!$C:$C,N1086))</f>
        <v/>
      </c>
      <c r="G1086" s="24"/>
      <c r="H1086" s="24"/>
      <c r="I1086" s="20" t="str">
        <f aca="false">IF(B1086="","",IF(G1086&lt;&gt;"",G1086,E1086))</f>
        <v/>
      </c>
      <c r="J1086" s="21" t="str">
        <f aca="false">IF(B1086="","",IF(H1086&lt;&gt;"",H1086,F1086))</f>
        <v/>
      </c>
      <c r="K1086" s="26" t="str">
        <f aca="false">IF(A1086="","",DATE(YEAR(A1086),MONTH(A1086),1))</f>
        <v/>
      </c>
      <c r="L1086" s="21" t="str">
        <f aca="false">IF(J1086="",IF(B1086="","",IF(N(C1086)&gt;=0,"Income","Expense")),IFERROR(INDEX(Lists!$B$2:$B$30,MATCH(J1086,Lists!$A$2:$A$30,0)),""))</f>
        <v/>
      </c>
      <c r="M1086" s="24"/>
      <c r="N1086" s="27" t="str">
        <f aca="false">IF(B1086="","",IFERROR(1000-SUMPRODUCT(MAX(ISNUMBER(SEARCH(Rules!$A$5:$A$204,B1086))*(Rules!$A$5:$A$204&lt;&gt;"")*(1000-ROW(Rules!$A$5:$A$204)))),""))</f>
        <v/>
      </c>
    </row>
    <row r="1087" customFormat="false" ht="15" hidden="false" customHeight="false" outlineLevel="0" collapsed="false">
      <c r="A1087" s="23"/>
      <c r="B1087" s="24"/>
      <c r="C1087" s="25"/>
      <c r="D1087" s="24"/>
      <c r="E1087" s="21" t="str">
        <f aca="false">IF(OR(B1087="",N(N1087)=0,N1087=1000),IF(B1087="","","Check"),INDEX(Rules!$B:$B,N1087))</f>
        <v/>
      </c>
      <c r="F1087" s="21" t="str">
        <f aca="false">IF(OR(B1087="",N(N1087)=0,N1087=1000),"",INDEX(Rules!$C:$C,N1087))</f>
        <v/>
      </c>
      <c r="G1087" s="24"/>
      <c r="H1087" s="24"/>
      <c r="I1087" s="20" t="str">
        <f aca="false">IF(B1087="","",IF(G1087&lt;&gt;"",G1087,E1087))</f>
        <v/>
      </c>
      <c r="J1087" s="21" t="str">
        <f aca="false">IF(B1087="","",IF(H1087&lt;&gt;"",H1087,F1087))</f>
        <v/>
      </c>
      <c r="K1087" s="26" t="str">
        <f aca="false">IF(A1087="","",DATE(YEAR(A1087),MONTH(A1087),1))</f>
        <v/>
      </c>
      <c r="L1087" s="21" t="str">
        <f aca="false">IF(J1087="",IF(B1087="","",IF(N(C1087)&gt;=0,"Income","Expense")),IFERROR(INDEX(Lists!$B$2:$B$30,MATCH(J1087,Lists!$A$2:$A$30,0)),""))</f>
        <v/>
      </c>
      <c r="M1087" s="24"/>
      <c r="N1087" s="27" t="str">
        <f aca="false">IF(B1087="","",IFERROR(1000-SUMPRODUCT(MAX(ISNUMBER(SEARCH(Rules!$A$5:$A$204,B1087))*(Rules!$A$5:$A$204&lt;&gt;"")*(1000-ROW(Rules!$A$5:$A$204)))),""))</f>
        <v/>
      </c>
    </row>
    <row r="1088" customFormat="false" ht="15" hidden="false" customHeight="false" outlineLevel="0" collapsed="false">
      <c r="A1088" s="23"/>
      <c r="B1088" s="24"/>
      <c r="C1088" s="25"/>
      <c r="D1088" s="24"/>
      <c r="E1088" s="21" t="str">
        <f aca="false">IF(OR(B1088="",N(N1088)=0,N1088=1000),IF(B1088="","","Check"),INDEX(Rules!$B:$B,N1088))</f>
        <v/>
      </c>
      <c r="F1088" s="21" t="str">
        <f aca="false">IF(OR(B1088="",N(N1088)=0,N1088=1000),"",INDEX(Rules!$C:$C,N1088))</f>
        <v/>
      </c>
      <c r="G1088" s="24"/>
      <c r="H1088" s="24"/>
      <c r="I1088" s="20" t="str">
        <f aca="false">IF(B1088="","",IF(G1088&lt;&gt;"",G1088,E1088))</f>
        <v/>
      </c>
      <c r="J1088" s="21" t="str">
        <f aca="false">IF(B1088="","",IF(H1088&lt;&gt;"",H1088,F1088))</f>
        <v/>
      </c>
      <c r="K1088" s="26" t="str">
        <f aca="false">IF(A1088="","",DATE(YEAR(A1088),MONTH(A1088),1))</f>
        <v/>
      </c>
      <c r="L1088" s="21" t="str">
        <f aca="false">IF(J1088="",IF(B1088="","",IF(N(C1088)&gt;=0,"Income","Expense")),IFERROR(INDEX(Lists!$B$2:$B$30,MATCH(J1088,Lists!$A$2:$A$30,0)),""))</f>
        <v/>
      </c>
      <c r="M1088" s="24"/>
      <c r="N1088" s="27" t="str">
        <f aca="false">IF(B1088="","",IFERROR(1000-SUMPRODUCT(MAX(ISNUMBER(SEARCH(Rules!$A$5:$A$204,B1088))*(Rules!$A$5:$A$204&lt;&gt;"")*(1000-ROW(Rules!$A$5:$A$204)))),""))</f>
        <v/>
      </c>
    </row>
    <row r="1089" customFormat="false" ht="15" hidden="false" customHeight="false" outlineLevel="0" collapsed="false">
      <c r="A1089" s="23"/>
      <c r="B1089" s="24"/>
      <c r="C1089" s="25"/>
      <c r="D1089" s="24"/>
      <c r="E1089" s="21" t="str">
        <f aca="false">IF(OR(B1089="",N(N1089)=0,N1089=1000),IF(B1089="","","Check"),INDEX(Rules!$B:$B,N1089))</f>
        <v/>
      </c>
      <c r="F1089" s="21" t="str">
        <f aca="false">IF(OR(B1089="",N(N1089)=0,N1089=1000),"",INDEX(Rules!$C:$C,N1089))</f>
        <v/>
      </c>
      <c r="G1089" s="24"/>
      <c r="H1089" s="24"/>
      <c r="I1089" s="20" t="str">
        <f aca="false">IF(B1089="","",IF(G1089&lt;&gt;"",G1089,E1089))</f>
        <v/>
      </c>
      <c r="J1089" s="21" t="str">
        <f aca="false">IF(B1089="","",IF(H1089&lt;&gt;"",H1089,F1089))</f>
        <v/>
      </c>
      <c r="K1089" s="26" t="str">
        <f aca="false">IF(A1089="","",DATE(YEAR(A1089),MONTH(A1089),1))</f>
        <v/>
      </c>
      <c r="L1089" s="21" t="str">
        <f aca="false">IF(J1089="",IF(B1089="","",IF(N(C1089)&gt;=0,"Income","Expense")),IFERROR(INDEX(Lists!$B$2:$B$30,MATCH(J1089,Lists!$A$2:$A$30,0)),""))</f>
        <v/>
      </c>
      <c r="M1089" s="24"/>
      <c r="N1089" s="27" t="str">
        <f aca="false">IF(B1089="","",IFERROR(1000-SUMPRODUCT(MAX(ISNUMBER(SEARCH(Rules!$A$5:$A$204,B1089))*(Rules!$A$5:$A$204&lt;&gt;"")*(1000-ROW(Rules!$A$5:$A$204)))),""))</f>
        <v/>
      </c>
    </row>
    <row r="1090" customFormat="false" ht="15" hidden="false" customHeight="false" outlineLevel="0" collapsed="false">
      <c r="A1090" s="23"/>
      <c r="B1090" s="24"/>
      <c r="C1090" s="25"/>
      <c r="D1090" s="24"/>
      <c r="E1090" s="21" t="str">
        <f aca="false">IF(OR(B1090="",N(N1090)=0,N1090=1000),IF(B1090="","","Check"),INDEX(Rules!$B:$B,N1090))</f>
        <v/>
      </c>
      <c r="F1090" s="21" t="str">
        <f aca="false">IF(OR(B1090="",N(N1090)=0,N1090=1000),"",INDEX(Rules!$C:$C,N1090))</f>
        <v/>
      </c>
      <c r="G1090" s="24"/>
      <c r="H1090" s="24"/>
      <c r="I1090" s="20" t="str">
        <f aca="false">IF(B1090="","",IF(G1090&lt;&gt;"",G1090,E1090))</f>
        <v/>
      </c>
      <c r="J1090" s="21" t="str">
        <f aca="false">IF(B1090="","",IF(H1090&lt;&gt;"",H1090,F1090))</f>
        <v/>
      </c>
      <c r="K1090" s="26" t="str">
        <f aca="false">IF(A1090="","",DATE(YEAR(A1090),MONTH(A1090),1))</f>
        <v/>
      </c>
      <c r="L1090" s="21" t="str">
        <f aca="false">IF(J1090="",IF(B1090="","",IF(N(C1090)&gt;=0,"Income","Expense")),IFERROR(INDEX(Lists!$B$2:$B$30,MATCH(J1090,Lists!$A$2:$A$30,0)),""))</f>
        <v/>
      </c>
      <c r="M1090" s="24"/>
      <c r="N1090" s="27" t="str">
        <f aca="false">IF(B1090="","",IFERROR(1000-SUMPRODUCT(MAX(ISNUMBER(SEARCH(Rules!$A$5:$A$204,B1090))*(Rules!$A$5:$A$204&lt;&gt;"")*(1000-ROW(Rules!$A$5:$A$204)))),""))</f>
        <v/>
      </c>
    </row>
    <row r="1091" customFormat="false" ht="15" hidden="false" customHeight="false" outlineLevel="0" collapsed="false">
      <c r="A1091" s="23"/>
      <c r="B1091" s="24"/>
      <c r="C1091" s="25"/>
      <c r="D1091" s="24"/>
      <c r="E1091" s="21" t="str">
        <f aca="false">IF(OR(B1091="",N(N1091)=0,N1091=1000),IF(B1091="","","Check"),INDEX(Rules!$B:$B,N1091))</f>
        <v/>
      </c>
      <c r="F1091" s="21" t="str">
        <f aca="false">IF(OR(B1091="",N(N1091)=0,N1091=1000),"",INDEX(Rules!$C:$C,N1091))</f>
        <v/>
      </c>
      <c r="G1091" s="24"/>
      <c r="H1091" s="24"/>
      <c r="I1091" s="20" t="str">
        <f aca="false">IF(B1091="","",IF(G1091&lt;&gt;"",G1091,E1091))</f>
        <v/>
      </c>
      <c r="J1091" s="21" t="str">
        <f aca="false">IF(B1091="","",IF(H1091&lt;&gt;"",H1091,F1091))</f>
        <v/>
      </c>
      <c r="K1091" s="26" t="str">
        <f aca="false">IF(A1091="","",DATE(YEAR(A1091),MONTH(A1091),1))</f>
        <v/>
      </c>
      <c r="L1091" s="21" t="str">
        <f aca="false">IF(J1091="",IF(B1091="","",IF(N(C1091)&gt;=0,"Income","Expense")),IFERROR(INDEX(Lists!$B$2:$B$30,MATCH(J1091,Lists!$A$2:$A$30,0)),""))</f>
        <v/>
      </c>
      <c r="M1091" s="24"/>
      <c r="N1091" s="27" t="str">
        <f aca="false">IF(B1091="","",IFERROR(1000-SUMPRODUCT(MAX(ISNUMBER(SEARCH(Rules!$A$5:$A$204,B1091))*(Rules!$A$5:$A$204&lt;&gt;"")*(1000-ROW(Rules!$A$5:$A$204)))),""))</f>
        <v/>
      </c>
    </row>
    <row r="1092" customFormat="false" ht="15" hidden="false" customHeight="false" outlineLevel="0" collapsed="false">
      <c r="A1092" s="23"/>
      <c r="B1092" s="24"/>
      <c r="C1092" s="25"/>
      <c r="D1092" s="24"/>
      <c r="E1092" s="21" t="str">
        <f aca="false">IF(OR(B1092="",N(N1092)=0,N1092=1000),IF(B1092="","","Check"),INDEX(Rules!$B:$B,N1092))</f>
        <v/>
      </c>
      <c r="F1092" s="21" t="str">
        <f aca="false">IF(OR(B1092="",N(N1092)=0,N1092=1000),"",INDEX(Rules!$C:$C,N1092))</f>
        <v/>
      </c>
      <c r="G1092" s="24"/>
      <c r="H1092" s="24"/>
      <c r="I1092" s="20" t="str">
        <f aca="false">IF(B1092="","",IF(G1092&lt;&gt;"",G1092,E1092))</f>
        <v/>
      </c>
      <c r="J1092" s="21" t="str">
        <f aca="false">IF(B1092="","",IF(H1092&lt;&gt;"",H1092,F1092))</f>
        <v/>
      </c>
      <c r="K1092" s="26" t="str">
        <f aca="false">IF(A1092="","",DATE(YEAR(A1092),MONTH(A1092),1))</f>
        <v/>
      </c>
      <c r="L1092" s="21" t="str">
        <f aca="false">IF(J1092="",IF(B1092="","",IF(N(C1092)&gt;=0,"Income","Expense")),IFERROR(INDEX(Lists!$B$2:$B$30,MATCH(J1092,Lists!$A$2:$A$30,0)),""))</f>
        <v/>
      </c>
      <c r="M1092" s="24"/>
      <c r="N1092" s="27" t="str">
        <f aca="false">IF(B1092="","",IFERROR(1000-SUMPRODUCT(MAX(ISNUMBER(SEARCH(Rules!$A$5:$A$204,B1092))*(Rules!$A$5:$A$204&lt;&gt;"")*(1000-ROW(Rules!$A$5:$A$204)))),""))</f>
        <v/>
      </c>
    </row>
    <row r="1093" customFormat="false" ht="15" hidden="false" customHeight="false" outlineLevel="0" collapsed="false">
      <c r="A1093" s="23"/>
      <c r="B1093" s="24"/>
      <c r="C1093" s="25"/>
      <c r="D1093" s="24"/>
      <c r="E1093" s="21" t="str">
        <f aca="false">IF(OR(B1093="",N(N1093)=0,N1093=1000),IF(B1093="","","Check"),INDEX(Rules!$B:$B,N1093))</f>
        <v/>
      </c>
      <c r="F1093" s="21" t="str">
        <f aca="false">IF(OR(B1093="",N(N1093)=0,N1093=1000),"",INDEX(Rules!$C:$C,N1093))</f>
        <v/>
      </c>
      <c r="G1093" s="24"/>
      <c r="H1093" s="24"/>
      <c r="I1093" s="20" t="str">
        <f aca="false">IF(B1093="","",IF(G1093&lt;&gt;"",G1093,E1093))</f>
        <v/>
      </c>
      <c r="J1093" s="21" t="str">
        <f aca="false">IF(B1093="","",IF(H1093&lt;&gt;"",H1093,F1093))</f>
        <v/>
      </c>
      <c r="K1093" s="26" t="str">
        <f aca="false">IF(A1093="","",DATE(YEAR(A1093),MONTH(A1093),1))</f>
        <v/>
      </c>
      <c r="L1093" s="21" t="str">
        <f aca="false">IF(J1093="",IF(B1093="","",IF(N(C1093)&gt;=0,"Income","Expense")),IFERROR(INDEX(Lists!$B$2:$B$30,MATCH(J1093,Lists!$A$2:$A$30,0)),""))</f>
        <v/>
      </c>
      <c r="M1093" s="24"/>
      <c r="N1093" s="27" t="str">
        <f aca="false">IF(B1093="","",IFERROR(1000-SUMPRODUCT(MAX(ISNUMBER(SEARCH(Rules!$A$5:$A$204,B1093))*(Rules!$A$5:$A$204&lt;&gt;"")*(1000-ROW(Rules!$A$5:$A$204)))),""))</f>
        <v/>
      </c>
    </row>
    <row r="1094" customFormat="false" ht="15" hidden="false" customHeight="false" outlineLevel="0" collapsed="false">
      <c r="A1094" s="23"/>
      <c r="B1094" s="24"/>
      <c r="C1094" s="25"/>
      <c r="D1094" s="24"/>
      <c r="E1094" s="21" t="str">
        <f aca="false">IF(OR(B1094="",N(N1094)=0,N1094=1000),IF(B1094="","","Check"),INDEX(Rules!$B:$B,N1094))</f>
        <v/>
      </c>
      <c r="F1094" s="21" t="str">
        <f aca="false">IF(OR(B1094="",N(N1094)=0,N1094=1000),"",INDEX(Rules!$C:$C,N1094))</f>
        <v/>
      </c>
      <c r="G1094" s="24"/>
      <c r="H1094" s="24"/>
      <c r="I1094" s="20" t="str">
        <f aca="false">IF(B1094="","",IF(G1094&lt;&gt;"",G1094,E1094))</f>
        <v/>
      </c>
      <c r="J1094" s="21" t="str">
        <f aca="false">IF(B1094="","",IF(H1094&lt;&gt;"",H1094,F1094))</f>
        <v/>
      </c>
      <c r="K1094" s="26" t="str">
        <f aca="false">IF(A1094="","",DATE(YEAR(A1094),MONTH(A1094),1))</f>
        <v/>
      </c>
      <c r="L1094" s="21" t="str">
        <f aca="false">IF(J1094="",IF(B1094="","",IF(N(C1094)&gt;=0,"Income","Expense")),IFERROR(INDEX(Lists!$B$2:$B$30,MATCH(J1094,Lists!$A$2:$A$30,0)),""))</f>
        <v/>
      </c>
      <c r="M1094" s="24"/>
      <c r="N1094" s="27" t="str">
        <f aca="false">IF(B1094="","",IFERROR(1000-SUMPRODUCT(MAX(ISNUMBER(SEARCH(Rules!$A$5:$A$204,B1094))*(Rules!$A$5:$A$204&lt;&gt;"")*(1000-ROW(Rules!$A$5:$A$204)))),""))</f>
        <v/>
      </c>
    </row>
    <row r="1095" customFormat="false" ht="15" hidden="false" customHeight="false" outlineLevel="0" collapsed="false">
      <c r="A1095" s="23"/>
      <c r="B1095" s="24"/>
      <c r="C1095" s="25"/>
      <c r="D1095" s="24"/>
      <c r="E1095" s="21" t="str">
        <f aca="false">IF(OR(B1095="",N(N1095)=0,N1095=1000),IF(B1095="","","Check"),INDEX(Rules!$B:$B,N1095))</f>
        <v/>
      </c>
      <c r="F1095" s="21" t="str">
        <f aca="false">IF(OR(B1095="",N(N1095)=0,N1095=1000),"",INDEX(Rules!$C:$C,N1095))</f>
        <v/>
      </c>
      <c r="G1095" s="24"/>
      <c r="H1095" s="24"/>
      <c r="I1095" s="20" t="str">
        <f aca="false">IF(B1095="","",IF(G1095&lt;&gt;"",G1095,E1095))</f>
        <v/>
      </c>
      <c r="J1095" s="21" t="str">
        <f aca="false">IF(B1095="","",IF(H1095&lt;&gt;"",H1095,F1095))</f>
        <v/>
      </c>
      <c r="K1095" s="26" t="str">
        <f aca="false">IF(A1095="","",DATE(YEAR(A1095),MONTH(A1095),1))</f>
        <v/>
      </c>
      <c r="L1095" s="21" t="str">
        <f aca="false">IF(J1095="",IF(B1095="","",IF(N(C1095)&gt;=0,"Income","Expense")),IFERROR(INDEX(Lists!$B$2:$B$30,MATCH(J1095,Lists!$A$2:$A$30,0)),""))</f>
        <v/>
      </c>
      <c r="M1095" s="24"/>
      <c r="N1095" s="27" t="str">
        <f aca="false">IF(B1095="","",IFERROR(1000-SUMPRODUCT(MAX(ISNUMBER(SEARCH(Rules!$A$5:$A$204,B1095))*(Rules!$A$5:$A$204&lt;&gt;"")*(1000-ROW(Rules!$A$5:$A$204)))),""))</f>
        <v/>
      </c>
    </row>
    <row r="1096" customFormat="false" ht="15" hidden="false" customHeight="false" outlineLevel="0" collapsed="false">
      <c r="A1096" s="23"/>
      <c r="B1096" s="24"/>
      <c r="C1096" s="25"/>
      <c r="D1096" s="24"/>
      <c r="E1096" s="21" t="str">
        <f aca="false">IF(OR(B1096="",N(N1096)=0,N1096=1000),IF(B1096="","","Check"),INDEX(Rules!$B:$B,N1096))</f>
        <v/>
      </c>
      <c r="F1096" s="21" t="str">
        <f aca="false">IF(OR(B1096="",N(N1096)=0,N1096=1000),"",INDEX(Rules!$C:$C,N1096))</f>
        <v/>
      </c>
      <c r="G1096" s="24"/>
      <c r="H1096" s="24"/>
      <c r="I1096" s="20" t="str">
        <f aca="false">IF(B1096="","",IF(G1096&lt;&gt;"",G1096,E1096))</f>
        <v/>
      </c>
      <c r="J1096" s="21" t="str">
        <f aca="false">IF(B1096="","",IF(H1096&lt;&gt;"",H1096,F1096))</f>
        <v/>
      </c>
      <c r="K1096" s="26" t="str">
        <f aca="false">IF(A1096="","",DATE(YEAR(A1096),MONTH(A1096),1))</f>
        <v/>
      </c>
      <c r="L1096" s="21" t="str">
        <f aca="false">IF(J1096="",IF(B1096="","",IF(N(C1096)&gt;=0,"Income","Expense")),IFERROR(INDEX(Lists!$B$2:$B$30,MATCH(J1096,Lists!$A$2:$A$30,0)),""))</f>
        <v/>
      </c>
      <c r="M1096" s="24"/>
      <c r="N1096" s="27" t="str">
        <f aca="false">IF(B1096="","",IFERROR(1000-SUMPRODUCT(MAX(ISNUMBER(SEARCH(Rules!$A$5:$A$204,B1096))*(Rules!$A$5:$A$204&lt;&gt;"")*(1000-ROW(Rules!$A$5:$A$204)))),""))</f>
        <v/>
      </c>
    </row>
    <row r="1097" customFormat="false" ht="15" hidden="false" customHeight="false" outlineLevel="0" collapsed="false">
      <c r="A1097" s="23"/>
      <c r="B1097" s="24"/>
      <c r="C1097" s="25"/>
      <c r="D1097" s="24"/>
      <c r="E1097" s="21" t="str">
        <f aca="false">IF(OR(B1097="",N(N1097)=0,N1097=1000),IF(B1097="","","Check"),INDEX(Rules!$B:$B,N1097))</f>
        <v/>
      </c>
      <c r="F1097" s="21" t="str">
        <f aca="false">IF(OR(B1097="",N(N1097)=0,N1097=1000),"",INDEX(Rules!$C:$C,N1097))</f>
        <v/>
      </c>
      <c r="G1097" s="24"/>
      <c r="H1097" s="24"/>
      <c r="I1097" s="20" t="str">
        <f aca="false">IF(B1097="","",IF(G1097&lt;&gt;"",G1097,E1097))</f>
        <v/>
      </c>
      <c r="J1097" s="21" t="str">
        <f aca="false">IF(B1097="","",IF(H1097&lt;&gt;"",H1097,F1097))</f>
        <v/>
      </c>
      <c r="K1097" s="26" t="str">
        <f aca="false">IF(A1097="","",DATE(YEAR(A1097),MONTH(A1097),1))</f>
        <v/>
      </c>
      <c r="L1097" s="21" t="str">
        <f aca="false">IF(J1097="",IF(B1097="","",IF(N(C1097)&gt;=0,"Income","Expense")),IFERROR(INDEX(Lists!$B$2:$B$30,MATCH(J1097,Lists!$A$2:$A$30,0)),""))</f>
        <v/>
      </c>
      <c r="M1097" s="24"/>
      <c r="N1097" s="27" t="str">
        <f aca="false">IF(B1097="","",IFERROR(1000-SUMPRODUCT(MAX(ISNUMBER(SEARCH(Rules!$A$5:$A$204,B1097))*(Rules!$A$5:$A$204&lt;&gt;"")*(1000-ROW(Rules!$A$5:$A$204)))),""))</f>
        <v/>
      </c>
    </row>
    <row r="1098" customFormat="false" ht="15" hidden="false" customHeight="false" outlineLevel="0" collapsed="false">
      <c r="A1098" s="23"/>
      <c r="B1098" s="24"/>
      <c r="C1098" s="25"/>
      <c r="D1098" s="24"/>
      <c r="E1098" s="21" t="str">
        <f aca="false">IF(OR(B1098="",N(N1098)=0,N1098=1000),IF(B1098="","","Check"),INDEX(Rules!$B:$B,N1098))</f>
        <v/>
      </c>
      <c r="F1098" s="21" t="str">
        <f aca="false">IF(OR(B1098="",N(N1098)=0,N1098=1000),"",INDEX(Rules!$C:$C,N1098))</f>
        <v/>
      </c>
      <c r="G1098" s="24"/>
      <c r="H1098" s="24"/>
      <c r="I1098" s="20" t="str">
        <f aca="false">IF(B1098="","",IF(G1098&lt;&gt;"",G1098,E1098))</f>
        <v/>
      </c>
      <c r="J1098" s="21" t="str">
        <f aca="false">IF(B1098="","",IF(H1098&lt;&gt;"",H1098,F1098))</f>
        <v/>
      </c>
      <c r="K1098" s="26" t="str">
        <f aca="false">IF(A1098="","",DATE(YEAR(A1098),MONTH(A1098),1))</f>
        <v/>
      </c>
      <c r="L1098" s="21" t="str">
        <f aca="false">IF(J1098="",IF(B1098="","",IF(N(C1098)&gt;=0,"Income","Expense")),IFERROR(INDEX(Lists!$B$2:$B$30,MATCH(J1098,Lists!$A$2:$A$30,0)),""))</f>
        <v/>
      </c>
      <c r="M1098" s="24"/>
      <c r="N1098" s="27" t="str">
        <f aca="false">IF(B1098="","",IFERROR(1000-SUMPRODUCT(MAX(ISNUMBER(SEARCH(Rules!$A$5:$A$204,B1098))*(Rules!$A$5:$A$204&lt;&gt;"")*(1000-ROW(Rules!$A$5:$A$204)))),""))</f>
        <v/>
      </c>
    </row>
    <row r="1099" customFormat="false" ht="15" hidden="false" customHeight="false" outlineLevel="0" collapsed="false">
      <c r="A1099" s="23"/>
      <c r="B1099" s="24"/>
      <c r="C1099" s="25"/>
      <c r="D1099" s="24"/>
      <c r="E1099" s="21" t="str">
        <f aca="false">IF(OR(B1099="",N(N1099)=0,N1099=1000),IF(B1099="","","Check"),INDEX(Rules!$B:$B,N1099))</f>
        <v/>
      </c>
      <c r="F1099" s="21" t="str">
        <f aca="false">IF(OR(B1099="",N(N1099)=0,N1099=1000),"",INDEX(Rules!$C:$C,N1099))</f>
        <v/>
      </c>
      <c r="G1099" s="24"/>
      <c r="H1099" s="24"/>
      <c r="I1099" s="20" t="str">
        <f aca="false">IF(B1099="","",IF(G1099&lt;&gt;"",G1099,E1099))</f>
        <v/>
      </c>
      <c r="J1099" s="21" t="str">
        <f aca="false">IF(B1099="","",IF(H1099&lt;&gt;"",H1099,F1099))</f>
        <v/>
      </c>
      <c r="K1099" s="26" t="str">
        <f aca="false">IF(A1099="","",DATE(YEAR(A1099),MONTH(A1099),1))</f>
        <v/>
      </c>
      <c r="L1099" s="21" t="str">
        <f aca="false">IF(J1099="",IF(B1099="","",IF(N(C1099)&gt;=0,"Income","Expense")),IFERROR(INDEX(Lists!$B$2:$B$30,MATCH(J1099,Lists!$A$2:$A$30,0)),""))</f>
        <v/>
      </c>
      <c r="M1099" s="24"/>
      <c r="N1099" s="27" t="str">
        <f aca="false">IF(B1099="","",IFERROR(1000-SUMPRODUCT(MAX(ISNUMBER(SEARCH(Rules!$A$5:$A$204,B1099))*(Rules!$A$5:$A$204&lt;&gt;"")*(1000-ROW(Rules!$A$5:$A$204)))),""))</f>
        <v/>
      </c>
    </row>
    <row r="1100" customFormat="false" ht="15" hidden="false" customHeight="false" outlineLevel="0" collapsed="false">
      <c r="A1100" s="23"/>
      <c r="B1100" s="24"/>
      <c r="C1100" s="25"/>
      <c r="D1100" s="24"/>
      <c r="E1100" s="21" t="str">
        <f aca="false">IF(OR(B1100="",N(N1100)=0,N1100=1000),IF(B1100="","","Check"),INDEX(Rules!$B:$B,N1100))</f>
        <v/>
      </c>
      <c r="F1100" s="21" t="str">
        <f aca="false">IF(OR(B1100="",N(N1100)=0,N1100=1000),"",INDEX(Rules!$C:$C,N1100))</f>
        <v/>
      </c>
      <c r="G1100" s="24"/>
      <c r="H1100" s="24"/>
      <c r="I1100" s="20" t="str">
        <f aca="false">IF(B1100="","",IF(G1100&lt;&gt;"",G1100,E1100))</f>
        <v/>
      </c>
      <c r="J1100" s="21" t="str">
        <f aca="false">IF(B1100="","",IF(H1100&lt;&gt;"",H1100,F1100))</f>
        <v/>
      </c>
      <c r="K1100" s="26" t="str">
        <f aca="false">IF(A1100="","",DATE(YEAR(A1100),MONTH(A1100),1))</f>
        <v/>
      </c>
      <c r="L1100" s="21" t="str">
        <f aca="false">IF(J1100="",IF(B1100="","",IF(N(C1100)&gt;=0,"Income","Expense")),IFERROR(INDEX(Lists!$B$2:$B$30,MATCH(J1100,Lists!$A$2:$A$30,0)),""))</f>
        <v/>
      </c>
      <c r="M1100" s="24"/>
      <c r="N1100" s="27" t="str">
        <f aca="false">IF(B1100="","",IFERROR(1000-SUMPRODUCT(MAX(ISNUMBER(SEARCH(Rules!$A$5:$A$204,B1100))*(Rules!$A$5:$A$204&lt;&gt;"")*(1000-ROW(Rules!$A$5:$A$204)))),""))</f>
        <v/>
      </c>
    </row>
    <row r="1101" customFormat="false" ht="15" hidden="false" customHeight="false" outlineLevel="0" collapsed="false">
      <c r="A1101" s="23"/>
      <c r="B1101" s="24"/>
      <c r="C1101" s="25"/>
      <c r="D1101" s="24"/>
      <c r="E1101" s="21" t="str">
        <f aca="false">IF(OR(B1101="",N(N1101)=0,N1101=1000),IF(B1101="","","Check"),INDEX(Rules!$B:$B,N1101))</f>
        <v/>
      </c>
      <c r="F1101" s="21" t="str">
        <f aca="false">IF(OR(B1101="",N(N1101)=0,N1101=1000),"",INDEX(Rules!$C:$C,N1101))</f>
        <v/>
      </c>
      <c r="G1101" s="24"/>
      <c r="H1101" s="24"/>
      <c r="I1101" s="20" t="str">
        <f aca="false">IF(B1101="","",IF(G1101&lt;&gt;"",G1101,E1101))</f>
        <v/>
      </c>
      <c r="J1101" s="21" t="str">
        <f aca="false">IF(B1101="","",IF(H1101&lt;&gt;"",H1101,F1101))</f>
        <v/>
      </c>
      <c r="K1101" s="26" t="str">
        <f aca="false">IF(A1101="","",DATE(YEAR(A1101),MONTH(A1101),1))</f>
        <v/>
      </c>
      <c r="L1101" s="21" t="str">
        <f aca="false">IF(J1101="",IF(B1101="","",IF(N(C1101)&gt;=0,"Income","Expense")),IFERROR(INDEX(Lists!$B$2:$B$30,MATCH(J1101,Lists!$A$2:$A$30,0)),""))</f>
        <v/>
      </c>
      <c r="M1101" s="24"/>
      <c r="N1101" s="27" t="str">
        <f aca="false">IF(B1101="","",IFERROR(1000-SUMPRODUCT(MAX(ISNUMBER(SEARCH(Rules!$A$5:$A$204,B1101))*(Rules!$A$5:$A$204&lt;&gt;"")*(1000-ROW(Rules!$A$5:$A$204)))),""))</f>
        <v/>
      </c>
    </row>
    <row r="1102" customFormat="false" ht="15" hidden="false" customHeight="false" outlineLevel="0" collapsed="false">
      <c r="A1102" s="23"/>
      <c r="B1102" s="24"/>
      <c r="C1102" s="25"/>
      <c r="D1102" s="24"/>
      <c r="E1102" s="21" t="str">
        <f aca="false">IF(OR(B1102="",N(N1102)=0,N1102=1000),IF(B1102="","","Check"),INDEX(Rules!$B:$B,N1102))</f>
        <v/>
      </c>
      <c r="F1102" s="21" t="str">
        <f aca="false">IF(OR(B1102="",N(N1102)=0,N1102=1000),"",INDEX(Rules!$C:$C,N1102))</f>
        <v/>
      </c>
      <c r="G1102" s="24"/>
      <c r="H1102" s="24"/>
      <c r="I1102" s="20" t="str">
        <f aca="false">IF(B1102="","",IF(G1102&lt;&gt;"",G1102,E1102))</f>
        <v/>
      </c>
      <c r="J1102" s="21" t="str">
        <f aca="false">IF(B1102="","",IF(H1102&lt;&gt;"",H1102,F1102))</f>
        <v/>
      </c>
      <c r="K1102" s="26" t="str">
        <f aca="false">IF(A1102="","",DATE(YEAR(A1102),MONTH(A1102),1))</f>
        <v/>
      </c>
      <c r="L1102" s="21" t="str">
        <f aca="false">IF(J1102="",IF(B1102="","",IF(N(C1102)&gt;=0,"Income","Expense")),IFERROR(INDEX(Lists!$B$2:$B$30,MATCH(J1102,Lists!$A$2:$A$30,0)),""))</f>
        <v/>
      </c>
      <c r="M1102" s="24"/>
      <c r="N1102" s="27" t="str">
        <f aca="false">IF(B1102="","",IFERROR(1000-SUMPRODUCT(MAX(ISNUMBER(SEARCH(Rules!$A$5:$A$204,B1102))*(Rules!$A$5:$A$204&lt;&gt;"")*(1000-ROW(Rules!$A$5:$A$204)))),""))</f>
        <v/>
      </c>
    </row>
    <row r="1103" customFormat="false" ht="15" hidden="false" customHeight="false" outlineLevel="0" collapsed="false">
      <c r="A1103" s="23"/>
      <c r="B1103" s="24"/>
      <c r="C1103" s="25"/>
      <c r="D1103" s="24"/>
      <c r="E1103" s="21" t="str">
        <f aca="false">IF(OR(B1103="",N(N1103)=0,N1103=1000),IF(B1103="","","Check"),INDEX(Rules!$B:$B,N1103))</f>
        <v/>
      </c>
      <c r="F1103" s="21" t="str">
        <f aca="false">IF(OR(B1103="",N(N1103)=0,N1103=1000),"",INDEX(Rules!$C:$C,N1103))</f>
        <v/>
      </c>
      <c r="G1103" s="24"/>
      <c r="H1103" s="24"/>
      <c r="I1103" s="20" t="str">
        <f aca="false">IF(B1103="","",IF(G1103&lt;&gt;"",G1103,E1103))</f>
        <v/>
      </c>
      <c r="J1103" s="21" t="str">
        <f aca="false">IF(B1103="","",IF(H1103&lt;&gt;"",H1103,F1103))</f>
        <v/>
      </c>
      <c r="K1103" s="26" t="str">
        <f aca="false">IF(A1103="","",DATE(YEAR(A1103),MONTH(A1103),1))</f>
        <v/>
      </c>
      <c r="L1103" s="21" t="str">
        <f aca="false">IF(J1103="",IF(B1103="","",IF(N(C1103)&gt;=0,"Income","Expense")),IFERROR(INDEX(Lists!$B$2:$B$30,MATCH(J1103,Lists!$A$2:$A$30,0)),""))</f>
        <v/>
      </c>
      <c r="M1103" s="24"/>
      <c r="N1103" s="27" t="str">
        <f aca="false">IF(B1103="","",IFERROR(1000-SUMPRODUCT(MAX(ISNUMBER(SEARCH(Rules!$A$5:$A$204,B1103))*(Rules!$A$5:$A$204&lt;&gt;"")*(1000-ROW(Rules!$A$5:$A$204)))),""))</f>
        <v/>
      </c>
    </row>
    <row r="1104" customFormat="false" ht="15" hidden="false" customHeight="false" outlineLevel="0" collapsed="false">
      <c r="A1104" s="23"/>
      <c r="B1104" s="24"/>
      <c r="C1104" s="25"/>
      <c r="D1104" s="24"/>
      <c r="E1104" s="21" t="str">
        <f aca="false">IF(OR(B1104="",N(N1104)=0,N1104=1000),IF(B1104="","","Check"),INDEX(Rules!$B:$B,N1104))</f>
        <v/>
      </c>
      <c r="F1104" s="21" t="str">
        <f aca="false">IF(OR(B1104="",N(N1104)=0,N1104=1000),"",INDEX(Rules!$C:$C,N1104))</f>
        <v/>
      </c>
      <c r="G1104" s="24"/>
      <c r="H1104" s="24"/>
      <c r="I1104" s="20" t="str">
        <f aca="false">IF(B1104="","",IF(G1104&lt;&gt;"",G1104,E1104))</f>
        <v/>
      </c>
      <c r="J1104" s="21" t="str">
        <f aca="false">IF(B1104="","",IF(H1104&lt;&gt;"",H1104,F1104))</f>
        <v/>
      </c>
      <c r="K1104" s="26" t="str">
        <f aca="false">IF(A1104="","",DATE(YEAR(A1104),MONTH(A1104),1))</f>
        <v/>
      </c>
      <c r="L1104" s="21" t="str">
        <f aca="false">IF(J1104="",IF(B1104="","",IF(N(C1104)&gt;=0,"Income","Expense")),IFERROR(INDEX(Lists!$B$2:$B$30,MATCH(J1104,Lists!$A$2:$A$30,0)),""))</f>
        <v/>
      </c>
      <c r="M1104" s="24"/>
      <c r="N1104" s="27" t="str">
        <f aca="false">IF(B1104="","",IFERROR(1000-SUMPRODUCT(MAX(ISNUMBER(SEARCH(Rules!$A$5:$A$204,B1104))*(Rules!$A$5:$A$204&lt;&gt;"")*(1000-ROW(Rules!$A$5:$A$204)))),""))</f>
        <v/>
      </c>
    </row>
    <row r="1105" customFormat="false" ht="15" hidden="false" customHeight="false" outlineLevel="0" collapsed="false">
      <c r="A1105" s="23"/>
      <c r="B1105" s="24"/>
      <c r="C1105" s="25"/>
      <c r="D1105" s="24"/>
      <c r="E1105" s="21" t="str">
        <f aca="false">IF(OR(B1105="",N(N1105)=0,N1105=1000),IF(B1105="","","Check"),INDEX(Rules!$B:$B,N1105))</f>
        <v/>
      </c>
      <c r="F1105" s="21" t="str">
        <f aca="false">IF(OR(B1105="",N(N1105)=0,N1105=1000),"",INDEX(Rules!$C:$C,N1105))</f>
        <v/>
      </c>
      <c r="G1105" s="24"/>
      <c r="H1105" s="24"/>
      <c r="I1105" s="20" t="str">
        <f aca="false">IF(B1105="","",IF(G1105&lt;&gt;"",G1105,E1105))</f>
        <v/>
      </c>
      <c r="J1105" s="21" t="str">
        <f aca="false">IF(B1105="","",IF(H1105&lt;&gt;"",H1105,F1105))</f>
        <v/>
      </c>
      <c r="K1105" s="26" t="str">
        <f aca="false">IF(A1105="","",DATE(YEAR(A1105),MONTH(A1105),1))</f>
        <v/>
      </c>
      <c r="L1105" s="21" t="str">
        <f aca="false">IF(J1105="",IF(B1105="","",IF(N(C1105)&gt;=0,"Income","Expense")),IFERROR(INDEX(Lists!$B$2:$B$30,MATCH(J1105,Lists!$A$2:$A$30,0)),""))</f>
        <v/>
      </c>
      <c r="M1105" s="24"/>
      <c r="N1105" s="27" t="str">
        <f aca="false">IF(B1105="","",IFERROR(1000-SUMPRODUCT(MAX(ISNUMBER(SEARCH(Rules!$A$5:$A$204,B1105))*(Rules!$A$5:$A$204&lt;&gt;"")*(1000-ROW(Rules!$A$5:$A$204)))),""))</f>
        <v/>
      </c>
    </row>
    <row r="1106" customFormat="false" ht="15" hidden="false" customHeight="false" outlineLevel="0" collapsed="false">
      <c r="A1106" s="23"/>
      <c r="B1106" s="24"/>
      <c r="C1106" s="25"/>
      <c r="D1106" s="24"/>
      <c r="E1106" s="21" t="str">
        <f aca="false">IF(OR(B1106="",N(N1106)=0,N1106=1000),IF(B1106="","","Check"),INDEX(Rules!$B:$B,N1106))</f>
        <v/>
      </c>
      <c r="F1106" s="21" t="str">
        <f aca="false">IF(OR(B1106="",N(N1106)=0,N1106=1000),"",INDEX(Rules!$C:$C,N1106))</f>
        <v/>
      </c>
      <c r="G1106" s="24"/>
      <c r="H1106" s="24"/>
      <c r="I1106" s="20" t="str">
        <f aca="false">IF(B1106="","",IF(G1106&lt;&gt;"",G1106,E1106))</f>
        <v/>
      </c>
      <c r="J1106" s="21" t="str">
        <f aca="false">IF(B1106="","",IF(H1106&lt;&gt;"",H1106,F1106))</f>
        <v/>
      </c>
      <c r="K1106" s="26" t="str">
        <f aca="false">IF(A1106="","",DATE(YEAR(A1106),MONTH(A1106),1))</f>
        <v/>
      </c>
      <c r="L1106" s="21" t="str">
        <f aca="false">IF(J1106="",IF(B1106="","",IF(N(C1106)&gt;=0,"Income","Expense")),IFERROR(INDEX(Lists!$B$2:$B$30,MATCH(J1106,Lists!$A$2:$A$30,0)),""))</f>
        <v/>
      </c>
      <c r="M1106" s="24"/>
      <c r="N1106" s="27" t="str">
        <f aca="false">IF(B1106="","",IFERROR(1000-SUMPRODUCT(MAX(ISNUMBER(SEARCH(Rules!$A$5:$A$204,B1106))*(Rules!$A$5:$A$204&lt;&gt;"")*(1000-ROW(Rules!$A$5:$A$204)))),""))</f>
        <v/>
      </c>
    </row>
    <row r="1107" customFormat="false" ht="15" hidden="false" customHeight="false" outlineLevel="0" collapsed="false">
      <c r="A1107" s="23"/>
      <c r="B1107" s="24"/>
      <c r="C1107" s="25"/>
      <c r="D1107" s="24"/>
      <c r="E1107" s="21" t="str">
        <f aca="false">IF(OR(B1107="",N(N1107)=0,N1107=1000),IF(B1107="","","Check"),INDEX(Rules!$B:$B,N1107))</f>
        <v/>
      </c>
      <c r="F1107" s="21" t="str">
        <f aca="false">IF(OR(B1107="",N(N1107)=0,N1107=1000),"",INDEX(Rules!$C:$C,N1107))</f>
        <v/>
      </c>
      <c r="G1107" s="24"/>
      <c r="H1107" s="24"/>
      <c r="I1107" s="20" t="str">
        <f aca="false">IF(B1107="","",IF(G1107&lt;&gt;"",G1107,E1107))</f>
        <v/>
      </c>
      <c r="J1107" s="21" t="str">
        <f aca="false">IF(B1107="","",IF(H1107&lt;&gt;"",H1107,F1107))</f>
        <v/>
      </c>
      <c r="K1107" s="26" t="str">
        <f aca="false">IF(A1107="","",DATE(YEAR(A1107),MONTH(A1107),1))</f>
        <v/>
      </c>
      <c r="L1107" s="21" t="str">
        <f aca="false">IF(J1107="",IF(B1107="","",IF(N(C1107)&gt;=0,"Income","Expense")),IFERROR(INDEX(Lists!$B$2:$B$30,MATCH(J1107,Lists!$A$2:$A$30,0)),""))</f>
        <v/>
      </c>
      <c r="M1107" s="24"/>
      <c r="N1107" s="27" t="str">
        <f aca="false">IF(B1107="","",IFERROR(1000-SUMPRODUCT(MAX(ISNUMBER(SEARCH(Rules!$A$5:$A$204,B1107))*(Rules!$A$5:$A$204&lt;&gt;"")*(1000-ROW(Rules!$A$5:$A$204)))),""))</f>
        <v/>
      </c>
    </row>
    <row r="1108" customFormat="false" ht="15" hidden="false" customHeight="false" outlineLevel="0" collapsed="false">
      <c r="A1108" s="23"/>
      <c r="B1108" s="24"/>
      <c r="C1108" s="25"/>
      <c r="D1108" s="24"/>
      <c r="E1108" s="21" t="str">
        <f aca="false">IF(OR(B1108="",N(N1108)=0,N1108=1000),IF(B1108="","","Check"),INDEX(Rules!$B:$B,N1108))</f>
        <v/>
      </c>
      <c r="F1108" s="21" t="str">
        <f aca="false">IF(OR(B1108="",N(N1108)=0,N1108=1000),"",INDEX(Rules!$C:$C,N1108))</f>
        <v/>
      </c>
      <c r="G1108" s="24"/>
      <c r="H1108" s="24"/>
      <c r="I1108" s="20" t="str">
        <f aca="false">IF(B1108="","",IF(G1108&lt;&gt;"",G1108,E1108))</f>
        <v/>
      </c>
      <c r="J1108" s="21" t="str">
        <f aca="false">IF(B1108="","",IF(H1108&lt;&gt;"",H1108,F1108))</f>
        <v/>
      </c>
      <c r="K1108" s="26" t="str">
        <f aca="false">IF(A1108="","",DATE(YEAR(A1108),MONTH(A1108),1))</f>
        <v/>
      </c>
      <c r="L1108" s="21" t="str">
        <f aca="false">IF(J1108="",IF(B1108="","",IF(N(C1108)&gt;=0,"Income","Expense")),IFERROR(INDEX(Lists!$B$2:$B$30,MATCH(J1108,Lists!$A$2:$A$30,0)),""))</f>
        <v/>
      </c>
      <c r="M1108" s="24"/>
      <c r="N1108" s="27" t="str">
        <f aca="false">IF(B1108="","",IFERROR(1000-SUMPRODUCT(MAX(ISNUMBER(SEARCH(Rules!$A$5:$A$204,B1108))*(Rules!$A$5:$A$204&lt;&gt;"")*(1000-ROW(Rules!$A$5:$A$204)))),""))</f>
        <v/>
      </c>
    </row>
    <row r="1109" customFormat="false" ht="15" hidden="false" customHeight="false" outlineLevel="0" collapsed="false">
      <c r="A1109" s="23"/>
      <c r="B1109" s="24"/>
      <c r="C1109" s="25"/>
      <c r="D1109" s="24"/>
      <c r="E1109" s="21" t="str">
        <f aca="false">IF(OR(B1109="",N(N1109)=0,N1109=1000),IF(B1109="","","Check"),INDEX(Rules!$B:$B,N1109))</f>
        <v/>
      </c>
      <c r="F1109" s="21" t="str">
        <f aca="false">IF(OR(B1109="",N(N1109)=0,N1109=1000),"",INDEX(Rules!$C:$C,N1109))</f>
        <v/>
      </c>
      <c r="G1109" s="24"/>
      <c r="H1109" s="24"/>
      <c r="I1109" s="20" t="str">
        <f aca="false">IF(B1109="","",IF(G1109&lt;&gt;"",G1109,E1109))</f>
        <v/>
      </c>
      <c r="J1109" s="21" t="str">
        <f aca="false">IF(B1109="","",IF(H1109&lt;&gt;"",H1109,F1109))</f>
        <v/>
      </c>
      <c r="K1109" s="26" t="str">
        <f aca="false">IF(A1109="","",DATE(YEAR(A1109),MONTH(A1109),1))</f>
        <v/>
      </c>
      <c r="L1109" s="21" t="str">
        <f aca="false">IF(J1109="",IF(B1109="","",IF(N(C1109)&gt;=0,"Income","Expense")),IFERROR(INDEX(Lists!$B$2:$B$30,MATCH(J1109,Lists!$A$2:$A$30,0)),""))</f>
        <v/>
      </c>
      <c r="M1109" s="24"/>
      <c r="N1109" s="27" t="str">
        <f aca="false">IF(B1109="","",IFERROR(1000-SUMPRODUCT(MAX(ISNUMBER(SEARCH(Rules!$A$5:$A$204,B1109))*(Rules!$A$5:$A$204&lt;&gt;"")*(1000-ROW(Rules!$A$5:$A$204)))),""))</f>
        <v/>
      </c>
    </row>
    <row r="1110" customFormat="false" ht="15" hidden="false" customHeight="false" outlineLevel="0" collapsed="false">
      <c r="A1110" s="23"/>
      <c r="B1110" s="24"/>
      <c r="C1110" s="25"/>
      <c r="D1110" s="24"/>
      <c r="E1110" s="21" t="str">
        <f aca="false">IF(OR(B1110="",N(N1110)=0,N1110=1000),IF(B1110="","","Check"),INDEX(Rules!$B:$B,N1110))</f>
        <v/>
      </c>
      <c r="F1110" s="21" t="str">
        <f aca="false">IF(OR(B1110="",N(N1110)=0,N1110=1000),"",INDEX(Rules!$C:$C,N1110))</f>
        <v/>
      </c>
      <c r="G1110" s="24"/>
      <c r="H1110" s="24"/>
      <c r="I1110" s="20" t="str">
        <f aca="false">IF(B1110="","",IF(G1110&lt;&gt;"",G1110,E1110))</f>
        <v/>
      </c>
      <c r="J1110" s="21" t="str">
        <f aca="false">IF(B1110="","",IF(H1110&lt;&gt;"",H1110,F1110))</f>
        <v/>
      </c>
      <c r="K1110" s="26" t="str">
        <f aca="false">IF(A1110="","",DATE(YEAR(A1110),MONTH(A1110),1))</f>
        <v/>
      </c>
      <c r="L1110" s="21" t="str">
        <f aca="false">IF(J1110="",IF(B1110="","",IF(N(C1110)&gt;=0,"Income","Expense")),IFERROR(INDEX(Lists!$B$2:$B$30,MATCH(J1110,Lists!$A$2:$A$30,0)),""))</f>
        <v/>
      </c>
      <c r="M1110" s="24"/>
      <c r="N1110" s="27" t="str">
        <f aca="false">IF(B1110="","",IFERROR(1000-SUMPRODUCT(MAX(ISNUMBER(SEARCH(Rules!$A$5:$A$204,B1110))*(Rules!$A$5:$A$204&lt;&gt;"")*(1000-ROW(Rules!$A$5:$A$204)))),""))</f>
        <v/>
      </c>
    </row>
    <row r="1111" customFormat="false" ht="15" hidden="false" customHeight="false" outlineLevel="0" collapsed="false">
      <c r="A1111" s="23"/>
      <c r="B1111" s="24"/>
      <c r="C1111" s="25"/>
      <c r="D1111" s="24"/>
      <c r="E1111" s="21" t="str">
        <f aca="false">IF(OR(B1111="",N(N1111)=0,N1111=1000),IF(B1111="","","Check"),INDEX(Rules!$B:$B,N1111))</f>
        <v/>
      </c>
      <c r="F1111" s="21" t="str">
        <f aca="false">IF(OR(B1111="",N(N1111)=0,N1111=1000),"",INDEX(Rules!$C:$C,N1111))</f>
        <v/>
      </c>
      <c r="G1111" s="24"/>
      <c r="H1111" s="24"/>
      <c r="I1111" s="20" t="str">
        <f aca="false">IF(B1111="","",IF(G1111&lt;&gt;"",G1111,E1111))</f>
        <v/>
      </c>
      <c r="J1111" s="21" t="str">
        <f aca="false">IF(B1111="","",IF(H1111&lt;&gt;"",H1111,F1111))</f>
        <v/>
      </c>
      <c r="K1111" s="26" t="str">
        <f aca="false">IF(A1111="","",DATE(YEAR(A1111),MONTH(A1111),1))</f>
        <v/>
      </c>
      <c r="L1111" s="21" t="str">
        <f aca="false">IF(J1111="",IF(B1111="","",IF(N(C1111)&gt;=0,"Income","Expense")),IFERROR(INDEX(Lists!$B$2:$B$30,MATCH(J1111,Lists!$A$2:$A$30,0)),""))</f>
        <v/>
      </c>
      <c r="M1111" s="24"/>
      <c r="N1111" s="27" t="str">
        <f aca="false">IF(B1111="","",IFERROR(1000-SUMPRODUCT(MAX(ISNUMBER(SEARCH(Rules!$A$5:$A$204,B1111))*(Rules!$A$5:$A$204&lt;&gt;"")*(1000-ROW(Rules!$A$5:$A$204)))),""))</f>
        <v/>
      </c>
    </row>
    <row r="1112" customFormat="false" ht="15" hidden="false" customHeight="false" outlineLevel="0" collapsed="false">
      <c r="A1112" s="23"/>
      <c r="B1112" s="24"/>
      <c r="C1112" s="25"/>
      <c r="D1112" s="24"/>
      <c r="E1112" s="21" t="str">
        <f aca="false">IF(OR(B1112="",N(N1112)=0,N1112=1000),IF(B1112="","","Check"),INDEX(Rules!$B:$B,N1112))</f>
        <v/>
      </c>
      <c r="F1112" s="21" t="str">
        <f aca="false">IF(OR(B1112="",N(N1112)=0,N1112=1000),"",INDEX(Rules!$C:$C,N1112))</f>
        <v/>
      </c>
      <c r="G1112" s="24"/>
      <c r="H1112" s="24"/>
      <c r="I1112" s="20" t="str">
        <f aca="false">IF(B1112="","",IF(G1112&lt;&gt;"",G1112,E1112))</f>
        <v/>
      </c>
      <c r="J1112" s="21" t="str">
        <f aca="false">IF(B1112="","",IF(H1112&lt;&gt;"",H1112,F1112))</f>
        <v/>
      </c>
      <c r="K1112" s="26" t="str">
        <f aca="false">IF(A1112="","",DATE(YEAR(A1112),MONTH(A1112),1))</f>
        <v/>
      </c>
      <c r="L1112" s="21" t="str">
        <f aca="false">IF(J1112="",IF(B1112="","",IF(N(C1112)&gt;=0,"Income","Expense")),IFERROR(INDEX(Lists!$B$2:$B$30,MATCH(J1112,Lists!$A$2:$A$30,0)),""))</f>
        <v/>
      </c>
      <c r="M1112" s="24"/>
      <c r="N1112" s="27" t="str">
        <f aca="false">IF(B1112="","",IFERROR(1000-SUMPRODUCT(MAX(ISNUMBER(SEARCH(Rules!$A$5:$A$204,B1112))*(Rules!$A$5:$A$204&lt;&gt;"")*(1000-ROW(Rules!$A$5:$A$204)))),""))</f>
        <v/>
      </c>
    </row>
    <row r="1113" customFormat="false" ht="15" hidden="false" customHeight="false" outlineLevel="0" collapsed="false">
      <c r="A1113" s="23"/>
      <c r="B1113" s="24"/>
      <c r="C1113" s="25"/>
      <c r="D1113" s="24"/>
      <c r="E1113" s="21" t="str">
        <f aca="false">IF(OR(B1113="",N(N1113)=0,N1113=1000),IF(B1113="","","Check"),INDEX(Rules!$B:$B,N1113))</f>
        <v/>
      </c>
      <c r="F1113" s="21" t="str">
        <f aca="false">IF(OR(B1113="",N(N1113)=0,N1113=1000),"",INDEX(Rules!$C:$C,N1113))</f>
        <v/>
      </c>
      <c r="G1113" s="24"/>
      <c r="H1113" s="24"/>
      <c r="I1113" s="20" t="str">
        <f aca="false">IF(B1113="","",IF(G1113&lt;&gt;"",G1113,E1113))</f>
        <v/>
      </c>
      <c r="J1113" s="21" t="str">
        <f aca="false">IF(B1113="","",IF(H1113&lt;&gt;"",H1113,F1113))</f>
        <v/>
      </c>
      <c r="K1113" s="26" t="str">
        <f aca="false">IF(A1113="","",DATE(YEAR(A1113),MONTH(A1113),1))</f>
        <v/>
      </c>
      <c r="L1113" s="21" t="str">
        <f aca="false">IF(J1113="",IF(B1113="","",IF(N(C1113)&gt;=0,"Income","Expense")),IFERROR(INDEX(Lists!$B$2:$B$30,MATCH(J1113,Lists!$A$2:$A$30,0)),""))</f>
        <v/>
      </c>
      <c r="M1113" s="24"/>
      <c r="N1113" s="27" t="str">
        <f aca="false">IF(B1113="","",IFERROR(1000-SUMPRODUCT(MAX(ISNUMBER(SEARCH(Rules!$A$5:$A$204,B1113))*(Rules!$A$5:$A$204&lt;&gt;"")*(1000-ROW(Rules!$A$5:$A$204)))),""))</f>
        <v/>
      </c>
    </row>
    <row r="1114" customFormat="false" ht="15" hidden="false" customHeight="false" outlineLevel="0" collapsed="false">
      <c r="A1114" s="23"/>
      <c r="B1114" s="24"/>
      <c r="C1114" s="25"/>
      <c r="D1114" s="24"/>
      <c r="E1114" s="21" t="str">
        <f aca="false">IF(OR(B1114="",N(N1114)=0,N1114=1000),IF(B1114="","","Check"),INDEX(Rules!$B:$B,N1114))</f>
        <v/>
      </c>
      <c r="F1114" s="21" t="str">
        <f aca="false">IF(OR(B1114="",N(N1114)=0,N1114=1000),"",INDEX(Rules!$C:$C,N1114))</f>
        <v/>
      </c>
      <c r="G1114" s="24"/>
      <c r="H1114" s="24"/>
      <c r="I1114" s="20" t="str">
        <f aca="false">IF(B1114="","",IF(G1114&lt;&gt;"",G1114,E1114))</f>
        <v/>
      </c>
      <c r="J1114" s="21" t="str">
        <f aca="false">IF(B1114="","",IF(H1114&lt;&gt;"",H1114,F1114))</f>
        <v/>
      </c>
      <c r="K1114" s="26" t="str">
        <f aca="false">IF(A1114="","",DATE(YEAR(A1114),MONTH(A1114),1))</f>
        <v/>
      </c>
      <c r="L1114" s="21" t="str">
        <f aca="false">IF(J1114="",IF(B1114="","",IF(N(C1114)&gt;=0,"Income","Expense")),IFERROR(INDEX(Lists!$B$2:$B$30,MATCH(J1114,Lists!$A$2:$A$30,0)),""))</f>
        <v/>
      </c>
      <c r="M1114" s="24"/>
      <c r="N1114" s="27" t="str">
        <f aca="false">IF(B1114="","",IFERROR(1000-SUMPRODUCT(MAX(ISNUMBER(SEARCH(Rules!$A$5:$A$204,B1114))*(Rules!$A$5:$A$204&lt;&gt;"")*(1000-ROW(Rules!$A$5:$A$204)))),""))</f>
        <v/>
      </c>
    </row>
    <row r="1115" customFormat="false" ht="15" hidden="false" customHeight="false" outlineLevel="0" collapsed="false">
      <c r="A1115" s="23"/>
      <c r="B1115" s="24"/>
      <c r="C1115" s="25"/>
      <c r="D1115" s="24"/>
      <c r="E1115" s="21" t="str">
        <f aca="false">IF(OR(B1115="",N(N1115)=0,N1115=1000),IF(B1115="","","Check"),INDEX(Rules!$B:$B,N1115))</f>
        <v/>
      </c>
      <c r="F1115" s="21" t="str">
        <f aca="false">IF(OR(B1115="",N(N1115)=0,N1115=1000),"",INDEX(Rules!$C:$C,N1115))</f>
        <v/>
      </c>
      <c r="G1115" s="24"/>
      <c r="H1115" s="24"/>
      <c r="I1115" s="20" t="str">
        <f aca="false">IF(B1115="","",IF(G1115&lt;&gt;"",G1115,E1115))</f>
        <v/>
      </c>
      <c r="J1115" s="21" t="str">
        <f aca="false">IF(B1115="","",IF(H1115&lt;&gt;"",H1115,F1115))</f>
        <v/>
      </c>
      <c r="K1115" s="26" t="str">
        <f aca="false">IF(A1115="","",DATE(YEAR(A1115),MONTH(A1115),1))</f>
        <v/>
      </c>
      <c r="L1115" s="21" t="str">
        <f aca="false">IF(J1115="",IF(B1115="","",IF(N(C1115)&gt;=0,"Income","Expense")),IFERROR(INDEX(Lists!$B$2:$B$30,MATCH(J1115,Lists!$A$2:$A$30,0)),""))</f>
        <v/>
      </c>
      <c r="M1115" s="24"/>
      <c r="N1115" s="27" t="str">
        <f aca="false">IF(B1115="","",IFERROR(1000-SUMPRODUCT(MAX(ISNUMBER(SEARCH(Rules!$A$5:$A$204,B1115))*(Rules!$A$5:$A$204&lt;&gt;"")*(1000-ROW(Rules!$A$5:$A$204)))),""))</f>
        <v/>
      </c>
    </row>
    <row r="1116" customFormat="false" ht="15" hidden="false" customHeight="false" outlineLevel="0" collapsed="false">
      <c r="A1116" s="23"/>
      <c r="B1116" s="24"/>
      <c r="C1116" s="25"/>
      <c r="D1116" s="24"/>
      <c r="E1116" s="21" t="str">
        <f aca="false">IF(OR(B1116="",N(N1116)=0,N1116=1000),IF(B1116="","","Check"),INDEX(Rules!$B:$B,N1116))</f>
        <v/>
      </c>
      <c r="F1116" s="21" t="str">
        <f aca="false">IF(OR(B1116="",N(N1116)=0,N1116=1000),"",INDEX(Rules!$C:$C,N1116))</f>
        <v/>
      </c>
      <c r="G1116" s="24"/>
      <c r="H1116" s="24"/>
      <c r="I1116" s="20" t="str">
        <f aca="false">IF(B1116="","",IF(G1116&lt;&gt;"",G1116,E1116))</f>
        <v/>
      </c>
      <c r="J1116" s="21" t="str">
        <f aca="false">IF(B1116="","",IF(H1116&lt;&gt;"",H1116,F1116))</f>
        <v/>
      </c>
      <c r="K1116" s="26" t="str">
        <f aca="false">IF(A1116="","",DATE(YEAR(A1116),MONTH(A1116),1))</f>
        <v/>
      </c>
      <c r="L1116" s="21" t="str">
        <f aca="false">IF(J1116="",IF(B1116="","",IF(N(C1116)&gt;=0,"Income","Expense")),IFERROR(INDEX(Lists!$B$2:$B$30,MATCH(J1116,Lists!$A$2:$A$30,0)),""))</f>
        <v/>
      </c>
      <c r="M1116" s="24"/>
      <c r="N1116" s="27" t="str">
        <f aca="false">IF(B1116="","",IFERROR(1000-SUMPRODUCT(MAX(ISNUMBER(SEARCH(Rules!$A$5:$A$204,B1116))*(Rules!$A$5:$A$204&lt;&gt;"")*(1000-ROW(Rules!$A$5:$A$204)))),""))</f>
        <v/>
      </c>
    </row>
    <row r="1117" customFormat="false" ht="15" hidden="false" customHeight="false" outlineLevel="0" collapsed="false">
      <c r="A1117" s="23"/>
      <c r="B1117" s="24"/>
      <c r="C1117" s="25"/>
      <c r="D1117" s="24"/>
      <c r="E1117" s="21" t="str">
        <f aca="false">IF(OR(B1117="",N(N1117)=0,N1117=1000),IF(B1117="","","Check"),INDEX(Rules!$B:$B,N1117))</f>
        <v/>
      </c>
      <c r="F1117" s="21" t="str">
        <f aca="false">IF(OR(B1117="",N(N1117)=0,N1117=1000),"",INDEX(Rules!$C:$C,N1117))</f>
        <v/>
      </c>
      <c r="G1117" s="24"/>
      <c r="H1117" s="24"/>
      <c r="I1117" s="20" t="str">
        <f aca="false">IF(B1117="","",IF(G1117&lt;&gt;"",G1117,E1117))</f>
        <v/>
      </c>
      <c r="J1117" s="21" t="str">
        <f aca="false">IF(B1117="","",IF(H1117&lt;&gt;"",H1117,F1117))</f>
        <v/>
      </c>
      <c r="K1117" s="26" t="str">
        <f aca="false">IF(A1117="","",DATE(YEAR(A1117),MONTH(A1117),1))</f>
        <v/>
      </c>
      <c r="L1117" s="21" t="str">
        <f aca="false">IF(J1117="",IF(B1117="","",IF(N(C1117)&gt;=0,"Income","Expense")),IFERROR(INDEX(Lists!$B$2:$B$30,MATCH(J1117,Lists!$A$2:$A$30,0)),""))</f>
        <v/>
      </c>
      <c r="M1117" s="24"/>
      <c r="N1117" s="27" t="str">
        <f aca="false">IF(B1117="","",IFERROR(1000-SUMPRODUCT(MAX(ISNUMBER(SEARCH(Rules!$A$5:$A$204,B1117))*(Rules!$A$5:$A$204&lt;&gt;"")*(1000-ROW(Rules!$A$5:$A$204)))),""))</f>
        <v/>
      </c>
    </row>
    <row r="1118" customFormat="false" ht="15" hidden="false" customHeight="false" outlineLevel="0" collapsed="false">
      <c r="A1118" s="23"/>
      <c r="B1118" s="24"/>
      <c r="C1118" s="25"/>
      <c r="D1118" s="24"/>
      <c r="E1118" s="21" t="str">
        <f aca="false">IF(OR(B1118="",N(N1118)=0,N1118=1000),IF(B1118="","","Check"),INDEX(Rules!$B:$B,N1118))</f>
        <v/>
      </c>
      <c r="F1118" s="21" t="str">
        <f aca="false">IF(OR(B1118="",N(N1118)=0,N1118=1000),"",INDEX(Rules!$C:$C,N1118))</f>
        <v/>
      </c>
      <c r="G1118" s="24"/>
      <c r="H1118" s="24"/>
      <c r="I1118" s="20" t="str">
        <f aca="false">IF(B1118="","",IF(G1118&lt;&gt;"",G1118,E1118))</f>
        <v/>
      </c>
      <c r="J1118" s="21" t="str">
        <f aca="false">IF(B1118="","",IF(H1118&lt;&gt;"",H1118,F1118))</f>
        <v/>
      </c>
      <c r="K1118" s="26" t="str">
        <f aca="false">IF(A1118="","",DATE(YEAR(A1118),MONTH(A1118),1))</f>
        <v/>
      </c>
      <c r="L1118" s="21" t="str">
        <f aca="false">IF(J1118="",IF(B1118="","",IF(N(C1118)&gt;=0,"Income","Expense")),IFERROR(INDEX(Lists!$B$2:$B$30,MATCH(J1118,Lists!$A$2:$A$30,0)),""))</f>
        <v/>
      </c>
      <c r="M1118" s="24"/>
      <c r="N1118" s="27" t="str">
        <f aca="false">IF(B1118="","",IFERROR(1000-SUMPRODUCT(MAX(ISNUMBER(SEARCH(Rules!$A$5:$A$204,B1118))*(Rules!$A$5:$A$204&lt;&gt;"")*(1000-ROW(Rules!$A$5:$A$204)))),""))</f>
        <v/>
      </c>
    </row>
    <row r="1119" customFormat="false" ht="15" hidden="false" customHeight="false" outlineLevel="0" collapsed="false">
      <c r="A1119" s="23"/>
      <c r="B1119" s="24"/>
      <c r="C1119" s="25"/>
      <c r="D1119" s="24"/>
      <c r="E1119" s="21" t="str">
        <f aca="false">IF(OR(B1119="",N(N1119)=0,N1119=1000),IF(B1119="","","Check"),INDEX(Rules!$B:$B,N1119))</f>
        <v/>
      </c>
      <c r="F1119" s="21" t="str">
        <f aca="false">IF(OR(B1119="",N(N1119)=0,N1119=1000),"",INDEX(Rules!$C:$C,N1119))</f>
        <v/>
      </c>
      <c r="G1119" s="24"/>
      <c r="H1119" s="24"/>
      <c r="I1119" s="20" t="str">
        <f aca="false">IF(B1119="","",IF(G1119&lt;&gt;"",G1119,E1119))</f>
        <v/>
      </c>
      <c r="J1119" s="21" t="str">
        <f aca="false">IF(B1119="","",IF(H1119&lt;&gt;"",H1119,F1119))</f>
        <v/>
      </c>
      <c r="K1119" s="26" t="str">
        <f aca="false">IF(A1119="","",DATE(YEAR(A1119),MONTH(A1119),1))</f>
        <v/>
      </c>
      <c r="L1119" s="21" t="str">
        <f aca="false">IF(J1119="",IF(B1119="","",IF(N(C1119)&gt;=0,"Income","Expense")),IFERROR(INDEX(Lists!$B$2:$B$30,MATCH(J1119,Lists!$A$2:$A$30,0)),""))</f>
        <v/>
      </c>
      <c r="M1119" s="24"/>
      <c r="N1119" s="27" t="str">
        <f aca="false">IF(B1119="","",IFERROR(1000-SUMPRODUCT(MAX(ISNUMBER(SEARCH(Rules!$A$5:$A$204,B1119))*(Rules!$A$5:$A$204&lt;&gt;"")*(1000-ROW(Rules!$A$5:$A$204)))),""))</f>
        <v/>
      </c>
    </row>
    <row r="1120" customFormat="false" ht="15" hidden="false" customHeight="false" outlineLevel="0" collapsed="false">
      <c r="A1120" s="23"/>
      <c r="B1120" s="24"/>
      <c r="C1120" s="25"/>
      <c r="D1120" s="24"/>
      <c r="E1120" s="21" t="str">
        <f aca="false">IF(OR(B1120="",N(N1120)=0,N1120=1000),IF(B1120="","","Check"),INDEX(Rules!$B:$B,N1120))</f>
        <v/>
      </c>
      <c r="F1120" s="21" t="str">
        <f aca="false">IF(OR(B1120="",N(N1120)=0,N1120=1000),"",INDEX(Rules!$C:$C,N1120))</f>
        <v/>
      </c>
      <c r="G1120" s="24"/>
      <c r="H1120" s="24"/>
      <c r="I1120" s="20" t="str">
        <f aca="false">IF(B1120="","",IF(G1120&lt;&gt;"",G1120,E1120))</f>
        <v/>
      </c>
      <c r="J1120" s="21" t="str">
        <f aca="false">IF(B1120="","",IF(H1120&lt;&gt;"",H1120,F1120))</f>
        <v/>
      </c>
      <c r="K1120" s="26" t="str">
        <f aca="false">IF(A1120="","",DATE(YEAR(A1120),MONTH(A1120),1))</f>
        <v/>
      </c>
      <c r="L1120" s="21" t="str">
        <f aca="false">IF(J1120="",IF(B1120="","",IF(N(C1120)&gt;=0,"Income","Expense")),IFERROR(INDEX(Lists!$B$2:$B$30,MATCH(J1120,Lists!$A$2:$A$30,0)),""))</f>
        <v/>
      </c>
      <c r="M1120" s="24"/>
      <c r="N1120" s="27" t="str">
        <f aca="false">IF(B1120="","",IFERROR(1000-SUMPRODUCT(MAX(ISNUMBER(SEARCH(Rules!$A$5:$A$204,B1120))*(Rules!$A$5:$A$204&lt;&gt;"")*(1000-ROW(Rules!$A$5:$A$204)))),""))</f>
        <v/>
      </c>
    </row>
    <row r="1121" customFormat="false" ht="15" hidden="false" customHeight="false" outlineLevel="0" collapsed="false">
      <c r="A1121" s="23"/>
      <c r="B1121" s="24"/>
      <c r="C1121" s="25"/>
      <c r="D1121" s="24"/>
      <c r="E1121" s="21" t="str">
        <f aca="false">IF(OR(B1121="",N(N1121)=0,N1121=1000),IF(B1121="","","Check"),INDEX(Rules!$B:$B,N1121))</f>
        <v/>
      </c>
      <c r="F1121" s="21" t="str">
        <f aca="false">IF(OR(B1121="",N(N1121)=0,N1121=1000),"",INDEX(Rules!$C:$C,N1121))</f>
        <v/>
      </c>
      <c r="G1121" s="24"/>
      <c r="H1121" s="24"/>
      <c r="I1121" s="20" t="str">
        <f aca="false">IF(B1121="","",IF(G1121&lt;&gt;"",G1121,E1121))</f>
        <v/>
      </c>
      <c r="J1121" s="21" t="str">
        <f aca="false">IF(B1121="","",IF(H1121&lt;&gt;"",H1121,F1121))</f>
        <v/>
      </c>
      <c r="K1121" s="26" t="str">
        <f aca="false">IF(A1121="","",DATE(YEAR(A1121),MONTH(A1121),1))</f>
        <v/>
      </c>
      <c r="L1121" s="21" t="str">
        <f aca="false">IF(J1121="",IF(B1121="","",IF(N(C1121)&gt;=0,"Income","Expense")),IFERROR(INDEX(Lists!$B$2:$B$30,MATCH(J1121,Lists!$A$2:$A$30,0)),""))</f>
        <v/>
      </c>
      <c r="M1121" s="24"/>
      <c r="N1121" s="27" t="str">
        <f aca="false">IF(B1121="","",IFERROR(1000-SUMPRODUCT(MAX(ISNUMBER(SEARCH(Rules!$A$5:$A$204,B1121))*(Rules!$A$5:$A$204&lt;&gt;"")*(1000-ROW(Rules!$A$5:$A$204)))),""))</f>
        <v/>
      </c>
    </row>
    <row r="1122" customFormat="false" ht="15" hidden="false" customHeight="false" outlineLevel="0" collapsed="false">
      <c r="A1122" s="23"/>
      <c r="B1122" s="24"/>
      <c r="C1122" s="25"/>
      <c r="D1122" s="24"/>
      <c r="E1122" s="21" t="str">
        <f aca="false">IF(OR(B1122="",N(N1122)=0,N1122=1000),IF(B1122="","","Check"),INDEX(Rules!$B:$B,N1122))</f>
        <v/>
      </c>
      <c r="F1122" s="21" t="str">
        <f aca="false">IF(OR(B1122="",N(N1122)=0,N1122=1000),"",INDEX(Rules!$C:$C,N1122))</f>
        <v/>
      </c>
      <c r="G1122" s="24"/>
      <c r="H1122" s="24"/>
      <c r="I1122" s="20" t="str">
        <f aca="false">IF(B1122="","",IF(G1122&lt;&gt;"",G1122,E1122))</f>
        <v/>
      </c>
      <c r="J1122" s="21" t="str">
        <f aca="false">IF(B1122="","",IF(H1122&lt;&gt;"",H1122,F1122))</f>
        <v/>
      </c>
      <c r="K1122" s="26" t="str">
        <f aca="false">IF(A1122="","",DATE(YEAR(A1122),MONTH(A1122),1))</f>
        <v/>
      </c>
      <c r="L1122" s="21" t="str">
        <f aca="false">IF(J1122="",IF(B1122="","",IF(N(C1122)&gt;=0,"Income","Expense")),IFERROR(INDEX(Lists!$B$2:$B$30,MATCH(J1122,Lists!$A$2:$A$30,0)),""))</f>
        <v/>
      </c>
      <c r="M1122" s="24"/>
      <c r="N1122" s="27" t="str">
        <f aca="false">IF(B1122="","",IFERROR(1000-SUMPRODUCT(MAX(ISNUMBER(SEARCH(Rules!$A$5:$A$204,B1122))*(Rules!$A$5:$A$204&lt;&gt;"")*(1000-ROW(Rules!$A$5:$A$204)))),""))</f>
        <v/>
      </c>
    </row>
    <row r="1123" customFormat="false" ht="15" hidden="false" customHeight="false" outlineLevel="0" collapsed="false">
      <c r="A1123" s="23"/>
      <c r="B1123" s="24"/>
      <c r="C1123" s="25"/>
      <c r="D1123" s="24"/>
      <c r="E1123" s="21" t="str">
        <f aca="false">IF(OR(B1123="",N(N1123)=0,N1123=1000),IF(B1123="","","Check"),INDEX(Rules!$B:$B,N1123))</f>
        <v/>
      </c>
      <c r="F1123" s="21" t="str">
        <f aca="false">IF(OR(B1123="",N(N1123)=0,N1123=1000),"",INDEX(Rules!$C:$C,N1123))</f>
        <v/>
      </c>
      <c r="G1123" s="24"/>
      <c r="H1123" s="24"/>
      <c r="I1123" s="20" t="str">
        <f aca="false">IF(B1123="","",IF(G1123&lt;&gt;"",G1123,E1123))</f>
        <v/>
      </c>
      <c r="J1123" s="21" t="str">
        <f aca="false">IF(B1123="","",IF(H1123&lt;&gt;"",H1123,F1123))</f>
        <v/>
      </c>
      <c r="K1123" s="26" t="str">
        <f aca="false">IF(A1123="","",DATE(YEAR(A1123),MONTH(A1123),1))</f>
        <v/>
      </c>
      <c r="L1123" s="21" t="str">
        <f aca="false">IF(J1123="",IF(B1123="","",IF(N(C1123)&gt;=0,"Income","Expense")),IFERROR(INDEX(Lists!$B$2:$B$30,MATCH(J1123,Lists!$A$2:$A$30,0)),""))</f>
        <v/>
      </c>
      <c r="M1123" s="24"/>
      <c r="N1123" s="27" t="str">
        <f aca="false">IF(B1123="","",IFERROR(1000-SUMPRODUCT(MAX(ISNUMBER(SEARCH(Rules!$A$5:$A$204,B1123))*(Rules!$A$5:$A$204&lt;&gt;"")*(1000-ROW(Rules!$A$5:$A$204)))),""))</f>
        <v/>
      </c>
    </row>
    <row r="1124" customFormat="false" ht="15" hidden="false" customHeight="false" outlineLevel="0" collapsed="false">
      <c r="A1124" s="23"/>
      <c r="B1124" s="24"/>
      <c r="C1124" s="25"/>
      <c r="D1124" s="24"/>
      <c r="E1124" s="21" t="str">
        <f aca="false">IF(OR(B1124="",N(N1124)=0,N1124=1000),IF(B1124="","","Check"),INDEX(Rules!$B:$B,N1124))</f>
        <v/>
      </c>
      <c r="F1124" s="21" t="str">
        <f aca="false">IF(OR(B1124="",N(N1124)=0,N1124=1000),"",INDEX(Rules!$C:$C,N1124))</f>
        <v/>
      </c>
      <c r="G1124" s="24"/>
      <c r="H1124" s="24"/>
      <c r="I1124" s="20" t="str">
        <f aca="false">IF(B1124="","",IF(G1124&lt;&gt;"",G1124,E1124))</f>
        <v/>
      </c>
      <c r="J1124" s="21" t="str">
        <f aca="false">IF(B1124="","",IF(H1124&lt;&gt;"",H1124,F1124))</f>
        <v/>
      </c>
      <c r="K1124" s="26" t="str">
        <f aca="false">IF(A1124="","",DATE(YEAR(A1124),MONTH(A1124),1))</f>
        <v/>
      </c>
      <c r="L1124" s="21" t="str">
        <f aca="false">IF(J1124="",IF(B1124="","",IF(N(C1124)&gt;=0,"Income","Expense")),IFERROR(INDEX(Lists!$B$2:$B$30,MATCH(J1124,Lists!$A$2:$A$30,0)),""))</f>
        <v/>
      </c>
      <c r="M1124" s="24"/>
      <c r="N1124" s="27" t="str">
        <f aca="false">IF(B1124="","",IFERROR(1000-SUMPRODUCT(MAX(ISNUMBER(SEARCH(Rules!$A$5:$A$204,B1124))*(Rules!$A$5:$A$204&lt;&gt;"")*(1000-ROW(Rules!$A$5:$A$204)))),""))</f>
        <v/>
      </c>
    </row>
    <row r="1125" customFormat="false" ht="15" hidden="false" customHeight="false" outlineLevel="0" collapsed="false">
      <c r="A1125" s="23"/>
      <c r="B1125" s="24"/>
      <c r="C1125" s="25"/>
      <c r="D1125" s="24"/>
      <c r="E1125" s="21" t="str">
        <f aca="false">IF(OR(B1125="",N(N1125)=0,N1125=1000),IF(B1125="","","Check"),INDEX(Rules!$B:$B,N1125))</f>
        <v/>
      </c>
      <c r="F1125" s="21" t="str">
        <f aca="false">IF(OR(B1125="",N(N1125)=0,N1125=1000),"",INDEX(Rules!$C:$C,N1125))</f>
        <v/>
      </c>
      <c r="G1125" s="24"/>
      <c r="H1125" s="24"/>
      <c r="I1125" s="20" t="str">
        <f aca="false">IF(B1125="","",IF(G1125&lt;&gt;"",G1125,E1125))</f>
        <v/>
      </c>
      <c r="J1125" s="21" t="str">
        <f aca="false">IF(B1125="","",IF(H1125&lt;&gt;"",H1125,F1125))</f>
        <v/>
      </c>
      <c r="K1125" s="26" t="str">
        <f aca="false">IF(A1125="","",DATE(YEAR(A1125),MONTH(A1125),1))</f>
        <v/>
      </c>
      <c r="L1125" s="21" t="str">
        <f aca="false">IF(J1125="",IF(B1125="","",IF(N(C1125)&gt;=0,"Income","Expense")),IFERROR(INDEX(Lists!$B$2:$B$30,MATCH(J1125,Lists!$A$2:$A$30,0)),""))</f>
        <v/>
      </c>
      <c r="M1125" s="24"/>
      <c r="N1125" s="27" t="str">
        <f aca="false">IF(B1125="","",IFERROR(1000-SUMPRODUCT(MAX(ISNUMBER(SEARCH(Rules!$A$5:$A$204,B1125))*(Rules!$A$5:$A$204&lt;&gt;"")*(1000-ROW(Rules!$A$5:$A$204)))),""))</f>
        <v/>
      </c>
    </row>
    <row r="1126" customFormat="false" ht="15" hidden="false" customHeight="false" outlineLevel="0" collapsed="false">
      <c r="A1126" s="23"/>
      <c r="B1126" s="24"/>
      <c r="C1126" s="25"/>
      <c r="D1126" s="24"/>
      <c r="E1126" s="21" t="str">
        <f aca="false">IF(OR(B1126="",N(N1126)=0,N1126=1000),IF(B1126="","","Check"),INDEX(Rules!$B:$B,N1126))</f>
        <v/>
      </c>
      <c r="F1126" s="21" t="str">
        <f aca="false">IF(OR(B1126="",N(N1126)=0,N1126=1000),"",INDEX(Rules!$C:$C,N1126))</f>
        <v/>
      </c>
      <c r="G1126" s="24"/>
      <c r="H1126" s="24"/>
      <c r="I1126" s="20" t="str">
        <f aca="false">IF(B1126="","",IF(G1126&lt;&gt;"",G1126,E1126))</f>
        <v/>
      </c>
      <c r="J1126" s="21" t="str">
        <f aca="false">IF(B1126="","",IF(H1126&lt;&gt;"",H1126,F1126))</f>
        <v/>
      </c>
      <c r="K1126" s="26" t="str">
        <f aca="false">IF(A1126="","",DATE(YEAR(A1126),MONTH(A1126),1))</f>
        <v/>
      </c>
      <c r="L1126" s="21" t="str">
        <f aca="false">IF(J1126="",IF(B1126="","",IF(N(C1126)&gt;=0,"Income","Expense")),IFERROR(INDEX(Lists!$B$2:$B$30,MATCH(J1126,Lists!$A$2:$A$30,0)),""))</f>
        <v/>
      </c>
      <c r="M1126" s="24"/>
      <c r="N1126" s="27" t="str">
        <f aca="false">IF(B1126="","",IFERROR(1000-SUMPRODUCT(MAX(ISNUMBER(SEARCH(Rules!$A$5:$A$204,B1126))*(Rules!$A$5:$A$204&lt;&gt;"")*(1000-ROW(Rules!$A$5:$A$204)))),""))</f>
        <v/>
      </c>
    </row>
    <row r="1127" customFormat="false" ht="15" hidden="false" customHeight="false" outlineLevel="0" collapsed="false">
      <c r="A1127" s="23"/>
      <c r="B1127" s="24"/>
      <c r="C1127" s="25"/>
      <c r="D1127" s="24"/>
      <c r="E1127" s="21" t="str">
        <f aca="false">IF(OR(B1127="",N(N1127)=0,N1127=1000),IF(B1127="","","Check"),INDEX(Rules!$B:$B,N1127))</f>
        <v/>
      </c>
      <c r="F1127" s="21" t="str">
        <f aca="false">IF(OR(B1127="",N(N1127)=0,N1127=1000),"",INDEX(Rules!$C:$C,N1127))</f>
        <v/>
      </c>
      <c r="G1127" s="24"/>
      <c r="H1127" s="24"/>
      <c r="I1127" s="20" t="str">
        <f aca="false">IF(B1127="","",IF(G1127&lt;&gt;"",G1127,E1127))</f>
        <v/>
      </c>
      <c r="J1127" s="21" t="str">
        <f aca="false">IF(B1127="","",IF(H1127&lt;&gt;"",H1127,F1127))</f>
        <v/>
      </c>
      <c r="K1127" s="26" t="str">
        <f aca="false">IF(A1127="","",DATE(YEAR(A1127),MONTH(A1127),1))</f>
        <v/>
      </c>
      <c r="L1127" s="21" t="str">
        <f aca="false">IF(J1127="",IF(B1127="","",IF(N(C1127)&gt;=0,"Income","Expense")),IFERROR(INDEX(Lists!$B$2:$B$30,MATCH(J1127,Lists!$A$2:$A$30,0)),""))</f>
        <v/>
      </c>
      <c r="M1127" s="24"/>
      <c r="N1127" s="27" t="str">
        <f aca="false">IF(B1127="","",IFERROR(1000-SUMPRODUCT(MAX(ISNUMBER(SEARCH(Rules!$A$5:$A$204,B1127))*(Rules!$A$5:$A$204&lt;&gt;"")*(1000-ROW(Rules!$A$5:$A$204)))),""))</f>
        <v/>
      </c>
    </row>
    <row r="1128" customFormat="false" ht="15" hidden="false" customHeight="false" outlineLevel="0" collapsed="false">
      <c r="A1128" s="23"/>
      <c r="B1128" s="24"/>
      <c r="C1128" s="25"/>
      <c r="D1128" s="24"/>
      <c r="E1128" s="21" t="str">
        <f aca="false">IF(OR(B1128="",N(N1128)=0,N1128=1000),IF(B1128="","","Check"),INDEX(Rules!$B:$B,N1128))</f>
        <v/>
      </c>
      <c r="F1128" s="21" t="str">
        <f aca="false">IF(OR(B1128="",N(N1128)=0,N1128=1000),"",INDEX(Rules!$C:$C,N1128))</f>
        <v/>
      </c>
      <c r="G1128" s="24"/>
      <c r="H1128" s="24"/>
      <c r="I1128" s="20" t="str">
        <f aca="false">IF(B1128="","",IF(G1128&lt;&gt;"",G1128,E1128))</f>
        <v/>
      </c>
      <c r="J1128" s="21" t="str">
        <f aca="false">IF(B1128="","",IF(H1128&lt;&gt;"",H1128,F1128))</f>
        <v/>
      </c>
      <c r="K1128" s="26" t="str">
        <f aca="false">IF(A1128="","",DATE(YEAR(A1128),MONTH(A1128),1))</f>
        <v/>
      </c>
      <c r="L1128" s="21" t="str">
        <f aca="false">IF(J1128="",IF(B1128="","",IF(N(C1128)&gt;=0,"Income","Expense")),IFERROR(INDEX(Lists!$B$2:$B$30,MATCH(J1128,Lists!$A$2:$A$30,0)),""))</f>
        <v/>
      </c>
      <c r="M1128" s="24"/>
      <c r="N1128" s="27" t="str">
        <f aca="false">IF(B1128="","",IFERROR(1000-SUMPRODUCT(MAX(ISNUMBER(SEARCH(Rules!$A$5:$A$204,B1128))*(Rules!$A$5:$A$204&lt;&gt;"")*(1000-ROW(Rules!$A$5:$A$204)))),""))</f>
        <v/>
      </c>
    </row>
    <row r="1129" customFormat="false" ht="15" hidden="false" customHeight="false" outlineLevel="0" collapsed="false">
      <c r="A1129" s="23"/>
      <c r="B1129" s="24"/>
      <c r="C1129" s="25"/>
      <c r="D1129" s="24"/>
      <c r="E1129" s="21" t="str">
        <f aca="false">IF(OR(B1129="",N(N1129)=0,N1129=1000),IF(B1129="","","Check"),INDEX(Rules!$B:$B,N1129))</f>
        <v/>
      </c>
      <c r="F1129" s="21" t="str">
        <f aca="false">IF(OR(B1129="",N(N1129)=0,N1129=1000),"",INDEX(Rules!$C:$C,N1129))</f>
        <v/>
      </c>
      <c r="G1129" s="24"/>
      <c r="H1129" s="24"/>
      <c r="I1129" s="20" t="str">
        <f aca="false">IF(B1129="","",IF(G1129&lt;&gt;"",G1129,E1129))</f>
        <v/>
      </c>
      <c r="J1129" s="21" t="str">
        <f aca="false">IF(B1129="","",IF(H1129&lt;&gt;"",H1129,F1129))</f>
        <v/>
      </c>
      <c r="K1129" s="26" t="str">
        <f aca="false">IF(A1129="","",DATE(YEAR(A1129),MONTH(A1129),1))</f>
        <v/>
      </c>
      <c r="L1129" s="21" t="str">
        <f aca="false">IF(J1129="",IF(B1129="","",IF(N(C1129)&gt;=0,"Income","Expense")),IFERROR(INDEX(Lists!$B$2:$B$30,MATCH(J1129,Lists!$A$2:$A$30,0)),""))</f>
        <v/>
      </c>
      <c r="M1129" s="24"/>
      <c r="N1129" s="27" t="str">
        <f aca="false">IF(B1129="","",IFERROR(1000-SUMPRODUCT(MAX(ISNUMBER(SEARCH(Rules!$A$5:$A$204,B1129))*(Rules!$A$5:$A$204&lt;&gt;"")*(1000-ROW(Rules!$A$5:$A$204)))),""))</f>
        <v/>
      </c>
    </row>
    <row r="1130" customFormat="false" ht="15" hidden="false" customHeight="false" outlineLevel="0" collapsed="false">
      <c r="A1130" s="23"/>
      <c r="B1130" s="24"/>
      <c r="C1130" s="25"/>
      <c r="D1130" s="24"/>
      <c r="E1130" s="21" t="str">
        <f aca="false">IF(OR(B1130="",N(N1130)=0,N1130=1000),IF(B1130="","","Check"),INDEX(Rules!$B:$B,N1130))</f>
        <v/>
      </c>
      <c r="F1130" s="21" t="str">
        <f aca="false">IF(OR(B1130="",N(N1130)=0,N1130=1000),"",INDEX(Rules!$C:$C,N1130))</f>
        <v/>
      </c>
      <c r="G1130" s="24"/>
      <c r="H1130" s="24"/>
      <c r="I1130" s="20" t="str">
        <f aca="false">IF(B1130="","",IF(G1130&lt;&gt;"",G1130,E1130))</f>
        <v/>
      </c>
      <c r="J1130" s="21" t="str">
        <f aca="false">IF(B1130="","",IF(H1130&lt;&gt;"",H1130,F1130))</f>
        <v/>
      </c>
      <c r="K1130" s="26" t="str">
        <f aca="false">IF(A1130="","",DATE(YEAR(A1130),MONTH(A1130),1))</f>
        <v/>
      </c>
      <c r="L1130" s="21" t="str">
        <f aca="false">IF(J1130="",IF(B1130="","",IF(N(C1130)&gt;=0,"Income","Expense")),IFERROR(INDEX(Lists!$B$2:$B$30,MATCH(J1130,Lists!$A$2:$A$30,0)),""))</f>
        <v/>
      </c>
      <c r="M1130" s="24"/>
      <c r="N1130" s="27" t="str">
        <f aca="false">IF(B1130="","",IFERROR(1000-SUMPRODUCT(MAX(ISNUMBER(SEARCH(Rules!$A$5:$A$204,B1130))*(Rules!$A$5:$A$204&lt;&gt;"")*(1000-ROW(Rules!$A$5:$A$204)))),""))</f>
        <v/>
      </c>
    </row>
    <row r="1131" customFormat="false" ht="15" hidden="false" customHeight="false" outlineLevel="0" collapsed="false">
      <c r="A1131" s="23"/>
      <c r="B1131" s="24"/>
      <c r="C1131" s="25"/>
      <c r="D1131" s="24"/>
      <c r="E1131" s="21" t="str">
        <f aca="false">IF(OR(B1131="",N(N1131)=0,N1131=1000),IF(B1131="","","Check"),INDEX(Rules!$B:$B,N1131))</f>
        <v/>
      </c>
      <c r="F1131" s="21" t="str">
        <f aca="false">IF(OR(B1131="",N(N1131)=0,N1131=1000),"",INDEX(Rules!$C:$C,N1131))</f>
        <v/>
      </c>
      <c r="G1131" s="24"/>
      <c r="H1131" s="24"/>
      <c r="I1131" s="20" t="str">
        <f aca="false">IF(B1131="","",IF(G1131&lt;&gt;"",G1131,E1131))</f>
        <v/>
      </c>
      <c r="J1131" s="21" t="str">
        <f aca="false">IF(B1131="","",IF(H1131&lt;&gt;"",H1131,F1131))</f>
        <v/>
      </c>
      <c r="K1131" s="26" t="str">
        <f aca="false">IF(A1131="","",DATE(YEAR(A1131),MONTH(A1131),1))</f>
        <v/>
      </c>
      <c r="L1131" s="21" t="str">
        <f aca="false">IF(J1131="",IF(B1131="","",IF(N(C1131)&gt;=0,"Income","Expense")),IFERROR(INDEX(Lists!$B$2:$B$30,MATCH(J1131,Lists!$A$2:$A$30,0)),""))</f>
        <v/>
      </c>
      <c r="M1131" s="24"/>
      <c r="N1131" s="27" t="str">
        <f aca="false">IF(B1131="","",IFERROR(1000-SUMPRODUCT(MAX(ISNUMBER(SEARCH(Rules!$A$5:$A$204,B1131))*(Rules!$A$5:$A$204&lt;&gt;"")*(1000-ROW(Rules!$A$5:$A$204)))),""))</f>
        <v/>
      </c>
    </row>
    <row r="1132" customFormat="false" ht="15" hidden="false" customHeight="false" outlineLevel="0" collapsed="false">
      <c r="A1132" s="23"/>
      <c r="B1132" s="24"/>
      <c r="C1132" s="25"/>
      <c r="D1132" s="24"/>
      <c r="E1132" s="21" t="str">
        <f aca="false">IF(OR(B1132="",N(N1132)=0,N1132=1000),IF(B1132="","","Check"),INDEX(Rules!$B:$B,N1132))</f>
        <v/>
      </c>
      <c r="F1132" s="21" t="str">
        <f aca="false">IF(OR(B1132="",N(N1132)=0,N1132=1000),"",INDEX(Rules!$C:$C,N1132))</f>
        <v/>
      </c>
      <c r="G1132" s="24"/>
      <c r="H1132" s="24"/>
      <c r="I1132" s="20" t="str">
        <f aca="false">IF(B1132="","",IF(G1132&lt;&gt;"",G1132,E1132))</f>
        <v/>
      </c>
      <c r="J1132" s="21" t="str">
        <f aca="false">IF(B1132="","",IF(H1132&lt;&gt;"",H1132,F1132))</f>
        <v/>
      </c>
      <c r="K1132" s="26" t="str">
        <f aca="false">IF(A1132="","",DATE(YEAR(A1132),MONTH(A1132),1))</f>
        <v/>
      </c>
      <c r="L1132" s="21" t="str">
        <f aca="false">IF(J1132="",IF(B1132="","",IF(N(C1132)&gt;=0,"Income","Expense")),IFERROR(INDEX(Lists!$B$2:$B$30,MATCH(J1132,Lists!$A$2:$A$30,0)),""))</f>
        <v/>
      </c>
      <c r="M1132" s="24"/>
      <c r="N1132" s="27" t="str">
        <f aca="false">IF(B1132="","",IFERROR(1000-SUMPRODUCT(MAX(ISNUMBER(SEARCH(Rules!$A$5:$A$204,B1132))*(Rules!$A$5:$A$204&lt;&gt;"")*(1000-ROW(Rules!$A$5:$A$204)))),""))</f>
        <v/>
      </c>
    </row>
    <row r="1133" customFormat="false" ht="15" hidden="false" customHeight="false" outlineLevel="0" collapsed="false">
      <c r="A1133" s="23"/>
      <c r="B1133" s="24"/>
      <c r="C1133" s="25"/>
      <c r="D1133" s="24"/>
      <c r="E1133" s="21" t="str">
        <f aca="false">IF(OR(B1133="",N(N1133)=0,N1133=1000),IF(B1133="","","Check"),INDEX(Rules!$B:$B,N1133))</f>
        <v/>
      </c>
      <c r="F1133" s="21" t="str">
        <f aca="false">IF(OR(B1133="",N(N1133)=0,N1133=1000),"",INDEX(Rules!$C:$C,N1133))</f>
        <v/>
      </c>
      <c r="G1133" s="24"/>
      <c r="H1133" s="24"/>
      <c r="I1133" s="20" t="str">
        <f aca="false">IF(B1133="","",IF(G1133&lt;&gt;"",G1133,E1133))</f>
        <v/>
      </c>
      <c r="J1133" s="21" t="str">
        <f aca="false">IF(B1133="","",IF(H1133&lt;&gt;"",H1133,F1133))</f>
        <v/>
      </c>
      <c r="K1133" s="26" t="str">
        <f aca="false">IF(A1133="","",DATE(YEAR(A1133),MONTH(A1133),1))</f>
        <v/>
      </c>
      <c r="L1133" s="21" t="str">
        <f aca="false">IF(J1133="",IF(B1133="","",IF(N(C1133)&gt;=0,"Income","Expense")),IFERROR(INDEX(Lists!$B$2:$B$30,MATCH(J1133,Lists!$A$2:$A$30,0)),""))</f>
        <v/>
      </c>
      <c r="M1133" s="24"/>
      <c r="N1133" s="27" t="str">
        <f aca="false">IF(B1133="","",IFERROR(1000-SUMPRODUCT(MAX(ISNUMBER(SEARCH(Rules!$A$5:$A$204,B1133))*(Rules!$A$5:$A$204&lt;&gt;"")*(1000-ROW(Rules!$A$5:$A$204)))),""))</f>
        <v/>
      </c>
    </row>
    <row r="1134" customFormat="false" ht="15" hidden="false" customHeight="false" outlineLevel="0" collapsed="false">
      <c r="A1134" s="23"/>
      <c r="B1134" s="24"/>
      <c r="C1134" s="25"/>
      <c r="D1134" s="24"/>
      <c r="E1134" s="21" t="str">
        <f aca="false">IF(OR(B1134="",N(N1134)=0,N1134=1000),IF(B1134="","","Check"),INDEX(Rules!$B:$B,N1134))</f>
        <v/>
      </c>
      <c r="F1134" s="21" t="str">
        <f aca="false">IF(OR(B1134="",N(N1134)=0,N1134=1000),"",INDEX(Rules!$C:$C,N1134))</f>
        <v/>
      </c>
      <c r="G1134" s="24"/>
      <c r="H1134" s="24"/>
      <c r="I1134" s="20" t="str">
        <f aca="false">IF(B1134="","",IF(G1134&lt;&gt;"",G1134,E1134))</f>
        <v/>
      </c>
      <c r="J1134" s="21" t="str">
        <f aca="false">IF(B1134="","",IF(H1134&lt;&gt;"",H1134,F1134))</f>
        <v/>
      </c>
      <c r="K1134" s="26" t="str">
        <f aca="false">IF(A1134="","",DATE(YEAR(A1134),MONTH(A1134),1))</f>
        <v/>
      </c>
      <c r="L1134" s="21" t="str">
        <f aca="false">IF(J1134="",IF(B1134="","",IF(N(C1134)&gt;=0,"Income","Expense")),IFERROR(INDEX(Lists!$B$2:$B$30,MATCH(J1134,Lists!$A$2:$A$30,0)),""))</f>
        <v/>
      </c>
      <c r="M1134" s="24"/>
      <c r="N1134" s="27" t="str">
        <f aca="false">IF(B1134="","",IFERROR(1000-SUMPRODUCT(MAX(ISNUMBER(SEARCH(Rules!$A$5:$A$204,B1134))*(Rules!$A$5:$A$204&lt;&gt;"")*(1000-ROW(Rules!$A$5:$A$204)))),""))</f>
        <v/>
      </c>
    </row>
    <row r="1135" customFormat="false" ht="15" hidden="false" customHeight="false" outlineLevel="0" collapsed="false">
      <c r="A1135" s="23"/>
      <c r="B1135" s="24"/>
      <c r="C1135" s="25"/>
      <c r="D1135" s="24"/>
      <c r="E1135" s="21" t="str">
        <f aca="false">IF(OR(B1135="",N(N1135)=0,N1135=1000),IF(B1135="","","Check"),INDEX(Rules!$B:$B,N1135))</f>
        <v/>
      </c>
      <c r="F1135" s="21" t="str">
        <f aca="false">IF(OR(B1135="",N(N1135)=0,N1135=1000),"",INDEX(Rules!$C:$C,N1135))</f>
        <v/>
      </c>
      <c r="G1135" s="24"/>
      <c r="H1135" s="24"/>
      <c r="I1135" s="20" t="str">
        <f aca="false">IF(B1135="","",IF(G1135&lt;&gt;"",G1135,E1135))</f>
        <v/>
      </c>
      <c r="J1135" s="21" t="str">
        <f aca="false">IF(B1135="","",IF(H1135&lt;&gt;"",H1135,F1135))</f>
        <v/>
      </c>
      <c r="K1135" s="26" t="str">
        <f aca="false">IF(A1135="","",DATE(YEAR(A1135),MONTH(A1135),1))</f>
        <v/>
      </c>
      <c r="L1135" s="21" t="str">
        <f aca="false">IF(J1135="",IF(B1135="","",IF(N(C1135)&gt;=0,"Income","Expense")),IFERROR(INDEX(Lists!$B$2:$B$30,MATCH(J1135,Lists!$A$2:$A$30,0)),""))</f>
        <v/>
      </c>
      <c r="M1135" s="24"/>
      <c r="N1135" s="27" t="str">
        <f aca="false">IF(B1135="","",IFERROR(1000-SUMPRODUCT(MAX(ISNUMBER(SEARCH(Rules!$A$5:$A$204,B1135))*(Rules!$A$5:$A$204&lt;&gt;"")*(1000-ROW(Rules!$A$5:$A$204)))),""))</f>
        <v/>
      </c>
    </row>
    <row r="1136" customFormat="false" ht="15" hidden="false" customHeight="false" outlineLevel="0" collapsed="false">
      <c r="A1136" s="23"/>
      <c r="B1136" s="24"/>
      <c r="C1136" s="25"/>
      <c r="D1136" s="24"/>
      <c r="E1136" s="21" t="str">
        <f aca="false">IF(OR(B1136="",N(N1136)=0,N1136=1000),IF(B1136="","","Check"),INDEX(Rules!$B:$B,N1136))</f>
        <v/>
      </c>
      <c r="F1136" s="21" t="str">
        <f aca="false">IF(OR(B1136="",N(N1136)=0,N1136=1000),"",INDEX(Rules!$C:$C,N1136))</f>
        <v/>
      </c>
      <c r="G1136" s="24"/>
      <c r="H1136" s="24"/>
      <c r="I1136" s="20" t="str">
        <f aca="false">IF(B1136="","",IF(G1136&lt;&gt;"",G1136,E1136))</f>
        <v/>
      </c>
      <c r="J1136" s="21" t="str">
        <f aca="false">IF(B1136="","",IF(H1136&lt;&gt;"",H1136,F1136))</f>
        <v/>
      </c>
      <c r="K1136" s="26" t="str">
        <f aca="false">IF(A1136="","",DATE(YEAR(A1136),MONTH(A1136),1))</f>
        <v/>
      </c>
      <c r="L1136" s="21" t="str">
        <f aca="false">IF(J1136="",IF(B1136="","",IF(N(C1136)&gt;=0,"Income","Expense")),IFERROR(INDEX(Lists!$B$2:$B$30,MATCH(J1136,Lists!$A$2:$A$30,0)),""))</f>
        <v/>
      </c>
      <c r="M1136" s="24"/>
      <c r="N1136" s="27" t="str">
        <f aca="false">IF(B1136="","",IFERROR(1000-SUMPRODUCT(MAX(ISNUMBER(SEARCH(Rules!$A$5:$A$204,B1136))*(Rules!$A$5:$A$204&lt;&gt;"")*(1000-ROW(Rules!$A$5:$A$204)))),""))</f>
        <v/>
      </c>
    </row>
    <row r="1137" customFormat="false" ht="15" hidden="false" customHeight="false" outlineLevel="0" collapsed="false">
      <c r="A1137" s="23"/>
      <c r="B1137" s="24"/>
      <c r="C1137" s="25"/>
      <c r="D1137" s="24"/>
      <c r="E1137" s="21" t="str">
        <f aca="false">IF(OR(B1137="",N(N1137)=0,N1137=1000),IF(B1137="","","Check"),INDEX(Rules!$B:$B,N1137))</f>
        <v/>
      </c>
      <c r="F1137" s="21" t="str">
        <f aca="false">IF(OR(B1137="",N(N1137)=0,N1137=1000),"",INDEX(Rules!$C:$C,N1137))</f>
        <v/>
      </c>
      <c r="G1137" s="24"/>
      <c r="H1137" s="24"/>
      <c r="I1137" s="20" t="str">
        <f aca="false">IF(B1137="","",IF(G1137&lt;&gt;"",G1137,E1137))</f>
        <v/>
      </c>
      <c r="J1137" s="21" t="str">
        <f aca="false">IF(B1137="","",IF(H1137&lt;&gt;"",H1137,F1137))</f>
        <v/>
      </c>
      <c r="K1137" s="26" t="str">
        <f aca="false">IF(A1137="","",DATE(YEAR(A1137),MONTH(A1137),1))</f>
        <v/>
      </c>
      <c r="L1137" s="21" t="str">
        <f aca="false">IF(J1137="",IF(B1137="","",IF(N(C1137)&gt;=0,"Income","Expense")),IFERROR(INDEX(Lists!$B$2:$B$30,MATCH(J1137,Lists!$A$2:$A$30,0)),""))</f>
        <v/>
      </c>
      <c r="M1137" s="24"/>
      <c r="N1137" s="27" t="str">
        <f aca="false">IF(B1137="","",IFERROR(1000-SUMPRODUCT(MAX(ISNUMBER(SEARCH(Rules!$A$5:$A$204,B1137))*(Rules!$A$5:$A$204&lt;&gt;"")*(1000-ROW(Rules!$A$5:$A$204)))),""))</f>
        <v/>
      </c>
    </row>
    <row r="1138" customFormat="false" ht="15" hidden="false" customHeight="false" outlineLevel="0" collapsed="false">
      <c r="A1138" s="23"/>
      <c r="B1138" s="24"/>
      <c r="C1138" s="25"/>
      <c r="D1138" s="24"/>
      <c r="E1138" s="21" t="str">
        <f aca="false">IF(OR(B1138="",N(N1138)=0,N1138=1000),IF(B1138="","","Check"),INDEX(Rules!$B:$B,N1138))</f>
        <v/>
      </c>
      <c r="F1138" s="21" t="str">
        <f aca="false">IF(OR(B1138="",N(N1138)=0,N1138=1000),"",INDEX(Rules!$C:$C,N1138))</f>
        <v/>
      </c>
      <c r="G1138" s="24"/>
      <c r="H1138" s="24"/>
      <c r="I1138" s="20" t="str">
        <f aca="false">IF(B1138="","",IF(G1138&lt;&gt;"",G1138,E1138))</f>
        <v/>
      </c>
      <c r="J1138" s="21" t="str">
        <f aca="false">IF(B1138="","",IF(H1138&lt;&gt;"",H1138,F1138))</f>
        <v/>
      </c>
      <c r="K1138" s="26" t="str">
        <f aca="false">IF(A1138="","",DATE(YEAR(A1138),MONTH(A1138),1))</f>
        <v/>
      </c>
      <c r="L1138" s="21" t="str">
        <f aca="false">IF(J1138="",IF(B1138="","",IF(N(C1138)&gt;=0,"Income","Expense")),IFERROR(INDEX(Lists!$B$2:$B$30,MATCH(J1138,Lists!$A$2:$A$30,0)),""))</f>
        <v/>
      </c>
      <c r="M1138" s="24"/>
      <c r="N1138" s="27" t="str">
        <f aca="false">IF(B1138="","",IFERROR(1000-SUMPRODUCT(MAX(ISNUMBER(SEARCH(Rules!$A$5:$A$204,B1138))*(Rules!$A$5:$A$204&lt;&gt;"")*(1000-ROW(Rules!$A$5:$A$204)))),""))</f>
        <v/>
      </c>
    </row>
    <row r="1139" customFormat="false" ht="15" hidden="false" customHeight="false" outlineLevel="0" collapsed="false">
      <c r="A1139" s="23"/>
      <c r="B1139" s="24"/>
      <c r="C1139" s="25"/>
      <c r="D1139" s="24"/>
      <c r="E1139" s="21" t="str">
        <f aca="false">IF(OR(B1139="",N(N1139)=0,N1139=1000),IF(B1139="","","Check"),INDEX(Rules!$B:$B,N1139))</f>
        <v/>
      </c>
      <c r="F1139" s="21" t="str">
        <f aca="false">IF(OR(B1139="",N(N1139)=0,N1139=1000),"",INDEX(Rules!$C:$C,N1139))</f>
        <v/>
      </c>
      <c r="G1139" s="24"/>
      <c r="H1139" s="24"/>
      <c r="I1139" s="20" t="str">
        <f aca="false">IF(B1139="","",IF(G1139&lt;&gt;"",G1139,E1139))</f>
        <v/>
      </c>
      <c r="J1139" s="21" t="str">
        <f aca="false">IF(B1139="","",IF(H1139&lt;&gt;"",H1139,F1139))</f>
        <v/>
      </c>
      <c r="K1139" s="26" t="str">
        <f aca="false">IF(A1139="","",DATE(YEAR(A1139),MONTH(A1139),1))</f>
        <v/>
      </c>
      <c r="L1139" s="21" t="str">
        <f aca="false">IF(J1139="",IF(B1139="","",IF(N(C1139)&gt;=0,"Income","Expense")),IFERROR(INDEX(Lists!$B$2:$B$30,MATCH(J1139,Lists!$A$2:$A$30,0)),""))</f>
        <v/>
      </c>
      <c r="M1139" s="24"/>
      <c r="N1139" s="27" t="str">
        <f aca="false">IF(B1139="","",IFERROR(1000-SUMPRODUCT(MAX(ISNUMBER(SEARCH(Rules!$A$5:$A$204,B1139))*(Rules!$A$5:$A$204&lt;&gt;"")*(1000-ROW(Rules!$A$5:$A$204)))),""))</f>
        <v/>
      </c>
    </row>
    <row r="1140" customFormat="false" ht="15" hidden="false" customHeight="false" outlineLevel="0" collapsed="false">
      <c r="A1140" s="23"/>
      <c r="B1140" s="24"/>
      <c r="C1140" s="25"/>
      <c r="D1140" s="24"/>
      <c r="E1140" s="21" t="str">
        <f aca="false">IF(OR(B1140="",N(N1140)=0,N1140=1000),IF(B1140="","","Check"),INDEX(Rules!$B:$B,N1140))</f>
        <v/>
      </c>
      <c r="F1140" s="21" t="str">
        <f aca="false">IF(OR(B1140="",N(N1140)=0,N1140=1000),"",INDEX(Rules!$C:$C,N1140))</f>
        <v/>
      </c>
      <c r="G1140" s="24"/>
      <c r="H1140" s="24"/>
      <c r="I1140" s="20" t="str">
        <f aca="false">IF(B1140="","",IF(G1140&lt;&gt;"",G1140,E1140))</f>
        <v/>
      </c>
      <c r="J1140" s="21" t="str">
        <f aca="false">IF(B1140="","",IF(H1140&lt;&gt;"",H1140,F1140))</f>
        <v/>
      </c>
      <c r="K1140" s="26" t="str">
        <f aca="false">IF(A1140="","",DATE(YEAR(A1140),MONTH(A1140),1))</f>
        <v/>
      </c>
      <c r="L1140" s="21" t="str">
        <f aca="false">IF(J1140="",IF(B1140="","",IF(N(C1140)&gt;=0,"Income","Expense")),IFERROR(INDEX(Lists!$B$2:$B$30,MATCH(J1140,Lists!$A$2:$A$30,0)),""))</f>
        <v/>
      </c>
      <c r="M1140" s="24"/>
      <c r="N1140" s="27" t="str">
        <f aca="false">IF(B1140="","",IFERROR(1000-SUMPRODUCT(MAX(ISNUMBER(SEARCH(Rules!$A$5:$A$204,B1140))*(Rules!$A$5:$A$204&lt;&gt;"")*(1000-ROW(Rules!$A$5:$A$204)))),""))</f>
        <v/>
      </c>
    </row>
    <row r="1141" customFormat="false" ht="15" hidden="false" customHeight="false" outlineLevel="0" collapsed="false">
      <c r="A1141" s="23"/>
      <c r="B1141" s="24"/>
      <c r="C1141" s="25"/>
      <c r="D1141" s="24"/>
      <c r="E1141" s="21" t="str">
        <f aca="false">IF(OR(B1141="",N(N1141)=0,N1141=1000),IF(B1141="","","Check"),INDEX(Rules!$B:$B,N1141))</f>
        <v/>
      </c>
      <c r="F1141" s="21" t="str">
        <f aca="false">IF(OR(B1141="",N(N1141)=0,N1141=1000),"",INDEX(Rules!$C:$C,N1141))</f>
        <v/>
      </c>
      <c r="G1141" s="24"/>
      <c r="H1141" s="24"/>
      <c r="I1141" s="20" t="str">
        <f aca="false">IF(B1141="","",IF(G1141&lt;&gt;"",G1141,E1141))</f>
        <v/>
      </c>
      <c r="J1141" s="21" t="str">
        <f aca="false">IF(B1141="","",IF(H1141&lt;&gt;"",H1141,F1141))</f>
        <v/>
      </c>
      <c r="K1141" s="26" t="str">
        <f aca="false">IF(A1141="","",DATE(YEAR(A1141),MONTH(A1141),1))</f>
        <v/>
      </c>
      <c r="L1141" s="21" t="str">
        <f aca="false">IF(J1141="",IF(B1141="","",IF(N(C1141)&gt;=0,"Income","Expense")),IFERROR(INDEX(Lists!$B$2:$B$30,MATCH(J1141,Lists!$A$2:$A$30,0)),""))</f>
        <v/>
      </c>
      <c r="M1141" s="24"/>
      <c r="N1141" s="27" t="str">
        <f aca="false">IF(B1141="","",IFERROR(1000-SUMPRODUCT(MAX(ISNUMBER(SEARCH(Rules!$A$5:$A$204,B1141))*(Rules!$A$5:$A$204&lt;&gt;"")*(1000-ROW(Rules!$A$5:$A$204)))),""))</f>
        <v/>
      </c>
    </row>
    <row r="1142" customFormat="false" ht="15" hidden="false" customHeight="false" outlineLevel="0" collapsed="false">
      <c r="A1142" s="23"/>
      <c r="B1142" s="24"/>
      <c r="C1142" s="25"/>
      <c r="D1142" s="24"/>
      <c r="E1142" s="21" t="str">
        <f aca="false">IF(OR(B1142="",N(N1142)=0,N1142=1000),IF(B1142="","","Check"),INDEX(Rules!$B:$B,N1142))</f>
        <v/>
      </c>
      <c r="F1142" s="21" t="str">
        <f aca="false">IF(OR(B1142="",N(N1142)=0,N1142=1000),"",INDEX(Rules!$C:$C,N1142))</f>
        <v/>
      </c>
      <c r="G1142" s="24"/>
      <c r="H1142" s="24"/>
      <c r="I1142" s="20" t="str">
        <f aca="false">IF(B1142="","",IF(G1142&lt;&gt;"",G1142,E1142))</f>
        <v/>
      </c>
      <c r="J1142" s="21" t="str">
        <f aca="false">IF(B1142="","",IF(H1142&lt;&gt;"",H1142,F1142))</f>
        <v/>
      </c>
      <c r="K1142" s="26" t="str">
        <f aca="false">IF(A1142="","",DATE(YEAR(A1142),MONTH(A1142),1))</f>
        <v/>
      </c>
      <c r="L1142" s="21" t="str">
        <f aca="false">IF(J1142="",IF(B1142="","",IF(N(C1142)&gt;=0,"Income","Expense")),IFERROR(INDEX(Lists!$B$2:$B$30,MATCH(J1142,Lists!$A$2:$A$30,0)),""))</f>
        <v/>
      </c>
      <c r="M1142" s="24"/>
      <c r="N1142" s="27" t="str">
        <f aca="false">IF(B1142="","",IFERROR(1000-SUMPRODUCT(MAX(ISNUMBER(SEARCH(Rules!$A$5:$A$204,B1142))*(Rules!$A$5:$A$204&lt;&gt;"")*(1000-ROW(Rules!$A$5:$A$204)))),""))</f>
        <v/>
      </c>
    </row>
    <row r="1143" customFormat="false" ht="15" hidden="false" customHeight="false" outlineLevel="0" collapsed="false">
      <c r="A1143" s="23"/>
      <c r="B1143" s="24"/>
      <c r="C1143" s="25"/>
      <c r="D1143" s="24"/>
      <c r="E1143" s="21" t="str">
        <f aca="false">IF(OR(B1143="",N(N1143)=0,N1143=1000),IF(B1143="","","Check"),INDEX(Rules!$B:$B,N1143))</f>
        <v/>
      </c>
      <c r="F1143" s="21" t="str">
        <f aca="false">IF(OR(B1143="",N(N1143)=0,N1143=1000),"",INDEX(Rules!$C:$C,N1143))</f>
        <v/>
      </c>
      <c r="G1143" s="24"/>
      <c r="H1143" s="24"/>
      <c r="I1143" s="20" t="str">
        <f aca="false">IF(B1143="","",IF(G1143&lt;&gt;"",G1143,E1143))</f>
        <v/>
      </c>
      <c r="J1143" s="21" t="str">
        <f aca="false">IF(B1143="","",IF(H1143&lt;&gt;"",H1143,F1143))</f>
        <v/>
      </c>
      <c r="K1143" s="26" t="str">
        <f aca="false">IF(A1143="","",DATE(YEAR(A1143),MONTH(A1143),1))</f>
        <v/>
      </c>
      <c r="L1143" s="21" t="str">
        <f aca="false">IF(J1143="",IF(B1143="","",IF(N(C1143)&gt;=0,"Income","Expense")),IFERROR(INDEX(Lists!$B$2:$B$30,MATCH(J1143,Lists!$A$2:$A$30,0)),""))</f>
        <v/>
      </c>
      <c r="M1143" s="24"/>
      <c r="N1143" s="27" t="str">
        <f aca="false">IF(B1143="","",IFERROR(1000-SUMPRODUCT(MAX(ISNUMBER(SEARCH(Rules!$A$5:$A$204,B1143))*(Rules!$A$5:$A$204&lt;&gt;"")*(1000-ROW(Rules!$A$5:$A$204)))),""))</f>
        <v/>
      </c>
    </row>
    <row r="1144" customFormat="false" ht="15" hidden="false" customHeight="false" outlineLevel="0" collapsed="false">
      <c r="A1144" s="23"/>
      <c r="B1144" s="24"/>
      <c r="C1144" s="25"/>
      <c r="D1144" s="24"/>
      <c r="E1144" s="21" t="str">
        <f aca="false">IF(OR(B1144="",N(N1144)=0,N1144=1000),IF(B1144="","","Check"),INDEX(Rules!$B:$B,N1144))</f>
        <v/>
      </c>
      <c r="F1144" s="21" t="str">
        <f aca="false">IF(OR(B1144="",N(N1144)=0,N1144=1000),"",INDEX(Rules!$C:$C,N1144))</f>
        <v/>
      </c>
      <c r="G1144" s="24"/>
      <c r="H1144" s="24"/>
      <c r="I1144" s="20" t="str">
        <f aca="false">IF(B1144="","",IF(G1144&lt;&gt;"",G1144,E1144))</f>
        <v/>
      </c>
      <c r="J1144" s="21" t="str">
        <f aca="false">IF(B1144="","",IF(H1144&lt;&gt;"",H1144,F1144))</f>
        <v/>
      </c>
      <c r="K1144" s="26" t="str">
        <f aca="false">IF(A1144="","",DATE(YEAR(A1144),MONTH(A1144),1))</f>
        <v/>
      </c>
      <c r="L1144" s="21" t="str">
        <f aca="false">IF(J1144="",IF(B1144="","",IF(N(C1144)&gt;=0,"Income","Expense")),IFERROR(INDEX(Lists!$B$2:$B$30,MATCH(J1144,Lists!$A$2:$A$30,0)),""))</f>
        <v/>
      </c>
      <c r="M1144" s="24"/>
      <c r="N1144" s="27" t="str">
        <f aca="false">IF(B1144="","",IFERROR(1000-SUMPRODUCT(MAX(ISNUMBER(SEARCH(Rules!$A$5:$A$204,B1144))*(Rules!$A$5:$A$204&lt;&gt;"")*(1000-ROW(Rules!$A$5:$A$204)))),""))</f>
        <v/>
      </c>
    </row>
    <row r="1145" customFormat="false" ht="15" hidden="false" customHeight="false" outlineLevel="0" collapsed="false">
      <c r="A1145" s="23"/>
      <c r="B1145" s="24"/>
      <c r="C1145" s="25"/>
      <c r="D1145" s="24"/>
      <c r="E1145" s="21" t="str">
        <f aca="false">IF(OR(B1145="",N(N1145)=0,N1145=1000),IF(B1145="","","Check"),INDEX(Rules!$B:$B,N1145))</f>
        <v/>
      </c>
      <c r="F1145" s="21" t="str">
        <f aca="false">IF(OR(B1145="",N(N1145)=0,N1145=1000),"",INDEX(Rules!$C:$C,N1145))</f>
        <v/>
      </c>
      <c r="G1145" s="24"/>
      <c r="H1145" s="24"/>
      <c r="I1145" s="20" t="str">
        <f aca="false">IF(B1145="","",IF(G1145&lt;&gt;"",G1145,E1145))</f>
        <v/>
      </c>
      <c r="J1145" s="21" t="str">
        <f aca="false">IF(B1145="","",IF(H1145&lt;&gt;"",H1145,F1145))</f>
        <v/>
      </c>
      <c r="K1145" s="26" t="str">
        <f aca="false">IF(A1145="","",DATE(YEAR(A1145),MONTH(A1145),1))</f>
        <v/>
      </c>
      <c r="L1145" s="21" t="str">
        <f aca="false">IF(J1145="",IF(B1145="","",IF(N(C1145)&gt;=0,"Income","Expense")),IFERROR(INDEX(Lists!$B$2:$B$30,MATCH(J1145,Lists!$A$2:$A$30,0)),""))</f>
        <v/>
      </c>
      <c r="M1145" s="24"/>
      <c r="N1145" s="27" t="str">
        <f aca="false">IF(B1145="","",IFERROR(1000-SUMPRODUCT(MAX(ISNUMBER(SEARCH(Rules!$A$5:$A$204,B1145))*(Rules!$A$5:$A$204&lt;&gt;"")*(1000-ROW(Rules!$A$5:$A$204)))),""))</f>
        <v/>
      </c>
    </row>
    <row r="1146" customFormat="false" ht="15" hidden="false" customHeight="false" outlineLevel="0" collapsed="false">
      <c r="A1146" s="23"/>
      <c r="B1146" s="24"/>
      <c r="C1146" s="25"/>
      <c r="D1146" s="24"/>
      <c r="E1146" s="21" t="str">
        <f aca="false">IF(OR(B1146="",N(N1146)=0,N1146=1000),IF(B1146="","","Check"),INDEX(Rules!$B:$B,N1146))</f>
        <v/>
      </c>
      <c r="F1146" s="21" t="str">
        <f aca="false">IF(OR(B1146="",N(N1146)=0,N1146=1000),"",INDEX(Rules!$C:$C,N1146))</f>
        <v/>
      </c>
      <c r="G1146" s="24"/>
      <c r="H1146" s="24"/>
      <c r="I1146" s="20" t="str">
        <f aca="false">IF(B1146="","",IF(G1146&lt;&gt;"",G1146,E1146))</f>
        <v/>
      </c>
      <c r="J1146" s="21" t="str">
        <f aca="false">IF(B1146="","",IF(H1146&lt;&gt;"",H1146,F1146))</f>
        <v/>
      </c>
      <c r="K1146" s="26" t="str">
        <f aca="false">IF(A1146="","",DATE(YEAR(A1146),MONTH(A1146),1))</f>
        <v/>
      </c>
      <c r="L1146" s="21" t="str">
        <f aca="false">IF(J1146="",IF(B1146="","",IF(N(C1146)&gt;=0,"Income","Expense")),IFERROR(INDEX(Lists!$B$2:$B$30,MATCH(J1146,Lists!$A$2:$A$30,0)),""))</f>
        <v/>
      </c>
      <c r="M1146" s="24"/>
      <c r="N1146" s="27" t="str">
        <f aca="false">IF(B1146="","",IFERROR(1000-SUMPRODUCT(MAX(ISNUMBER(SEARCH(Rules!$A$5:$A$204,B1146))*(Rules!$A$5:$A$204&lt;&gt;"")*(1000-ROW(Rules!$A$5:$A$204)))),""))</f>
        <v/>
      </c>
    </row>
    <row r="1147" customFormat="false" ht="15" hidden="false" customHeight="false" outlineLevel="0" collapsed="false">
      <c r="A1147" s="23"/>
      <c r="B1147" s="24"/>
      <c r="C1147" s="25"/>
      <c r="D1147" s="24"/>
      <c r="E1147" s="21" t="str">
        <f aca="false">IF(OR(B1147="",N(N1147)=0,N1147=1000),IF(B1147="","","Check"),INDEX(Rules!$B:$B,N1147))</f>
        <v/>
      </c>
      <c r="F1147" s="21" t="str">
        <f aca="false">IF(OR(B1147="",N(N1147)=0,N1147=1000),"",INDEX(Rules!$C:$C,N1147))</f>
        <v/>
      </c>
      <c r="G1147" s="24"/>
      <c r="H1147" s="24"/>
      <c r="I1147" s="20" t="str">
        <f aca="false">IF(B1147="","",IF(G1147&lt;&gt;"",G1147,E1147))</f>
        <v/>
      </c>
      <c r="J1147" s="21" t="str">
        <f aca="false">IF(B1147="","",IF(H1147&lt;&gt;"",H1147,F1147))</f>
        <v/>
      </c>
      <c r="K1147" s="26" t="str">
        <f aca="false">IF(A1147="","",DATE(YEAR(A1147),MONTH(A1147),1))</f>
        <v/>
      </c>
      <c r="L1147" s="21" t="str">
        <f aca="false">IF(J1147="",IF(B1147="","",IF(N(C1147)&gt;=0,"Income","Expense")),IFERROR(INDEX(Lists!$B$2:$B$30,MATCH(J1147,Lists!$A$2:$A$30,0)),""))</f>
        <v/>
      </c>
      <c r="M1147" s="24"/>
      <c r="N1147" s="27" t="str">
        <f aca="false">IF(B1147="","",IFERROR(1000-SUMPRODUCT(MAX(ISNUMBER(SEARCH(Rules!$A$5:$A$204,B1147))*(Rules!$A$5:$A$204&lt;&gt;"")*(1000-ROW(Rules!$A$5:$A$204)))),""))</f>
        <v/>
      </c>
    </row>
    <row r="1148" customFormat="false" ht="15" hidden="false" customHeight="false" outlineLevel="0" collapsed="false">
      <c r="A1148" s="23"/>
      <c r="B1148" s="24"/>
      <c r="C1148" s="25"/>
      <c r="D1148" s="24"/>
      <c r="E1148" s="21" t="str">
        <f aca="false">IF(OR(B1148="",N(N1148)=0,N1148=1000),IF(B1148="","","Check"),INDEX(Rules!$B:$B,N1148))</f>
        <v/>
      </c>
      <c r="F1148" s="21" t="str">
        <f aca="false">IF(OR(B1148="",N(N1148)=0,N1148=1000),"",INDEX(Rules!$C:$C,N1148))</f>
        <v/>
      </c>
      <c r="G1148" s="24"/>
      <c r="H1148" s="24"/>
      <c r="I1148" s="20" t="str">
        <f aca="false">IF(B1148="","",IF(G1148&lt;&gt;"",G1148,E1148))</f>
        <v/>
      </c>
      <c r="J1148" s="21" t="str">
        <f aca="false">IF(B1148="","",IF(H1148&lt;&gt;"",H1148,F1148))</f>
        <v/>
      </c>
      <c r="K1148" s="26" t="str">
        <f aca="false">IF(A1148="","",DATE(YEAR(A1148),MONTH(A1148),1))</f>
        <v/>
      </c>
      <c r="L1148" s="21" t="str">
        <f aca="false">IF(J1148="",IF(B1148="","",IF(N(C1148)&gt;=0,"Income","Expense")),IFERROR(INDEX(Lists!$B$2:$B$30,MATCH(J1148,Lists!$A$2:$A$30,0)),""))</f>
        <v/>
      </c>
      <c r="M1148" s="24"/>
      <c r="N1148" s="27" t="str">
        <f aca="false">IF(B1148="","",IFERROR(1000-SUMPRODUCT(MAX(ISNUMBER(SEARCH(Rules!$A$5:$A$204,B1148))*(Rules!$A$5:$A$204&lt;&gt;"")*(1000-ROW(Rules!$A$5:$A$204)))),""))</f>
        <v/>
      </c>
    </row>
    <row r="1149" customFormat="false" ht="15" hidden="false" customHeight="false" outlineLevel="0" collapsed="false">
      <c r="A1149" s="23"/>
      <c r="B1149" s="24"/>
      <c r="C1149" s="25"/>
      <c r="D1149" s="24"/>
      <c r="E1149" s="21" t="str">
        <f aca="false">IF(OR(B1149="",N(N1149)=0,N1149=1000),IF(B1149="","","Check"),INDEX(Rules!$B:$B,N1149))</f>
        <v/>
      </c>
      <c r="F1149" s="21" t="str">
        <f aca="false">IF(OR(B1149="",N(N1149)=0,N1149=1000),"",INDEX(Rules!$C:$C,N1149))</f>
        <v/>
      </c>
      <c r="G1149" s="24"/>
      <c r="H1149" s="24"/>
      <c r="I1149" s="20" t="str">
        <f aca="false">IF(B1149="","",IF(G1149&lt;&gt;"",G1149,E1149))</f>
        <v/>
      </c>
      <c r="J1149" s="21" t="str">
        <f aca="false">IF(B1149="","",IF(H1149&lt;&gt;"",H1149,F1149))</f>
        <v/>
      </c>
      <c r="K1149" s="26" t="str">
        <f aca="false">IF(A1149="","",DATE(YEAR(A1149),MONTH(A1149),1))</f>
        <v/>
      </c>
      <c r="L1149" s="21" t="str">
        <f aca="false">IF(J1149="",IF(B1149="","",IF(N(C1149)&gt;=0,"Income","Expense")),IFERROR(INDEX(Lists!$B$2:$B$30,MATCH(J1149,Lists!$A$2:$A$30,0)),""))</f>
        <v/>
      </c>
      <c r="M1149" s="24"/>
      <c r="N1149" s="27" t="str">
        <f aca="false">IF(B1149="","",IFERROR(1000-SUMPRODUCT(MAX(ISNUMBER(SEARCH(Rules!$A$5:$A$204,B1149))*(Rules!$A$5:$A$204&lt;&gt;"")*(1000-ROW(Rules!$A$5:$A$204)))),""))</f>
        <v/>
      </c>
    </row>
    <row r="1150" customFormat="false" ht="15" hidden="false" customHeight="false" outlineLevel="0" collapsed="false">
      <c r="A1150" s="23"/>
      <c r="B1150" s="24"/>
      <c r="C1150" s="25"/>
      <c r="D1150" s="24"/>
      <c r="E1150" s="21" t="str">
        <f aca="false">IF(OR(B1150="",N(N1150)=0,N1150=1000),IF(B1150="","","Check"),INDEX(Rules!$B:$B,N1150))</f>
        <v/>
      </c>
      <c r="F1150" s="21" t="str">
        <f aca="false">IF(OR(B1150="",N(N1150)=0,N1150=1000),"",INDEX(Rules!$C:$C,N1150))</f>
        <v/>
      </c>
      <c r="G1150" s="24"/>
      <c r="H1150" s="24"/>
      <c r="I1150" s="20" t="str">
        <f aca="false">IF(B1150="","",IF(G1150&lt;&gt;"",G1150,E1150))</f>
        <v/>
      </c>
      <c r="J1150" s="21" t="str">
        <f aca="false">IF(B1150="","",IF(H1150&lt;&gt;"",H1150,F1150))</f>
        <v/>
      </c>
      <c r="K1150" s="26" t="str">
        <f aca="false">IF(A1150="","",DATE(YEAR(A1150),MONTH(A1150),1))</f>
        <v/>
      </c>
      <c r="L1150" s="21" t="str">
        <f aca="false">IF(J1150="",IF(B1150="","",IF(N(C1150)&gt;=0,"Income","Expense")),IFERROR(INDEX(Lists!$B$2:$B$30,MATCH(J1150,Lists!$A$2:$A$30,0)),""))</f>
        <v/>
      </c>
      <c r="M1150" s="24"/>
      <c r="N1150" s="27" t="str">
        <f aca="false">IF(B1150="","",IFERROR(1000-SUMPRODUCT(MAX(ISNUMBER(SEARCH(Rules!$A$5:$A$204,B1150))*(Rules!$A$5:$A$204&lt;&gt;"")*(1000-ROW(Rules!$A$5:$A$204)))),""))</f>
        <v/>
      </c>
    </row>
    <row r="1151" customFormat="false" ht="15" hidden="false" customHeight="false" outlineLevel="0" collapsed="false">
      <c r="A1151" s="23"/>
      <c r="B1151" s="24"/>
      <c r="C1151" s="25"/>
      <c r="D1151" s="24"/>
      <c r="E1151" s="21" t="str">
        <f aca="false">IF(OR(B1151="",N(N1151)=0,N1151=1000),IF(B1151="","","Check"),INDEX(Rules!$B:$B,N1151))</f>
        <v/>
      </c>
      <c r="F1151" s="21" t="str">
        <f aca="false">IF(OR(B1151="",N(N1151)=0,N1151=1000),"",INDEX(Rules!$C:$C,N1151))</f>
        <v/>
      </c>
      <c r="G1151" s="24"/>
      <c r="H1151" s="24"/>
      <c r="I1151" s="20" t="str">
        <f aca="false">IF(B1151="","",IF(G1151&lt;&gt;"",G1151,E1151))</f>
        <v/>
      </c>
      <c r="J1151" s="21" t="str">
        <f aca="false">IF(B1151="","",IF(H1151&lt;&gt;"",H1151,F1151))</f>
        <v/>
      </c>
      <c r="K1151" s="26" t="str">
        <f aca="false">IF(A1151="","",DATE(YEAR(A1151),MONTH(A1151),1))</f>
        <v/>
      </c>
      <c r="L1151" s="21" t="str">
        <f aca="false">IF(J1151="",IF(B1151="","",IF(N(C1151)&gt;=0,"Income","Expense")),IFERROR(INDEX(Lists!$B$2:$B$30,MATCH(J1151,Lists!$A$2:$A$30,0)),""))</f>
        <v/>
      </c>
      <c r="M1151" s="24"/>
      <c r="N1151" s="27" t="str">
        <f aca="false">IF(B1151="","",IFERROR(1000-SUMPRODUCT(MAX(ISNUMBER(SEARCH(Rules!$A$5:$A$204,B1151))*(Rules!$A$5:$A$204&lt;&gt;"")*(1000-ROW(Rules!$A$5:$A$204)))),""))</f>
        <v/>
      </c>
    </row>
    <row r="1152" customFormat="false" ht="15" hidden="false" customHeight="false" outlineLevel="0" collapsed="false">
      <c r="A1152" s="23"/>
      <c r="B1152" s="24"/>
      <c r="C1152" s="25"/>
      <c r="D1152" s="24"/>
      <c r="E1152" s="21" t="str">
        <f aca="false">IF(OR(B1152="",N(N1152)=0,N1152=1000),IF(B1152="","","Check"),INDEX(Rules!$B:$B,N1152))</f>
        <v/>
      </c>
      <c r="F1152" s="21" t="str">
        <f aca="false">IF(OR(B1152="",N(N1152)=0,N1152=1000),"",INDEX(Rules!$C:$C,N1152))</f>
        <v/>
      </c>
      <c r="G1152" s="24"/>
      <c r="H1152" s="24"/>
      <c r="I1152" s="20" t="str">
        <f aca="false">IF(B1152="","",IF(G1152&lt;&gt;"",G1152,E1152))</f>
        <v/>
      </c>
      <c r="J1152" s="21" t="str">
        <f aca="false">IF(B1152="","",IF(H1152&lt;&gt;"",H1152,F1152))</f>
        <v/>
      </c>
      <c r="K1152" s="26" t="str">
        <f aca="false">IF(A1152="","",DATE(YEAR(A1152),MONTH(A1152),1))</f>
        <v/>
      </c>
      <c r="L1152" s="21" t="str">
        <f aca="false">IF(J1152="",IF(B1152="","",IF(N(C1152)&gt;=0,"Income","Expense")),IFERROR(INDEX(Lists!$B$2:$B$30,MATCH(J1152,Lists!$A$2:$A$30,0)),""))</f>
        <v/>
      </c>
      <c r="M1152" s="24"/>
      <c r="N1152" s="27" t="str">
        <f aca="false">IF(B1152="","",IFERROR(1000-SUMPRODUCT(MAX(ISNUMBER(SEARCH(Rules!$A$5:$A$204,B1152))*(Rules!$A$5:$A$204&lt;&gt;"")*(1000-ROW(Rules!$A$5:$A$204)))),""))</f>
        <v/>
      </c>
    </row>
    <row r="1153" customFormat="false" ht="15" hidden="false" customHeight="false" outlineLevel="0" collapsed="false">
      <c r="A1153" s="23"/>
      <c r="B1153" s="24"/>
      <c r="C1153" s="25"/>
      <c r="D1153" s="24"/>
      <c r="E1153" s="21" t="str">
        <f aca="false">IF(OR(B1153="",N(N1153)=0,N1153=1000),IF(B1153="","","Check"),INDEX(Rules!$B:$B,N1153))</f>
        <v/>
      </c>
      <c r="F1153" s="21" t="str">
        <f aca="false">IF(OR(B1153="",N(N1153)=0,N1153=1000),"",INDEX(Rules!$C:$C,N1153))</f>
        <v/>
      </c>
      <c r="G1153" s="24"/>
      <c r="H1153" s="24"/>
      <c r="I1153" s="20" t="str">
        <f aca="false">IF(B1153="","",IF(G1153&lt;&gt;"",G1153,E1153))</f>
        <v/>
      </c>
      <c r="J1153" s="21" t="str">
        <f aca="false">IF(B1153="","",IF(H1153&lt;&gt;"",H1153,F1153))</f>
        <v/>
      </c>
      <c r="K1153" s="26" t="str">
        <f aca="false">IF(A1153="","",DATE(YEAR(A1153),MONTH(A1153),1))</f>
        <v/>
      </c>
      <c r="L1153" s="21" t="str">
        <f aca="false">IF(J1153="",IF(B1153="","",IF(N(C1153)&gt;=0,"Income","Expense")),IFERROR(INDEX(Lists!$B$2:$B$30,MATCH(J1153,Lists!$A$2:$A$30,0)),""))</f>
        <v/>
      </c>
      <c r="M1153" s="24"/>
      <c r="N1153" s="27" t="str">
        <f aca="false">IF(B1153="","",IFERROR(1000-SUMPRODUCT(MAX(ISNUMBER(SEARCH(Rules!$A$5:$A$204,B1153))*(Rules!$A$5:$A$204&lt;&gt;"")*(1000-ROW(Rules!$A$5:$A$204)))),""))</f>
        <v/>
      </c>
    </row>
    <row r="1154" customFormat="false" ht="15" hidden="false" customHeight="false" outlineLevel="0" collapsed="false">
      <c r="A1154" s="23"/>
      <c r="B1154" s="24"/>
      <c r="C1154" s="25"/>
      <c r="D1154" s="24"/>
      <c r="E1154" s="21" t="str">
        <f aca="false">IF(OR(B1154="",N(N1154)=0,N1154=1000),IF(B1154="","","Check"),INDEX(Rules!$B:$B,N1154))</f>
        <v/>
      </c>
      <c r="F1154" s="21" t="str">
        <f aca="false">IF(OR(B1154="",N(N1154)=0,N1154=1000),"",INDEX(Rules!$C:$C,N1154))</f>
        <v/>
      </c>
      <c r="G1154" s="24"/>
      <c r="H1154" s="24"/>
      <c r="I1154" s="20" t="str">
        <f aca="false">IF(B1154="","",IF(G1154&lt;&gt;"",G1154,E1154))</f>
        <v/>
      </c>
      <c r="J1154" s="21" t="str">
        <f aca="false">IF(B1154="","",IF(H1154&lt;&gt;"",H1154,F1154))</f>
        <v/>
      </c>
      <c r="K1154" s="26" t="str">
        <f aca="false">IF(A1154="","",DATE(YEAR(A1154),MONTH(A1154),1))</f>
        <v/>
      </c>
      <c r="L1154" s="21" t="str">
        <f aca="false">IF(J1154="",IF(B1154="","",IF(N(C1154)&gt;=0,"Income","Expense")),IFERROR(INDEX(Lists!$B$2:$B$30,MATCH(J1154,Lists!$A$2:$A$30,0)),""))</f>
        <v/>
      </c>
      <c r="M1154" s="24"/>
      <c r="N1154" s="27" t="str">
        <f aca="false">IF(B1154="","",IFERROR(1000-SUMPRODUCT(MAX(ISNUMBER(SEARCH(Rules!$A$5:$A$204,B1154))*(Rules!$A$5:$A$204&lt;&gt;"")*(1000-ROW(Rules!$A$5:$A$204)))),""))</f>
        <v/>
      </c>
    </row>
    <row r="1155" customFormat="false" ht="15" hidden="false" customHeight="false" outlineLevel="0" collapsed="false">
      <c r="A1155" s="23"/>
      <c r="B1155" s="24"/>
      <c r="C1155" s="25"/>
      <c r="D1155" s="24"/>
      <c r="E1155" s="21" t="str">
        <f aca="false">IF(OR(B1155="",N(N1155)=0,N1155=1000),IF(B1155="","","Check"),INDEX(Rules!$B:$B,N1155))</f>
        <v/>
      </c>
      <c r="F1155" s="21" t="str">
        <f aca="false">IF(OR(B1155="",N(N1155)=0,N1155=1000),"",INDEX(Rules!$C:$C,N1155))</f>
        <v/>
      </c>
      <c r="G1155" s="24"/>
      <c r="H1155" s="24"/>
      <c r="I1155" s="20" t="str">
        <f aca="false">IF(B1155="","",IF(G1155&lt;&gt;"",G1155,E1155))</f>
        <v/>
      </c>
      <c r="J1155" s="21" t="str">
        <f aca="false">IF(B1155="","",IF(H1155&lt;&gt;"",H1155,F1155))</f>
        <v/>
      </c>
      <c r="K1155" s="26" t="str">
        <f aca="false">IF(A1155="","",DATE(YEAR(A1155),MONTH(A1155),1))</f>
        <v/>
      </c>
      <c r="L1155" s="21" t="str">
        <f aca="false">IF(J1155="",IF(B1155="","",IF(N(C1155)&gt;=0,"Income","Expense")),IFERROR(INDEX(Lists!$B$2:$B$30,MATCH(J1155,Lists!$A$2:$A$30,0)),""))</f>
        <v/>
      </c>
      <c r="M1155" s="24"/>
      <c r="N1155" s="27" t="str">
        <f aca="false">IF(B1155="","",IFERROR(1000-SUMPRODUCT(MAX(ISNUMBER(SEARCH(Rules!$A$5:$A$204,B1155))*(Rules!$A$5:$A$204&lt;&gt;"")*(1000-ROW(Rules!$A$5:$A$204)))),""))</f>
        <v/>
      </c>
    </row>
    <row r="1156" customFormat="false" ht="15" hidden="false" customHeight="false" outlineLevel="0" collapsed="false">
      <c r="A1156" s="23"/>
      <c r="B1156" s="24"/>
      <c r="C1156" s="25"/>
      <c r="D1156" s="24"/>
      <c r="E1156" s="21" t="str">
        <f aca="false">IF(OR(B1156="",N(N1156)=0,N1156=1000),IF(B1156="","","Check"),INDEX(Rules!$B:$B,N1156))</f>
        <v/>
      </c>
      <c r="F1156" s="21" t="str">
        <f aca="false">IF(OR(B1156="",N(N1156)=0,N1156=1000),"",INDEX(Rules!$C:$C,N1156))</f>
        <v/>
      </c>
      <c r="G1156" s="24"/>
      <c r="H1156" s="24"/>
      <c r="I1156" s="20" t="str">
        <f aca="false">IF(B1156="","",IF(G1156&lt;&gt;"",G1156,E1156))</f>
        <v/>
      </c>
      <c r="J1156" s="21" t="str">
        <f aca="false">IF(B1156="","",IF(H1156&lt;&gt;"",H1156,F1156))</f>
        <v/>
      </c>
      <c r="K1156" s="26" t="str">
        <f aca="false">IF(A1156="","",DATE(YEAR(A1156),MONTH(A1156),1))</f>
        <v/>
      </c>
      <c r="L1156" s="21" t="str">
        <f aca="false">IF(J1156="",IF(B1156="","",IF(N(C1156)&gt;=0,"Income","Expense")),IFERROR(INDEX(Lists!$B$2:$B$30,MATCH(J1156,Lists!$A$2:$A$30,0)),""))</f>
        <v/>
      </c>
      <c r="M1156" s="24"/>
      <c r="N1156" s="27" t="str">
        <f aca="false">IF(B1156="","",IFERROR(1000-SUMPRODUCT(MAX(ISNUMBER(SEARCH(Rules!$A$5:$A$204,B1156))*(Rules!$A$5:$A$204&lt;&gt;"")*(1000-ROW(Rules!$A$5:$A$204)))),""))</f>
        <v/>
      </c>
    </row>
    <row r="1157" customFormat="false" ht="15" hidden="false" customHeight="false" outlineLevel="0" collapsed="false">
      <c r="A1157" s="23"/>
      <c r="B1157" s="24"/>
      <c r="C1157" s="25"/>
      <c r="D1157" s="24"/>
      <c r="E1157" s="21" t="str">
        <f aca="false">IF(OR(B1157="",N(N1157)=0,N1157=1000),IF(B1157="","","Check"),INDEX(Rules!$B:$B,N1157))</f>
        <v/>
      </c>
      <c r="F1157" s="21" t="str">
        <f aca="false">IF(OR(B1157="",N(N1157)=0,N1157=1000),"",INDEX(Rules!$C:$C,N1157))</f>
        <v/>
      </c>
      <c r="G1157" s="24"/>
      <c r="H1157" s="24"/>
      <c r="I1157" s="20" t="str">
        <f aca="false">IF(B1157="","",IF(G1157&lt;&gt;"",G1157,E1157))</f>
        <v/>
      </c>
      <c r="J1157" s="21" t="str">
        <f aca="false">IF(B1157="","",IF(H1157&lt;&gt;"",H1157,F1157))</f>
        <v/>
      </c>
      <c r="K1157" s="26" t="str">
        <f aca="false">IF(A1157="","",DATE(YEAR(A1157),MONTH(A1157),1))</f>
        <v/>
      </c>
      <c r="L1157" s="21" t="str">
        <f aca="false">IF(J1157="",IF(B1157="","",IF(N(C1157)&gt;=0,"Income","Expense")),IFERROR(INDEX(Lists!$B$2:$B$30,MATCH(J1157,Lists!$A$2:$A$30,0)),""))</f>
        <v/>
      </c>
      <c r="M1157" s="24"/>
      <c r="N1157" s="27" t="str">
        <f aca="false">IF(B1157="","",IFERROR(1000-SUMPRODUCT(MAX(ISNUMBER(SEARCH(Rules!$A$5:$A$204,B1157))*(Rules!$A$5:$A$204&lt;&gt;"")*(1000-ROW(Rules!$A$5:$A$204)))),""))</f>
        <v/>
      </c>
    </row>
    <row r="1158" customFormat="false" ht="15" hidden="false" customHeight="false" outlineLevel="0" collapsed="false">
      <c r="A1158" s="23"/>
      <c r="B1158" s="24"/>
      <c r="C1158" s="25"/>
      <c r="D1158" s="24"/>
      <c r="E1158" s="21" t="str">
        <f aca="false">IF(OR(B1158="",N(N1158)=0,N1158=1000),IF(B1158="","","Check"),INDEX(Rules!$B:$B,N1158))</f>
        <v/>
      </c>
      <c r="F1158" s="21" t="str">
        <f aca="false">IF(OR(B1158="",N(N1158)=0,N1158=1000),"",INDEX(Rules!$C:$C,N1158))</f>
        <v/>
      </c>
      <c r="G1158" s="24"/>
      <c r="H1158" s="24"/>
      <c r="I1158" s="20" t="str">
        <f aca="false">IF(B1158="","",IF(G1158&lt;&gt;"",G1158,E1158))</f>
        <v/>
      </c>
      <c r="J1158" s="21" t="str">
        <f aca="false">IF(B1158="","",IF(H1158&lt;&gt;"",H1158,F1158))</f>
        <v/>
      </c>
      <c r="K1158" s="26" t="str">
        <f aca="false">IF(A1158="","",DATE(YEAR(A1158),MONTH(A1158),1))</f>
        <v/>
      </c>
      <c r="L1158" s="21" t="str">
        <f aca="false">IF(J1158="",IF(B1158="","",IF(N(C1158)&gt;=0,"Income","Expense")),IFERROR(INDEX(Lists!$B$2:$B$30,MATCH(J1158,Lists!$A$2:$A$30,0)),""))</f>
        <v/>
      </c>
      <c r="M1158" s="24"/>
      <c r="N1158" s="27" t="str">
        <f aca="false">IF(B1158="","",IFERROR(1000-SUMPRODUCT(MAX(ISNUMBER(SEARCH(Rules!$A$5:$A$204,B1158))*(Rules!$A$5:$A$204&lt;&gt;"")*(1000-ROW(Rules!$A$5:$A$204)))),""))</f>
        <v/>
      </c>
    </row>
    <row r="1159" customFormat="false" ht="15" hidden="false" customHeight="false" outlineLevel="0" collapsed="false">
      <c r="A1159" s="23"/>
      <c r="B1159" s="24"/>
      <c r="C1159" s="25"/>
      <c r="D1159" s="24"/>
      <c r="E1159" s="21" t="str">
        <f aca="false">IF(OR(B1159="",N(N1159)=0,N1159=1000),IF(B1159="","","Check"),INDEX(Rules!$B:$B,N1159))</f>
        <v/>
      </c>
      <c r="F1159" s="21" t="str">
        <f aca="false">IF(OR(B1159="",N(N1159)=0,N1159=1000),"",INDEX(Rules!$C:$C,N1159))</f>
        <v/>
      </c>
      <c r="G1159" s="24"/>
      <c r="H1159" s="24"/>
      <c r="I1159" s="20" t="str">
        <f aca="false">IF(B1159="","",IF(G1159&lt;&gt;"",G1159,E1159))</f>
        <v/>
      </c>
      <c r="J1159" s="21" t="str">
        <f aca="false">IF(B1159="","",IF(H1159&lt;&gt;"",H1159,F1159))</f>
        <v/>
      </c>
      <c r="K1159" s="26" t="str">
        <f aca="false">IF(A1159="","",DATE(YEAR(A1159),MONTH(A1159),1))</f>
        <v/>
      </c>
      <c r="L1159" s="21" t="str">
        <f aca="false">IF(J1159="",IF(B1159="","",IF(N(C1159)&gt;=0,"Income","Expense")),IFERROR(INDEX(Lists!$B$2:$B$30,MATCH(J1159,Lists!$A$2:$A$30,0)),""))</f>
        <v/>
      </c>
      <c r="M1159" s="24"/>
      <c r="N1159" s="27" t="str">
        <f aca="false">IF(B1159="","",IFERROR(1000-SUMPRODUCT(MAX(ISNUMBER(SEARCH(Rules!$A$5:$A$204,B1159))*(Rules!$A$5:$A$204&lt;&gt;"")*(1000-ROW(Rules!$A$5:$A$204)))),""))</f>
        <v/>
      </c>
    </row>
    <row r="1160" customFormat="false" ht="15" hidden="false" customHeight="false" outlineLevel="0" collapsed="false">
      <c r="A1160" s="23"/>
      <c r="B1160" s="24"/>
      <c r="C1160" s="25"/>
      <c r="D1160" s="24"/>
      <c r="E1160" s="21" t="str">
        <f aca="false">IF(OR(B1160="",N(N1160)=0,N1160=1000),IF(B1160="","","Check"),INDEX(Rules!$B:$B,N1160))</f>
        <v/>
      </c>
      <c r="F1160" s="21" t="str">
        <f aca="false">IF(OR(B1160="",N(N1160)=0,N1160=1000),"",INDEX(Rules!$C:$C,N1160))</f>
        <v/>
      </c>
      <c r="G1160" s="24"/>
      <c r="H1160" s="24"/>
      <c r="I1160" s="20" t="str">
        <f aca="false">IF(B1160="","",IF(G1160&lt;&gt;"",G1160,E1160))</f>
        <v/>
      </c>
      <c r="J1160" s="21" t="str">
        <f aca="false">IF(B1160="","",IF(H1160&lt;&gt;"",H1160,F1160))</f>
        <v/>
      </c>
      <c r="K1160" s="26" t="str">
        <f aca="false">IF(A1160="","",DATE(YEAR(A1160),MONTH(A1160),1))</f>
        <v/>
      </c>
      <c r="L1160" s="21" t="str">
        <f aca="false">IF(J1160="",IF(B1160="","",IF(N(C1160)&gt;=0,"Income","Expense")),IFERROR(INDEX(Lists!$B$2:$B$30,MATCH(J1160,Lists!$A$2:$A$30,0)),""))</f>
        <v/>
      </c>
      <c r="M1160" s="24"/>
      <c r="N1160" s="27" t="str">
        <f aca="false">IF(B1160="","",IFERROR(1000-SUMPRODUCT(MAX(ISNUMBER(SEARCH(Rules!$A$5:$A$204,B1160))*(Rules!$A$5:$A$204&lt;&gt;"")*(1000-ROW(Rules!$A$5:$A$204)))),""))</f>
        <v/>
      </c>
    </row>
    <row r="1161" customFormat="false" ht="15" hidden="false" customHeight="false" outlineLevel="0" collapsed="false">
      <c r="A1161" s="23"/>
      <c r="B1161" s="24"/>
      <c r="C1161" s="25"/>
      <c r="D1161" s="24"/>
      <c r="E1161" s="21" t="str">
        <f aca="false">IF(OR(B1161="",N(N1161)=0,N1161=1000),IF(B1161="","","Check"),INDEX(Rules!$B:$B,N1161))</f>
        <v/>
      </c>
      <c r="F1161" s="21" t="str">
        <f aca="false">IF(OR(B1161="",N(N1161)=0,N1161=1000),"",INDEX(Rules!$C:$C,N1161))</f>
        <v/>
      </c>
      <c r="G1161" s="24"/>
      <c r="H1161" s="24"/>
      <c r="I1161" s="20" t="str">
        <f aca="false">IF(B1161="","",IF(G1161&lt;&gt;"",G1161,E1161))</f>
        <v/>
      </c>
      <c r="J1161" s="21" t="str">
        <f aca="false">IF(B1161="","",IF(H1161&lt;&gt;"",H1161,F1161))</f>
        <v/>
      </c>
      <c r="K1161" s="26" t="str">
        <f aca="false">IF(A1161="","",DATE(YEAR(A1161),MONTH(A1161),1))</f>
        <v/>
      </c>
      <c r="L1161" s="21" t="str">
        <f aca="false">IF(J1161="",IF(B1161="","",IF(N(C1161)&gt;=0,"Income","Expense")),IFERROR(INDEX(Lists!$B$2:$B$30,MATCH(J1161,Lists!$A$2:$A$30,0)),""))</f>
        <v/>
      </c>
      <c r="M1161" s="24"/>
      <c r="N1161" s="27" t="str">
        <f aca="false">IF(B1161="","",IFERROR(1000-SUMPRODUCT(MAX(ISNUMBER(SEARCH(Rules!$A$5:$A$204,B1161))*(Rules!$A$5:$A$204&lt;&gt;"")*(1000-ROW(Rules!$A$5:$A$204)))),""))</f>
        <v/>
      </c>
    </row>
    <row r="1162" customFormat="false" ht="15" hidden="false" customHeight="false" outlineLevel="0" collapsed="false">
      <c r="A1162" s="23"/>
      <c r="B1162" s="24"/>
      <c r="C1162" s="25"/>
      <c r="D1162" s="24"/>
      <c r="E1162" s="21" t="str">
        <f aca="false">IF(OR(B1162="",N(N1162)=0,N1162=1000),IF(B1162="","","Check"),INDEX(Rules!$B:$B,N1162))</f>
        <v/>
      </c>
      <c r="F1162" s="21" t="str">
        <f aca="false">IF(OR(B1162="",N(N1162)=0,N1162=1000),"",INDEX(Rules!$C:$C,N1162))</f>
        <v/>
      </c>
      <c r="G1162" s="24"/>
      <c r="H1162" s="24"/>
      <c r="I1162" s="20" t="str">
        <f aca="false">IF(B1162="","",IF(G1162&lt;&gt;"",G1162,E1162))</f>
        <v/>
      </c>
      <c r="J1162" s="21" t="str">
        <f aca="false">IF(B1162="","",IF(H1162&lt;&gt;"",H1162,F1162))</f>
        <v/>
      </c>
      <c r="K1162" s="26" t="str">
        <f aca="false">IF(A1162="","",DATE(YEAR(A1162),MONTH(A1162),1))</f>
        <v/>
      </c>
      <c r="L1162" s="21" t="str">
        <f aca="false">IF(J1162="",IF(B1162="","",IF(N(C1162)&gt;=0,"Income","Expense")),IFERROR(INDEX(Lists!$B$2:$B$30,MATCH(J1162,Lists!$A$2:$A$30,0)),""))</f>
        <v/>
      </c>
      <c r="M1162" s="24"/>
      <c r="N1162" s="27" t="str">
        <f aca="false">IF(B1162="","",IFERROR(1000-SUMPRODUCT(MAX(ISNUMBER(SEARCH(Rules!$A$5:$A$204,B1162))*(Rules!$A$5:$A$204&lt;&gt;"")*(1000-ROW(Rules!$A$5:$A$204)))),""))</f>
        <v/>
      </c>
    </row>
    <row r="1163" customFormat="false" ht="15" hidden="false" customHeight="false" outlineLevel="0" collapsed="false">
      <c r="A1163" s="23"/>
      <c r="B1163" s="24"/>
      <c r="C1163" s="25"/>
      <c r="D1163" s="24"/>
      <c r="E1163" s="21" t="str">
        <f aca="false">IF(OR(B1163="",N(N1163)=0,N1163=1000),IF(B1163="","","Check"),INDEX(Rules!$B:$B,N1163))</f>
        <v/>
      </c>
      <c r="F1163" s="21" t="str">
        <f aca="false">IF(OR(B1163="",N(N1163)=0,N1163=1000),"",INDEX(Rules!$C:$C,N1163))</f>
        <v/>
      </c>
      <c r="G1163" s="24"/>
      <c r="H1163" s="24"/>
      <c r="I1163" s="20" t="str">
        <f aca="false">IF(B1163="","",IF(G1163&lt;&gt;"",G1163,E1163))</f>
        <v/>
      </c>
      <c r="J1163" s="21" t="str">
        <f aca="false">IF(B1163="","",IF(H1163&lt;&gt;"",H1163,F1163))</f>
        <v/>
      </c>
      <c r="K1163" s="26" t="str">
        <f aca="false">IF(A1163="","",DATE(YEAR(A1163),MONTH(A1163),1))</f>
        <v/>
      </c>
      <c r="L1163" s="21" t="str">
        <f aca="false">IF(J1163="",IF(B1163="","",IF(N(C1163)&gt;=0,"Income","Expense")),IFERROR(INDEX(Lists!$B$2:$B$30,MATCH(J1163,Lists!$A$2:$A$30,0)),""))</f>
        <v/>
      </c>
      <c r="M1163" s="24"/>
      <c r="N1163" s="27" t="str">
        <f aca="false">IF(B1163="","",IFERROR(1000-SUMPRODUCT(MAX(ISNUMBER(SEARCH(Rules!$A$5:$A$204,B1163))*(Rules!$A$5:$A$204&lt;&gt;"")*(1000-ROW(Rules!$A$5:$A$204)))),""))</f>
        <v/>
      </c>
    </row>
    <row r="1164" customFormat="false" ht="15" hidden="false" customHeight="false" outlineLevel="0" collapsed="false">
      <c r="A1164" s="23"/>
      <c r="B1164" s="24"/>
      <c r="C1164" s="25"/>
      <c r="D1164" s="24"/>
      <c r="E1164" s="21" t="str">
        <f aca="false">IF(OR(B1164="",N(N1164)=0,N1164=1000),IF(B1164="","","Check"),INDEX(Rules!$B:$B,N1164))</f>
        <v/>
      </c>
      <c r="F1164" s="21" t="str">
        <f aca="false">IF(OR(B1164="",N(N1164)=0,N1164=1000),"",INDEX(Rules!$C:$C,N1164))</f>
        <v/>
      </c>
      <c r="G1164" s="24"/>
      <c r="H1164" s="24"/>
      <c r="I1164" s="20" t="str">
        <f aca="false">IF(B1164="","",IF(G1164&lt;&gt;"",G1164,E1164))</f>
        <v/>
      </c>
      <c r="J1164" s="21" t="str">
        <f aca="false">IF(B1164="","",IF(H1164&lt;&gt;"",H1164,F1164))</f>
        <v/>
      </c>
      <c r="K1164" s="26" t="str">
        <f aca="false">IF(A1164="","",DATE(YEAR(A1164),MONTH(A1164),1))</f>
        <v/>
      </c>
      <c r="L1164" s="21" t="str">
        <f aca="false">IF(J1164="",IF(B1164="","",IF(N(C1164)&gt;=0,"Income","Expense")),IFERROR(INDEX(Lists!$B$2:$B$30,MATCH(J1164,Lists!$A$2:$A$30,0)),""))</f>
        <v/>
      </c>
      <c r="M1164" s="24"/>
      <c r="N1164" s="27" t="str">
        <f aca="false">IF(B1164="","",IFERROR(1000-SUMPRODUCT(MAX(ISNUMBER(SEARCH(Rules!$A$5:$A$204,B1164))*(Rules!$A$5:$A$204&lt;&gt;"")*(1000-ROW(Rules!$A$5:$A$204)))),""))</f>
        <v/>
      </c>
    </row>
    <row r="1165" customFormat="false" ht="15" hidden="false" customHeight="false" outlineLevel="0" collapsed="false">
      <c r="A1165" s="23"/>
      <c r="B1165" s="24"/>
      <c r="C1165" s="25"/>
      <c r="D1165" s="24"/>
      <c r="E1165" s="21" t="str">
        <f aca="false">IF(OR(B1165="",N(N1165)=0,N1165=1000),IF(B1165="","","Check"),INDEX(Rules!$B:$B,N1165))</f>
        <v/>
      </c>
      <c r="F1165" s="21" t="str">
        <f aca="false">IF(OR(B1165="",N(N1165)=0,N1165=1000),"",INDEX(Rules!$C:$C,N1165))</f>
        <v/>
      </c>
      <c r="G1165" s="24"/>
      <c r="H1165" s="24"/>
      <c r="I1165" s="20" t="str">
        <f aca="false">IF(B1165="","",IF(G1165&lt;&gt;"",G1165,E1165))</f>
        <v/>
      </c>
      <c r="J1165" s="21" t="str">
        <f aca="false">IF(B1165="","",IF(H1165&lt;&gt;"",H1165,F1165))</f>
        <v/>
      </c>
      <c r="K1165" s="26" t="str">
        <f aca="false">IF(A1165="","",DATE(YEAR(A1165),MONTH(A1165),1))</f>
        <v/>
      </c>
      <c r="L1165" s="21" t="str">
        <f aca="false">IF(J1165="",IF(B1165="","",IF(N(C1165)&gt;=0,"Income","Expense")),IFERROR(INDEX(Lists!$B$2:$B$30,MATCH(J1165,Lists!$A$2:$A$30,0)),""))</f>
        <v/>
      </c>
      <c r="M1165" s="24"/>
      <c r="N1165" s="27" t="str">
        <f aca="false">IF(B1165="","",IFERROR(1000-SUMPRODUCT(MAX(ISNUMBER(SEARCH(Rules!$A$5:$A$204,B1165))*(Rules!$A$5:$A$204&lt;&gt;"")*(1000-ROW(Rules!$A$5:$A$204)))),""))</f>
        <v/>
      </c>
    </row>
    <row r="1166" customFormat="false" ht="15" hidden="false" customHeight="false" outlineLevel="0" collapsed="false">
      <c r="A1166" s="23"/>
      <c r="B1166" s="24"/>
      <c r="C1166" s="25"/>
      <c r="D1166" s="24"/>
      <c r="E1166" s="21" t="str">
        <f aca="false">IF(OR(B1166="",N(N1166)=0,N1166=1000),IF(B1166="","","Check"),INDEX(Rules!$B:$B,N1166))</f>
        <v/>
      </c>
      <c r="F1166" s="21" t="str">
        <f aca="false">IF(OR(B1166="",N(N1166)=0,N1166=1000),"",INDEX(Rules!$C:$C,N1166))</f>
        <v/>
      </c>
      <c r="G1166" s="24"/>
      <c r="H1166" s="24"/>
      <c r="I1166" s="20" t="str">
        <f aca="false">IF(B1166="","",IF(G1166&lt;&gt;"",G1166,E1166))</f>
        <v/>
      </c>
      <c r="J1166" s="21" t="str">
        <f aca="false">IF(B1166="","",IF(H1166&lt;&gt;"",H1166,F1166))</f>
        <v/>
      </c>
      <c r="K1166" s="26" t="str">
        <f aca="false">IF(A1166="","",DATE(YEAR(A1166),MONTH(A1166),1))</f>
        <v/>
      </c>
      <c r="L1166" s="21" t="str">
        <f aca="false">IF(J1166="",IF(B1166="","",IF(N(C1166)&gt;=0,"Income","Expense")),IFERROR(INDEX(Lists!$B$2:$B$30,MATCH(J1166,Lists!$A$2:$A$30,0)),""))</f>
        <v/>
      </c>
      <c r="M1166" s="24"/>
      <c r="N1166" s="27" t="str">
        <f aca="false">IF(B1166="","",IFERROR(1000-SUMPRODUCT(MAX(ISNUMBER(SEARCH(Rules!$A$5:$A$204,B1166))*(Rules!$A$5:$A$204&lt;&gt;"")*(1000-ROW(Rules!$A$5:$A$204)))),""))</f>
        <v/>
      </c>
    </row>
    <row r="1167" customFormat="false" ht="15" hidden="false" customHeight="false" outlineLevel="0" collapsed="false">
      <c r="A1167" s="23"/>
      <c r="B1167" s="24"/>
      <c r="C1167" s="25"/>
      <c r="D1167" s="24"/>
      <c r="E1167" s="21" t="str">
        <f aca="false">IF(OR(B1167="",N(N1167)=0,N1167=1000),IF(B1167="","","Check"),INDEX(Rules!$B:$B,N1167))</f>
        <v/>
      </c>
      <c r="F1167" s="21" t="str">
        <f aca="false">IF(OR(B1167="",N(N1167)=0,N1167=1000),"",INDEX(Rules!$C:$C,N1167))</f>
        <v/>
      </c>
      <c r="G1167" s="24"/>
      <c r="H1167" s="24"/>
      <c r="I1167" s="20" t="str">
        <f aca="false">IF(B1167="","",IF(G1167&lt;&gt;"",G1167,E1167))</f>
        <v/>
      </c>
      <c r="J1167" s="21" t="str">
        <f aca="false">IF(B1167="","",IF(H1167&lt;&gt;"",H1167,F1167))</f>
        <v/>
      </c>
      <c r="K1167" s="26" t="str">
        <f aca="false">IF(A1167="","",DATE(YEAR(A1167),MONTH(A1167),1))</f>
        <v/>
      </c>
      <c r="L1167" s="21" t="str">
        <f aca="false">IF(J1167="",IF(B1167="","",IF(N(C1167)&gt;=0,"Income","Expense")),IFERROR(INDEX(Lists!$B$2:$B$30,MATCH(J1167,Lists!$A$2:$A$30,0)),""))</f>
        <v/>
      </c>
      <c r="M1167" s="24"/>
      <c r="N1167" s="27" t="str">
        <f aca="false">IF(B1167="","",IFERROR(1000-SUMPRODUCT(MAX(ISNUMBER(SEARCH(Rules!$A$5:$A$204,B1167))*(Rules!$A$5:$A$204&lt;&gt;"")*(1000-ROW(Rules!$A$5:$A$204)))),""))</f>
        <v/>
      </c>
    </row>
    <row r="1168" customFormat="false" ht="15" hidden="false" customHeight="false" outlineLevel="0" collapsed="false">
      <c r="A1168" s="23"/>
      <c r="B1168" s="24"/>
      <c r="C1168" s="25"/>
      <c r="D1168" s="24"/>
      <c r="E1168" s="21" t="str">
        <f aca="false">IF(OR(B1168="",N(N1168)=0,N1168=1000),IF(B1168="","","Check"),INDEX(Rules!$B:$B,N1168))</f>
        <v/>
      </c>
      <c r="F1168" s="21" t="str">
        <f aca="false">IF(OR(B1168="",N(N1168)=0,N1168=1000),"",INDEX(Rules!$C:$C,N1168))</f>
        <v/>
      </c>
      <c r="G1168" s="24"/>
      <c r="H1168" s="24"/>
      <c r="I1168" s="20" t="str">
        <f aca="false">IF(B1168="","",IF(G1168&lt;&gt;"",G1168,E1168))</f>
        <v/>
      </c>
      <c r="J1168" s="21" t="str">
        <f aca="false">IF(B1168="","",IF(H1168&lt;&gt;"",H1168,F1168))</f>
        <v/>
      </c>
      <c r="K1168" s="26" t="str">
        <f aca="false">IF(A1168="","",DATE(YEAR(A1168),MONTH(A1168),1))</f>
        <v/>
      </c>
      <c r="L1168" s="21" t="str">
        <f aca="false">IF(J1168="",IF(B1168="","",IF(N(C1168)&gt;=0,"Income","Expense")),IFERROR(INDEX(Lists!$B$2:$B$30,MATCH(J1168,Lists!$A$2:$A$30,0)),""))</f>
        <v/>
      </c>
      <c r="M1168" s="24"/>
      <c r="N1168" s="27" t="str">
        <f aca="false">IF(B1168="","",IFERROR(1000-SUMPRODUCT(MAX(ISNUMBER(SEARCH(Rules!$A$5:$A$204,B1168))*(Rules!$A$5:$A$204&lt;&gt;"")*(1000-ROW(Rules!$A$5:$A$204)))),""))</f>
        <v/>
      </c>
    </row>
    <row r="1169" customFormat="false" ht="15" hidden="false" customHeight="false" outlineLevel="0" collapsed="false">
      <c r="A1169" s="23"/>
      <c r="B1169" s="24"/>
      <c r="C1169" s="25"/>
      <c r="D1169" s="24"/>
      <c r="E1169" s="21" t="str">
        <f aca="false">IF(OR(B1169="",N(N1169)=0,N1169=1000),IF(B1169="","","Check"),INDEX(Rules!$B:$B,N1169))</f>
        <v/>
      </c>
      <c r="F1169" s="21" t="str">
        <f aca="false">IF(OR(B1169="",N(N1169)=0,N1169=1000),"",INDEX(Rules!$C:$C,N1169))</f>
        <v/>
      </c>
      <c r="G1169" s="24"/>
      <c r="H1169" s="24"/>
      <c r="I1169" s="20" t="str">
        <f aca="false">IF(B1169="","",IF(G1169&lt;&gt;"",G1169,E1169))</f>
        <v/>
      </c>
      <c r="J1169" s="21" t="str">
        <f aca="false">IF(B1169="","",IF(H1169&lt;&gt;"",H1169,F1169))</f>
        <v/>
      </c>
      <c r="K1169" s="26" t="str">
        <f aca="false">IF(A1169="","",DATE(YEAR(A1169),MONTH(A1169),1))</f>
        <v/>
      </c>
      <c r="L1169" s="21" t="str">
        <f aca="false">IF(J1169="",IF(B1169="","",IF(N(C1169)&gt;=0,"Income","Expense")),IFERROR(INDEX(Lists!$B$2:$B$30,MATCH(J1169,Lists!$A$2:$A$30,0)),""))</f>
        <v/>
      </c>
      <c r="M1169" s="24"/>
      <c r="N1169" s="27" t="str">
        <f aca="false">IF(B1169="","",IFERROR(1000-SUMPRODUCT(MAX(ISNUMBER(SEARCH(Rules!$A$5:$A$204,B1169))*(Rules!$A$5:$A$204&lt;&gt;"")*(1000-ROW(Rules!$A$5:$A$204)))),""))</f>
        <v/>
      </c>
    </row>
    <row r="1170" customFormat="false" ht="15" hidden="false" customHeight="false" outlineLevel="0" collapsed="false">
      <c r="A1170" s="23"/>
      <c r="B1170" s="24"/>
      <c r="C1170" s="25"/>
      <c r="D1170" s="24"/>
      <c r="E1170" s="21" t="str">
        <f aca="false">IF(OR(B1170="",N(N1170)=0,N1170=1000),IF(B1170="","","Check"),INDEX(Rules!$B:$B,N1170))</f>
        <v/>
      </c>
      <c r="F1170" s="21" t="str">
        <f aca="false">IF(OR(B1170="",N(N1170)=0,N1170=1000),"",INDEX(Rules!$C:$C,N1170))</f>
        <v/>
      </c>
      <c r="G1170" s="24"/>
      <c r="H1170" s="24"/>
      <c r="I1170" s="20" t="str">
        <f aca="false">IF(B1170="","",IF(G1170&lt;&gt;"",G1170,E1170))</f>
        <v/>
      </c>
      <c r="J1170" s="21" t="str">
        <f aca="false">IF(B1170="","",IF(H1170&lt;&gt;"",H1170,F1170))</f>
        <v/>
      </c>
      <c r="K1170" s="26" t="str">
        <f aca="false">IF(A1170="","",DATE(YEAR(A1170),MONTH(A1170),1))</f>
        <v/>
      </c>
      <c r="L1170" s="21" t="str">
        <f aca="false">IF(J1170="",IF(B1170="","",IF(N(C1170)&gt;=0,"Income","Expense")),IFERROR(INDEX(Lists!$B$2:$B$30,MATCH(J1170,Lists!$A$2:$A$30,0)),""))</f>
        <v/>
      </c>
      <c r="M1170" s="24"/>
      <c r="N1170" s="27" t="str">
        <f aca="false">IF(B1170="","",IFERROR(1000-SUMPRODUCT(MAX(ISNUMBER(SEARCH(Rules!$A$5:$A$204,B1170))*(Rules!$A$5:$A$204&lt;&gt;"")*(1000-ROW(Rules!$A$5:$A$204)))),""))</f>
        <v/>
      </c>
    </row>
    <row r="1171" customFormat="false" ht="15" hidden="false" customHeight="false" outlineLevel="0" collapsed="false">
      <c r="A1171" s="23"/>
      <c r="B1171" s="24"/>
      <c r="C1171" s="25"/>
      <c r="D1171" s="24"/>
      <c r="E1171" s="21" t="str">
        <f aca="false">IF(OR(B1171="",N(N1171)=0,N1171=1000),IF(B1171="","","Check"),INDEX(Rules!$B:$B,N1171))</f>
        <v/>
      </c>
      <c r="F1171" s="21" t="str">
        <f aca="false">IF(OR(B1171="",N(N1171)=0,N1171=1000),"",INDEX(Rules!$C:$C,N1171))</f>
        <v/>
      </c>
      <c r="G1171" s="24"/>
      <c r="H1171" s="24"/>
      <c r="I1171" s="20" t="str">
        <f aca="false">IF(B1171="","",IF(G1171&lt;&gt;"",G1171,E1171))</f>
        <v/>
      </c>
      <c r="J1171" s="21" t="str">
        <f aca="false">IF(B1171="","",IF(H1171&lt;&gt;"",H1171,F1171))</f>
        <v/>
      </c>
      <c r="K1171" s="26" t="str">
        <f aca="false">IF(A1171="","",DATE(YEAR(A1171),MONTH(A1171),1))</f>
        <v/>
      </c>
      <c r="L1171" s="21" t="str">
        <f aca="false">IF(J1171="",IF(B1171="","",IF(N(C1171)&gt;=0,"Income","Expense")),IFERROR(INDEX(Lists!$B$2:$B$30,MATCH(J1171,Lists!$A$2:$A$30,0)),""))</f>
        <v/>
      </c>
      <c r="M1171" s="24"/>
      <c r="N1171" s="27" t="str">
        <f aca="false">IF(B1171="","",IFERROR(1000-SUMPRODUCT(MAX(ISNUMBER(SEARCH(Rules!$A$5:$A$204,B1171))*(Rules!$A$5:$A$204&lt;&gt;"")*(1000-ROW(Rules!$A$5:$A$204)))),""))</f>
        <v/>
      </c>
    </row>
    <row r="1172" customFormat="false" ht="15" hidden="false" customHeight="false" outlineLevel="0" collapsed="false">
      <c r="A1172" s="23"/>
      <c r="B1172" s="24"/>
      <c r="C1172" s="25"/>
      <c r="D1172" s="24"/>
      <c r="E1172" s="21" t="str">
        <f aca="false">IF(OR(B1172="",N(N1172)=0,N1172=1000),IF(B1172="","","Check"),INDEX(Rules!$B:$B,N1172))</f>
        <v/>
      </c>
      <c r="F1172" s="21" t="str">
        <f aca="false">IF(OR(B1172="",N(N1172)=0,N1172=1000),"",INDEX(Rules!$C:$C,N1172))</f>
        <v/>
      </c>
      <c r="G1172" s="24"/>
      <c r="H1172" s="24"/>
      <c r="I1172" s="20" t="str">
        <f aca="false">IF(B1172="","",IF(G1172&lt;&gt;"",G1172,E1172))</f>
        <v/>
      </c>
      <c r="J1172" s="21" t="str">
        <f aca="false">IF(B1172="","",IF(H1172&lt;&gt;"",H1172,F1172))</f>
        <v/>
      </c>
      <c r="K1172" s="26" t="str">
        <f aca="false">IF(A1172="","",DATE(YEAR(A1172),MONTH(A1172),1))</f>
        <v/>
      </c>
      <c r="L1172" s="21" t="str">
        <f aca="false">IF(J1172="",IF(B1172="","",IF(N(C1172)&gt;=0,"Income","Expense")),IFERROR(INDEX(Lists!$B$2:$B$30,MATCH(J1172,Lists!$A$2:$A$30,0)),""))</f>
        <v/>
      </c>
      <c r="M1172" s="24"/>
      <c r="N1172" s="27" t="str">
        <f aca="false">IF(B1172="","",IFERROR(1000-SUMPRODUCT(MAX(ISNUMBER(SEARCH(Rules!$A$5:$A$204,B1172))*(Rules!$A$5:$A$204&lt;&gt;"")*(1000-ROW(Rules!$A$5:$A$204)))),""))</f>
        <v/>
      </c>
    </row>
    <row r="1173" customFormat="false" ht="15" hidden="false" customHeight="false" outlineLevel="0" collapsed="false">
      <c r="A1173" s="23"/>
      <c r="B1173" s="24"/>
      <c r="C1173" s="25"/>
      <c r="D1173" s="24"/>
      <c r="E1173" s="21" t="str">
        <f aca="false">IF(OR(B1173="",N(N1173)=0,N1173=1000),IF(B1173="","","Check"),INDEX(Rules!$B:$B,N1173))</f>
        <v/>
      </c>
      <c r="F1173" s="21" t="str">
        <f aca="false">IF(OR(B1173="",N(N1173)=0,N1173=1000),"",INDEX(Rules!$C:$C,N1173))</f>
        <v/>
      </c>
      <c r="G1173" s="24"/>
      <c r="H1173" s="24"/>
      <c r="I1173" s="20" t="str">
        <f aca="false">IF(B1173="","",IF(G1173&lt;&gt;"",G1173,E1173))</f>
        <v/>
      </c>
      <c r="J1173" s="21" t="str">
        <f aca="false">IF(B1173="","",IF(H1173&lt;&gt;"",H1173,F1173))</f>
        <v/>
      </c>
      <c r="K1173" s="26" t="str">
        <f aca="false">IF(A1173="","",DATE(YEAR(A1173),MONTH(A1173),1))</f>
        <v/>
      </c>
      <c r="L1173" s="21" t="str">
        <f aca="false">IF(J1173="",IF(B1173="","",IF(N(C1173)&gt;=0,"Income","Expense")),IFERROR(INDEX(Lists!$B$2:$B$30,MATCH(J1173,Lists!$A$2:$A$30,0)),""))</f>
        <v/>
      </c>
      <c r="M1173" s="24"/>
      <c r="N1173" s="27" t="str">
        <f aca="false">IF(B1173="","",IFERROR(1000-SUMPRODUCT(MAX(ISNUMBER(SEARCH(Rules!$A$5:$A$204,B1173))*(Rules!$A$5:$A$204&lt;&gt;"")*(1000-ROW(Rules!$A$5:$A$204)))),""))</f>
        <v/>
      </c>
    </row>
    <row r="1174" customFormat="false" ht="15" hidden="false" customHeight="false" outlineLevel="0" collapsed="false">
      <c r="A1174" s="23"/>
      <c r="B1174" s="24"/>
      <c r="C1174" s="25"/>
      <c r="D1174" s="24"/>
      <c r="E1174" s="21" t="str">
        <f aca="false">IF(OR(B1174="",N(N1174)=0,N1174=1000),IF(B1174="","","Check"),INDEX(Rules!$B:$B,N1174))</f>
        <v/>
      </c>
      <c r="F1174" s="21" t="str">
        <f aca="false">IF(OR(B1174="",N(N1174)=0,N1174=1000),"",INDEX(Rules!$C:$C,N1174))</f>
        <v/>
      </c>
      <c r="G1174" s="24"/>
      <c r="H1174" s="24"/>
      <c r="I1174" s="20" t="str">
        <f aca="false">IF(B1174="","",IF(G1174&lt;&gt;"",G1174,E1174))</f>
        <v/>
      </c>
      <c r="J1174" s="21" t="str">
        <f aca="false">IF(B1174="","",IF(H1174&lt;&gt;"",H1174,F1174))</f>
        <v/>
      </c>
      <c r="K1174" s="26" t="str">
        <f aca="false">IF(A1174="","",DATE(YEAR(A1174),MONTH(A1174),1))</f>
        <v/>
      </c>
      <c r="L1174" s="21" t="str">
        <f aca="false">IF(J1174="",IF(B1174="","",IF(N(C1174)&gt;=0,"Income","Expense")),IFERROR(INDEX(Lists!$B$2:$B$30,MATCH(J1174,Lists!$A$2:$A$30,0)),""))</f>
        <v/>
      </c>
      <c r="M1174" s="24"/>
      <c r="N1174" s="27" t="str">
        <f aca="false">IF(B1174="","",IFERROR(1000-SUMPRODUCT(MAX(ISNUMBER(SEARCH(Rules!$A$5:$A$204,B1174))*(Rules!$A$5:$A$204&lt;&gt;"")*(1000-ROW(Rules!$A$5:$A$204)))),""))</f>
        <v/>
      </c>
    </row>
    <row r="1175" customFormat="false" ht="15" hidden="false" customHeight="false" outlineLevel="0" collapsed="false">
      <c r="A1175" s="23"/>
      <c r="B1175" s="24"/>
      <c r="C1175" s="25"/>
      <c r="D1175" s="24"/>
      <c r="E1175" s="21" t="str">
        <f aca="false">IF(OR(B1175="",N(N1175)=0,N1175=1000),IF(B1175="","","Check"),INDEX(Rules!$B:$B,N1175))</f>
        <v/>
      </c>
      <c r="F1175" s="21" t="str">
        <f aca="false">IF(OR(B1175="",N(N1175)=0,N1175=1000),"",INDEX(Rules!$C:$C,N1175))</f>
        <v/>
      </c>
      <c r="G1175" s="24"/>
      <c r="H1175" s="24"/>
      <c r="I1175" s="20" t="str">
        <f aca="false">IF(B1175="","",IF(G1175&lt;&gt;"",G1175,E1175))</f>
        <v/>
      </c>
      <c r="J1175" s="21" t="str">
        <f aca="false">IF(B1175="","",IF(H1175&lt;&gt;"",H1175,F1175))</f>
        <v/>
      </c>
      <c r="K1175" s="26" t="str">
        <f aca="false">IF(A1175="","",DATE(YEAR(A1175),MONTH(A1175),1))</f>
        <v/>
      </c>
      <c r="L1175" s="21" t="str">
        <f aca="false">IF(J1175="",IF(B1175="","",IF(N(C1175)&gt;=0,"Income","Expense")),IFERROR(INDEX(Lists!$B$2:$B$30,MATCH(J1175,Lists!$A$2:$A$30,0)),""))</f>
        <v/>
      </c>
      <c r="M1175" s="24"/>
      <c r="N1175" s="27" t="str">
        <f aca="false">IF(B1175="","",IFERROR(1000-SUMPRODUCT(MAX(ISNUMBER(SEARCH(Rules!$A$5:$A$204,B1175))*(Rules!$A$5:$A$204&lt;&gt;"")*(1000-ROW(Rules!$A$5:$A$204)))),""))</f>
        <v/>
      </c>
    </row>
    <row r="1176" customFormat="false" ht="15" hidden="false" customHeight="false" outlineLevel="0" collapsed="false">
      <c r="A1176" s="23"/>
      <c r="B1176" s="24"/>
      <c r="C1176" s="25"/>
      <c r="D1176" s="24"/>
      <c r="E1176" s="21" t="str">
        <f aca="false">IF(OR(B1176="",N(N1176)=0,N1176=1000),IF(B1176="","","Check"),INDEX(Rules!$B:$B,N1176))</f>
        <v/>
      </c>
      <c r="F1176" s="21" t="str">
        <f aca="false">IF(OR(B1176="",N(N1176)=0,N1176=1000),"",INDEX(Rules!$C:$C,N1176))</f>
        <v/>
      </c>
      <c r="G1176" s="24"/>
      <c r="H1176" s="24"/>
      <c r="I1176" s="20" t="str">
        <f aca="false">IF(B1176="","",IF(G1176&lt;&gt;"",G1176,E1176))</f>
        <v/>
      </c>
      <c r="J1176" s="21" t="str">
        <f aca="false">IF(B1176="","",IF(H1176&lt;&gt;"",H1176,F1176))</f>
        <v/>
      </c>
      <c r="K1176" s="26" t="str">
        <f aca="false">IF(A1176="","",DATE(YEAR(A1176),MONTH(A1176),1))</f>
        <v/>
      </c>
      <c r="L1176" s="21" t="str">
        <f aca="false">IF(J1176="",IF(B1176="","",IF(N(C1176)&gt;=0,"Income","Expense")),IFERROR(INDEX(Lists!$B$2:$B$30,MATCH(J1176,Lists!$A$2:$A$30,0)),""))</f>
        <v/>
      </c>
      <c r="M1176" s="24"/>
      <c r="N1176" s="27" t="str">
        <f aca="false">IF(B1176="","",IFERROR(1000-SUMPRODUCT(MAX(ISNUMBER(SEARCH(Rules!$A$5:$A$204,B1176))*(Rules!$A$5:$A$204&lt;&gt;"")*(1000-ROW(Rules!$A$5:$A$204)))),""))</f>
        <v/>
      </c>
    </row>
    <row r="1177" customFormat="false" ht="15" hidden="false" customHeight="false" outlineLevel="0" collapsed="false">
      <c r="A1177" s="23"/>
      <c r="B1177" s="24"/>
      <c r="C1177" s="25"/>
      <c r="D1177" s="24"/>
      <c r="E1177" s="21" t="str">
        <f aca="false">IF(OR(B1177="",N(N1177)=0,N1177=1000),IF(B1177="","","Check"),INDEX(Rules!$B:$B,N1177))</f>
        <v/>
      </c>
      <c r="F1177" s="21" t="str">
        <f aca="false">IF(OR(B1177="",N(N1177)=0,N1177=1000),"",INDEX(Rules!$C:$C,N1177))</f>
        <v/>
      </c>
      <c r="G1177" s="24"/>
      <c r="H1177" s="24"/>
      <c r="I1177" s="20" t="str">
        <f aca="false">IF(B1177="","",IF(G1177&lt;&gt;"",G1177,E1177))</f>
        <v/>
      </c>
      <c r="J1177" s="21" t="str">
        <f aca="false">IF(B1177="","",IF(H1177&lt;&gt;"",H1177,F1177))</f>
        <v/>
      </c>
      <c r="K1177" s="26" t="str">
        <f aca="false">IF(A1177="","",DATE(YEAR(A1177),MONTH(A1177),1))</f>
        <v/>
      </c>
      <c r="L1177" s="21" t="str">
        <f aca="false">IF(J1177="",IF(B1177="","",IF(N(C1177)&gt;=0,"Income","Expense")),IFERROR(INDEX(Lists!$B$2:$B$30,MATCH(J1177,Lists!$A$2:$A$30,0)),""))</f>
        <v/>
      </c>
      <c r="M1177" s="24"/>
      <c r="N1177" s="27" t="str">
        <f aca="false">IF(B1177="","",IFERROR(1000-SUMPRODUCT(MAX(ISNUMBER(SEARCH(Rules!$A$5:$A$204,B1177))*(Rules!$A$5:$A$204&lt;&gt;"")*(1000-ROW(Rules!$A$5:$A$204)))),""))</f>
        <v/>
      </c>
    </row>
    <row r="1178" customFormat="false" ht="15" hidden="false" customHeight="false" outlineLevel="0" collapsed="false">
      <c r="A1178" s="23"/>
      <c r="B1178" s="24"/>
      <c r="C1178" s="25"/>
      <c r="D1178" s="24"/>
      <c r="E1178" s="21" t="str">
        <f aca="false">IF(OR(B1178="",N(N1178)=0,N1178=1000),IF(B1178="","","Check"),INDEX(Rules!$B:$B,N1178))</f>
        <v/>
      </c>
      <c r="F1178" s="21" t="str">
        <f aca="false">IF(OR(B1178="",N(N1178)=0,N1178=1000),"",INDEX(Rules!$C:$C,N1178))</f>
        <v/>
      </c>
      <c r="G1178" s="24"/>
      <c r="H1178" s="24"/>
      <c r="I1178" s="20" t="str">
        <f aca="false">IF(B1178="","",IF(G1178&lt;&gt;"",G1178,E1178))</f>
        <v/>
      </c>
      <c r="J1178" s="21" t="str">
        <f aca="false">IF(B1178="","",IF(H1178&lt;&gt;"",H1178,F1178))</f>
        <v/>
      </c>
      <c r="K1178" s="26" t="str">
        <f aca="false">IF(A1178="","",DATE(YEAR(A1178),MONTH(A1178),1))</f>
        <v/>
      </c>
      <c r="L1178" s="21" t="str">
        <f aca="false">IF(J1178="",IF(B1178="","",IF(N(C1178)&gt;=0,"Income","Expense")),IFERROR(INDEX(Lists!$B$2:$B$30,MATCH(J1178,Lists!$A$2:$A$30,0)),""))</f>
        <v/>
      </c>
      <c r="M1178" s="24"/>
      <c r="N1178" s="27" t="str">
        <f aca="false">IF(B1178="","",IFERROR(1000-SUMPRODUCT(MAX(ISNUMBER(SEARCH(Rules!$A$5:$A$204,B1178))*(Rules!$A$5:$A$204&lt;&gt;"")*(1000-ROW(Rules!$A$5:$A$204)))),""))</f>
        <v/>
      </c>
    </row>
    <row r="1179" customFormat="false" ht="15" hidden="false" customHeight="false" outlineLevel="0" collapsed="false">
      <c r="A1179" s="23"/>
      <c r="B1179" s="24"/>
      <c r="C1179" s="25"/>
      <c r="D1179" s="24"/>
      <c r="E1179" s="21" t="str">
        <f aca="false">IF(OR(B1179="",N(N1179)=0,N1179=1000),IF(B1179="","","Check"),INDEX(Rules!$B:$B,N1179))</f>
        <v/>
      </c>
      <c r="F1179" s="21" t="str">
        <f aca="false">IF(OR(B1179="",N(N1179)=0,N1179=1000),"",INDEX(Rules!$C:$C,N1179))</f>
        <v/>
      </c>
      <c r="G1179" s="24"/>
      <c r="H1179" s="24"/>
      <c r="I1179" s="20" t="str">
        <f aca="false">IF(B1179="","",IF(G1179&lt;&gt;"",G1179,E1179))</f>
        <v/>
      </c>
      <c r="J1179" s="21" t="str">
        <f aca="false">IF(B1179="","",IF(H1179&lt;&gt;"",H1179,F1179))</f>
        <v/>
      </c>
      <c r="K1179" s="26" t="str">
        <f aca="false">IF(A1179="","",DATE(YEAR(A1179),MONTH(A1179),1))</f>
        <v/>
      </c>
      <c r="L1179" s="21" t="str">
        <f aca="false">IF(J1179="",IF(B1179="","",IF(N(C1179)&gt;=0,"Income","Expense")),IFERROR(INDEX(Lists!$B$2:$B$30,MATCH(J1179,Lists!$A$2:$A$30,0)),""))</f>
        <v/>
      </c>
      <c r="M1179" s="24"/>
      <c r="N1179" s="27" t="str">
        <f aca="false">IF(B1179="","",IFERROR(1000-SUMPRODUCT(MAX(ISNUMBER(SEARCH(Rules!$A$5:$A$204,B1179))*(Rules!$A$5:$A$204&lt;&gt;"")*(1000-ROW(Rules!$A$5:$A$204)))),""))</f>
        <v/>
      </c>
    </row>
    <row r="1180" customFormat="false" ht="15" hidden="false" customHeight="false" outlineLevel="0" collapsed="false">
      <c r="A1180" s="23"/>
      <c r="B1180" s="24"/>
      <c r="C1180" s="25"/>
      <c r="D1180" s="24"/>
      <c r="E1180" s="21" t="str">
        <f aca="false">IF(OR(B1180="",N(N1180)=0,N1180=1000),IF(B1180="","","Check"),INDEX(Rules!$B:$B,N1180))</f>
        <v/>
      </c>
      <c r="F1180" s="21" t="str">
        <f aca="false">IF(OR(B1180="",N(N1180)=0,N1180=1000),"",INDEX(Rules!$C:$C,N1180))</f>
        <v/>
      </c>
      <c r="G1180" s="24"/>
      <c r="H1180" s="24"/>
      <c r="I1180" s="20" t="str">
        <f aca="false">IF(B1180="","",IF(G1180&lt;&gt;"",G1180,E1180))</f>
        <v/>
      </c>
      <c r="J1180" s="21" t="str">
        <f aca="false">IF(B1180="","",IF(H1180&lt;&gt;"",H1180,F1180))</f>
        <v/>
      </c>
      <c r="K1180" s="26" t="str">
        <f aca="false">IF(A1180="","",DATE(YEAR(A1180),MONTH(A1180),1))</f>
        <v/>
      </c>
      <c r="L1180" s="21" t="str">
        <f aca="false">IF(J1180="",IF(B1180="","",IF(N(C1180)&gt;=0,"Income","Expense")),IFERROR(INDEX(Lists!$B$2:$B$30,MATCH(J1180,Lists!$A$2:$A$30,0)),""))</f>
        <v/>
      </c>
      <c r="M1180" s="24"/>
      <c r="N1180" s="27" t="str">
        <f aca="false">IF(B1180="","",IFERROR(1000-SUMPRODUCT(MAX(ISNUMBER(SEARCH(Rules!$A$5:$A$204,B1180))*(Rules!$A$5:$A$204&lt;&gt;"")*(1000-ROW(Rules!$A$5:$A$204)))),""))</f>
        <v/>
      </c>
    </row>
    <row r="1181" customFormat="false" ht="15" hidden="false" customHeight="false" outlineLevel="0" collapsed="false">
      <c r="A1181" s="23"/>
      <c r="B1181" s="24"/>
      <c r="C1181" s="25"/>
      <c r="D1181" s="24"/>
      <c r="E1181" s="21" t="str">
        <f aca="false">IF(OR(B1181="",N(N1181)=0,N1181=1000),IF(B1181="","","Check"),INDEX(Rules!$B:$B,N1181))</f>
        <v/>
      </c>
      <c r="F1181" s="21" t="str">
        <f aca="false">IF(OR(B1181="",N(N1181)=0,N1181=1000),"",INDEX(Rules!$C:$C,N1181))</f>
        <v/>
      </c>
      <c r="G1181" s="24"/>
      <c r="H1181" s="24"/>
      <c r="I1181" s="20" t="str">
        <f aca="false">IF(B1181="","",IF(G1181&lt;&gt;"",G1181,E1181))</f>
        <v/>
      </c>
      <c r="J1181" s="21" t="str">
        <f aca="false">IF(B1181="","",IF(H1181&lt;&gt;"",H1181,F1181))</f>
        <v/>
      </c>
      <c r="K1181" s="26" t="str">
        <f aca="false">IF(A1181="","",DATE(YEAR(A1181),MONTH(A1181),1))</f>
        <v/>
      </c>
      <c r="L1181" s="21" t="str">
        <f aca="false">IF(J1181="",IF(B1181="","",IF(N(C1181)&gt;=0,"Income","Expense")),IFERROR(INDEX(Lists!$B$2:$B$30,MATCH(J1181,Lists!$A$2:$A$30,0)),""))</f>
        <v/>
      </c>
      <c r="M1181" s="24"/>
      <c r="N1181" s="27" t="str">
        <f aca="false">IF(B1181="","",IFERROR(1000-SUMPRODUCT(MAX(ISNUMBER(SEARCH(Rules!$A$5:$A$204,B1181))*(Rules!$A$5:$A$204&lt;&gt;"")*(1000-ROW(Rules!$A$5:$A$204)))),""))</f>
        <v/>
      </c>
    </row>
    <row r="1182" customFormat="false" ht="15" hidden="false" customHeight="false" outlineLevel="0" collapsed="false">
      <c r="A1182" s="23"/>
      <c r="B1182" s="24"/>
      <c r="C1182" s="25"/>
      <c r="D1182" s="24"/>
      <c r="E1182" s="21" t="str">
        <f aca="false">IF(OR(B1182="",N(N1182)=0,N1182=1000),IF(B1182="","","Check"),INDEX(Rules!$B:$B,N1182))</f>
        <v/>
      </c>
      <c r="F1182" s="21" t="str">
        <f aca="false">IF(OR(B1182="",N(N1182)=0,N1182=1000),"",INDEX(Rules!$C:$C,N1182))</f>
        <v/>
      </c>
      <c r="G1182" s="24"/>
      <c r="H1182" s="24"/>
      <c r="I1182" s="20" t="str">
        <f aca="false">IF(B1182="","",IF(G1182&lt;&gt;"",G1182,E1182))</f>
        <v/>
      </c>
      <c r="J1182" s="21" t="str">
        <f aca="false">IF(B1182="","",IF(H1182&lt;&gt;"",H1182,F1182))</f>
        <v/>
      </c>
      <c r="K1182" s="26" t="str">
        <f aca="false">IF(A1182="","",DATE(YEAR(A1182),MONTH(A1182),1))</f>
        <v/>
      </c>
      <c r="L1182" s="21" t="str">
        <f aca="false">IF(J1182="",IF(B1182="","",IF(N(C1182)&gt;=0,"Income","Expense")),IFERROR(INDEX(Lists!$B$2:$B$30,MATCH(J1182,Lists!$A$2:$A$30,0)),""))</f>
        <v/>
      </c>
      <c r="M1182" s="24"/>
      <c r="N1182" s="27" t="str">
        <f aca="false">IF(B1182="","",IFERROR(1000-SUMPRODUCT(MAX(ISNUMBER(SEARCH(Rules!$A$5:$A$204,B1182))*(Rules!$A$5:$A$204&lt;&gt;"")*(1000-ROW(Rules!$A$5:$A$204)))),""))</f>
        <v/>
      </c>
    </row>
    <row r="1183" customFormat="false" ht="15" hidden="false" customHeight="false" outlineLevel="0" collapsed="false">
      <c r="A1183" s="23"/>
      <c r="B1183" s="24"/>
      <c r="C1183" s="25"/>
      <c r="D1183" s="24"/>
      <c r="E1183" s="21" t="str">
        <f aca="false">IF(OR(B1183="",N(N1183)=0,N1183=1000),IF(B1183="","","Check"),INDEX(Rules!$B:$B,N1183))</f>
        <v/>
      </c>
      <c r="F1183" s="21" t="str">
        <f aca="false">IF(OR(B1183="",N(N1183)=0,N1183=1000),"",INDEX(Rules!$C:$C,N1183))</f>
        <v/>
      </c>
      <c r="G1183" s="24"/>
      <c r="H1183" s="24"/>
      <c r="I1183" s="20" t="str">
        <f aca="false">IF(B1183="","",IF(G1183&lt;&gt;"",G1183,E1183))</f>
        <v/>
      </c>
      <c r="J1183" s="21" t="str">
        <f aca="false">IF(B1183="","",IF(H1183&lt;&gt;"",H1183,F1183))</f>
        <v/>
      </c>
      <c r="K1183" s="26" t="str">
        <f aca="false">IF(A1183="","",DATE(YEAR(A1183),MONTH(A1183),1))</f>
        <v/>
      </c>
      <c r="L1183" s="21" t="str">
        <f aca="false">IF(J1183="",IF(B1183="","",IF(N(C1183)&gt;=0,"Income","Expense")),IFERROR(INDEX(Lists!$B$2:$B$30,MATCH(J1183,Lists!$A$2:$A$30,0)),""))</f>
        <v/>
      </c>
      <c r="M1183" s="24"/>
      <c r="N1183" s="27" t="str">
        <f aca="false">IF(B1183="","",IFERROR(1000-SUMPRODUCT(MAX(ISNUMBER(SEARCH(Rules!$A$5:$A$204,B1183))*(Rules!$A$5:$A$204&lt;&gt;"")*(1000-ROW(Rules!$A$5:$A$204)))),""))</f>
        <v/>
      </c>
    </row>
    <row r="1184" customFormat="false" ht="15" hidden="false" customHeight="false" outlineLevel="0" collapsed="false">
      <c r="A1184" s="23"/>
      <c r="B1184" s="24"/>
      <c r="C1184" s="25"/>
      <c r="D1184" s="24"/>
      <c r="E1184" s="21" t="str">
        <f aca="false">IF(OR(B1184="",N(N1184)=0,N1184=1000),IF(B1184="","","Check"),INDEX(Rules!$B:$B,N1184))</f>
        <v/>
      </c>
      <c r="F1184" s="21" t="str">
        <f aca="false">IF(OR(B1184="",N(N1184)=0,N1184=1000),"",INDEX(Rules!$C:$C,N1184))</f>
        <v/>
      </c>
      <c r="G1184" s="24"/>
      <c r="H1184" s="24"/>
      <c r="I1184" s="20" t="str">
        <f aca="false">IF(B1184="","",IF(G1184&lt;&gt;"",G1184,E1184))</f>
        <v/>
      </c>
      <c r="J1184" s="21" t="str">
        <f aca="false">IF(B1184="","",IF(H1184&lt;&gt;"",H1184,F1184))</f>
        <v/>
      </c>
      <c r="K1184" s="26" t="str">
        <f aca="false">IF(A1184="","",DATE(YEAR(A1184),MONTH(A1184),1))</f>
        <v/>
      </c>
      <c r="L1184" s="21" t="str">
        <f aca="false">IF(J1184="",IF(B1184="","",IF(N(C1184)&gt;=0,"Income","Expense")),IFERROR(INDEX(Lists!$B$2:$B$30,MATCH(J1184,Lists!$A$2:$A$30,0)),""))</f>
        <v/>
      </c>
      <c r="M1184" s="24"/>
      <c r="N1184" s="27" t="str">
        <f aca="false">IF(B1184="","",IFERROR(1000-SUMPRODUCT(MAX(ISNUMBER(SEARCH(Rules!$A$5:$A$204,B1184))*(Rules!$A$5:$A$204&lt;&gt;"")*(1000-ROW(Rules!$A$5:$A$204)))),""))</f>
        <v/>
      </c>
    </row>
    <row r="1185" customFormat="false" ht="15" hidden="false" customHeight="false" outlineLevel="0" collapsed="false">
      <c r="A1185" s="23"/>
      <c r="B1185" s="24"/>
      <c r="C1185" s="25"/>
      <c r="D1185" s="24"/>
      <c r="E1185" s="21" t="str">
        <f aca="false">IF(OR(B1185="",N(N1185)=0,N1185=1000),IF(B1185="","","Check"),INDEX(Rules!$B:$B,N1185))</f>
        <v/>
      </c>
      <c r="F1185" s="21" t="str">
        <f aca="false">IF(OR(B1185="",N(N1185)=0,N1185=1000),"",INDEX(Rules!$C:$C,N1185))</f>
        <v/>
      </c>
      <c r="G1185" s="24"/>
      <c r="H1185" s="24"/>
      <c r="I1185" s="20" t="str">
        <f aca="false">IF(B1185="","",IF(G1185&lt;&gt;"",G1185,E1185))</f>
        <v/>
      </c>
      <c r="J1185" s="21" t="str">
        <f aca="false">IF(B1185="","",IF(H1185&lt;&gt;"",H1185,F1185))</f>
        <v/>
      </c>
      <c r="K1185" s="26" t="str">
        <f aca="false">IF(A1185="","",DATE(YEAR(A1185),MONTH(A1185),1))</f>
        <v/>
      </c>
      <c r="L1185" s="21" t="str">
        <f aca="false">IF(J1185="",IF(B1185="","",IF(N(C1185)&gt;=0,"Income","Expense")),IFERROR(INDEX(Lists!$B$2:$B$30,MATCH(J1185,Lists!$A$2:$A$30,0)),""))</f>
        <v/>
      </c>
      <c r="M1185" s="24"/>
      <c r="N1185" s="27" t="str">
        <f aca="false">IF(B1185="","",IFERROR(1000-SUMPRODUCT(MAX(ISNUMBER(SEARCH(Rules!$A$5:$A$204,B1185))*(Rules!$A$5:$A$204&lt;&gt;"")*(1000-ROW(Rules!$A$5:$A$204)))),""))</f>
        <v/>
      </c>
    </row>
    <row r="1186" customFormat="false" ht="15" hidden="false" customHeight="false" outlineLevel="0" collapsed="false">
      <c r="A1186" s="23"/>
      <c r="B1186" s="24"/>
      <c r="C1186" s="25"/>
      <c r="D1186" s="24"/>
      <c r="E1186" s="21" t="str">
        <f aca="false">IF(OR(B1186="",N(N1186)=0,N1186=1000),IF(B1186="","","Check"),INDEX(Rules!$B:$B,N1186))</f>
        <v/>
      </c>
      <c r="F1186" s="21" t="str">
        <f aca="false">IF(OR(B1186="",N(N1186)=0,N1186=1000),"",INDEX(Rules!$C:$C,N1186))</f>
        <v/>
      </c>
      <c r="G1186" s="24"/>
      <c r="H1186" s="24"/>
      <c r="I1186" s="20" t="str">
        <f aca="false">IF(B1186="","",IF(G1186&lt;&gt;"",G1186,E1186))</f>
        <v/>
      </c>
      <c r="J1186" s="21" t="str">
        <f aca="false">IF(B1186="","",IF(H1186&lt;&gt;"",H1186,F1186))</f>
        <v/>
      </c>
      <c r="K1186" s="26" t="str">
        <f aca="false">IF(A1186="","",DATE(YEAR(A1186),MONTH(A1186),1))</f>
        <v/>
      </c>
      <c r="L1186" s="21" t="str">
        <f aca="false">IF(J1186="",IF(B1186="","",IF(N(C1186)&gt;=0,"Income","Expense")),IFERROR(INDEX(Lists!$B$2:$B$30,MATCH(J1186,Lists!$A$2:$A$30,0)),""))</f>
        <v/>
      </c>
      <c r="M1186" s="24"/>
      <c r="N1186" s="27" t="str">
        <f aca="false">IF(B1186="","",IFERROR(1000-SUMPRODUCT(MAX(ISNUMBER(SEARCH(Rules!$A$5:$A$204,B1186))*(Rules!$A$5:$A$204&lt;&gt;"")*(1000-ROW(Rules!$A$5:$A$204)))),""))</f>
        <v/>
      </c>
    </row>
    <row r="1187" customFormat="false" ht="15" hidden="false" customHeight="false" outlineLevel="0" collapsed="false">
      <c r="A1187" s="23"/>
      <c r="B1187" s="24"/>
      <c r="C1187" s="25"/>
      <c r="D1187" s="24"/>
      <c r="E1187" s="21" t="str">
        <f aca="false">IF(OR(B1187="",N(N1187)=0,N1187=1000),IF(B1187="","","Check"),INDEX(Rules!$B:$B,N1187))</f>
        <v/>
      </c>
      <c r="F1187" s="21" t="str">
        <f aca="false">IF(OR(B1187="",N(N1187)=0,N1187=1000),"",INDEX(Rules!$C:$C,N1187))</f>
        <v/>
      </c>
      <c r="G1187" s="24"/>
      <c r="H1187" s="24"/>
      <c r="I1187" s="20" t="str">
        <f aca="false">IF(B1187="","",IF(G1187&lt;&gt;"",G1187,E1187))</f>
        <v/>
      </c>
      <c r="J1187" s="21" t="str">
        <f aca="false">IF(B1187="","",IF(H1187&lt;&gt;"",H1187,F1187))</f>
        <v/>
      </c>
      <c r="K1187" s="26" t="str">
        <f aca="false">IF(A1187="","",DATE(YEAR(A1187),MONTH(A1187),1))</f>
        <v/>
      </c>
      <c r="L1187" s="21" t="str">
        <f aca="false">IF(J1187="",IF(B1187="","",IF(N(C1187)&gt;=0,"Income","Expense")),IFERROR(INDEX(Lists!$B$2:$B$30,MATCH(J1187,Lists!$A$2:$A$30,0)),""))</f>
        <v/>
      </c>
      <c r="M1187" s="24"/>
      <c r="N1187" s="27" t="str">
        <f aca="false">IF(B1187="","",IFERROR(1000-SUMPRODUCT(MAX(ISNUMBER(SEARCH(Rules!$A$5:$A$204,B1187))*(Rules!$A$5:$A$204&lt;&gt;"")*(1000-ROW(Rules!$A$5:$A$204)))),""))</f>
        <v/>
      </c>
    </row>
    <row r="1188" customFormat="false" ht="15" hidden="false" customHeight="false" outlineLevel="0" collapsed="false">
      <c r="A1188" s="23"/>
      <c r="B1188" s="24"/>
      <c r="C1188" s="25"/>
      <c r="D1188" s="24"/>
      <c r="E1188" s="21" t="str">
        <f aca="false">IF(OR(B1188="",N(N1188)=0,N1188=1000),IF(B1188="","","Check"),INDEX(Rules!$B:$B,N1188))</f>
        <v/>
      </c>
      <c r="F1188" s="21" t="str">
        <f aca="false">IF(OR(B1188="",N(N1188)=0,N1188=1000),"",INDEX(Rules!$C:$C,N1188))</f>
        <v/>
      </c>
      <c r="G1188" s="24"/>
      <c r="H1188" s="24"/>
      <c r="I1188" s="20" t="str">
        <f aca="false">IF(B1188="","",IF(G1188&lt;&gt;"",G1188,E1188))</f>
        <v/>
      </c>
      <c r="J1188" s="21" t="str">
        <f aca="false">IF(B1188="","",IF(H1188&lt;&gt;"",H1188,F1188))</f>
        <v/>
      </c>
      <c r="K1188" s="26" t="str">
        <f aca="false">IF(A1188="","",DATE(YEAR(A1188),MONTH(A1188),1))</f>
        <v/>
      </c>
      <c r="L1188" s="21" t="str">
        <f aca="false">IF(J1188="",IF(B1188="","",IF(N(C1188)&gt;=0,"Income","Expense")),IFERROR(INDEX(Lists!$B$2:$B$30,MATCH(J1188,Lists!$A$2:$A$30,0)),""))</f>
        <v/>
      </c>
      <c r="M1188" s="24"/>
      <c r="N1188" s="27" t="str">
        <f aca="false">IF(B1188="","",IFERROR(1000-SUMPRODUCT(MAX(ISNUMBER(SEARCH(Rules!$A$5:$A$204,B1188))*(Rules!$A$5:$A$204&lt;&gt;"")*(1000-ROW(Rules!$A$5:$A$204)))),""))</f>
        <v/>
      </c>
    </row>
    <row r="1189" customFormat="false" ht="15" hidden="false" customHeight="false" outlineLevel="0" collapsed="false">
      <c r="A1189" s="23"/>
      <c r="B1189" s="24"/>
      <c r="C1189" s="25"/>
      <c r="D1189" s="24"/>
      <c r="E1189" s="21" t="str">
        <f aca="false">IF(OR(B1189="",N(N1189)=0,N1189=1000),IF(B1189="","","Check"),INDEX(Rules!$B:$B,N1189))</f>
        <v/>
      </c>
      <c r="F1189" s="21" t="str">
        <f aca="false">IF(OR(B1189="",N(N1189)=0,N1189=1000),"",INDEX(Rules!$C:$C,N1189))</f>
        <v/>
      </c>
      <c r="G1189" s="24"/>
      <c r="H1189" s="24"/>
      <c r="I1189" s="20" t="str">
        <f aca="false">IF(B1189="","",IF(G1189&lt;&gt;"",G1189,E1189))</f>
        <v/>
      </c>
      <c r="J1189" s="21" t="str">
        <f aca="false">IF(B1189="","",IF(H1189&lt;&gt;"",H1189,F1189))</f>
        <v/>
      </c>
      <c r="K1189" s="26" t="str">
        <f aca="false">IF(A1189="","",DATE(YEAR(A1189),MONTH(A1189),1))</f>
        <v/>
      </c>
      <c r="L1189" s="21" t="str">
        <f aca="false">IF(J1189="",IF(B1189="","",IF(N(C1189)&gt;=0,"Income","Expense")),IFERROR(INDEX(Lists!$B$2:$B$30,MATCH(J1189,Lists!$A$2:$A$30,0)),""))</f>
        <v/>
      </c>
      <c r="M1189" s="24"/>
      <c r="N1189" s="27" t="str">
        <f aca="false">IF(B1189="","",IFERROR(1000-SUMPRODUCT(MAX(ISNUMBER(SEARCH(Rules!$A$5:$A$204,B1189))*(Rules!$A$5:$A$204&lt;&gt;"")*(1000-ROW(Rules!$A$5:$A$204)))),""))</f>
        <v/>
      </c>
    </row>
    <row r="1190" customFormat="false" ht="15" hidden="false" customHeight="false" outlineLevel="0" collapsed="false">
      <c r="A1190" s="23"/>
      <c r="B1190" s="24"/>
      <c r="C1190" s="25"/>
      <c r="D1190" s="24"/>
      <c r="E1190" s="21" t="str">
        <f aca="false">IF(OR(B1190="",N(N1190)=0,N1190=1000),IF(B1190="","","Check"),INDEX(Rules!$B:$B,N1190))</f>
        <v/>
      </c>
      <c r="F1190" s="21" t="str">
        <f aca="false">IF(OR(B1190="",N(N1190)=0,N1190=1000),"",INDEX(Rules!$C:$C,N1190))</f>
        <v/>
      </c>
      <c r="G1190" s="24"/>
      <c r="H1190" s="24"/>
      <c r="I1190" s="20" t="str">
        <f aca="false">IF(B1190="","",IF(G1190&lt;&gt;"",G1190,E1190))</f>
        <v/>
      </c>
      <c r="J1190" s="21" t="str">
        <f aca="false">IF(B1190="","",IF(H1190&lt;&gt;"",H1190,F1190))</f>
        <v/>
      </c>
      <c r="K1190" s="26" t="str">
        <f aca="false">IF(A1190="","",DATE(YEAR(A1190),MONTH(A1190),1))</f>
        <v/>
      </c>
      <c r="L1190" s="21" t="str">
        <f aca="false">IF(J1190="",IF(B1190="","",IF(N(C1190)&gt;=0,"Income","Expense")),IFERROR(INDEX(Lists!$B$2:$B$30,MATCH(J1190,Lists!$A$2:$A$30,0)),""))</f>
        <v/>
      </c>
      <c r="M1190" s="24"/>
      <c r="N1190" s="27" t="str">
        <f aca="false">IF(B1190="","",IFERROR(1000-SUMPRODUCT(MAX(ISNUMBER(SEARCH(Rules!$A$5:$A$204,B1190))*(Rules!$A$5:$A$204&lt;&gt;"")*(1000-ROW(Rules!$A$5:$A$204)))),""))</f>
        <v/>
      </c>
    </row>
    <row r="1191" customFormat="false" ht="15" hidden="false" customHeight="false" outlineLevel="0" collapsed="false">
      <c r="A1191" s="23"/>
      <c r="B1191" s="24"/>
      <c r="C1191" s="25"/>
      <c r="D1191" s="24"/>
      <c r="E1191" s="21" t="str">
        <f aca="false">IF(OR(B1191="",N(N1191)=0,N1191=1000),IF(B1191="","","Check"),INDEX(Rules!$B:$B,N1191))</f>
        <v/>
      </c>
      <c r="F1191" s="21" t="str">
        <f aca="false">IF(OR(B1191="",N(N1191)=0,N1191=1000),"",INDEX(Rules!$C:$C,N1191))</f>
        <v/>
      </c>
      <c r="G1191" s="24"/>
      <c r="H1191" s="24"/>
      <c r="I1191" s="20" t="str">
        <f aca="false">IF(B1191="","",IF(G1191&lt;&gt;"",G1191,E1191))</f>
        <v/>
      </c>
      <c r="J1191" s="21" t="str">
        <f aca="false">IF(B1191="","",IF(H1191&lt;&gt;"",H1191,F1191))</f>
        <v/>
      </c>
      <c r="K1191" s="26" t="str">
        <f aca="false">IF(A1191="","",DATE(YEAR(A1191),MONTH(A1191),1))</f>
        <v/>
      </c>
      <c r="L1191" s="21" t="str">
        <f aca="false">IF(J1191="",IF(B1191="","",IF(N(C1191)&gt;=0,"Income","Expense")),IFERROR(INDEX(Lists!$B$2:$B$30,MATCH(J1191,Lists!$A$2:$A$30,0)),""))</f>
        <v/>
      </c>
      <c r="M1191" s="24"/>
      <c r="N1191" s="27" t="str">
        <f aca="false">IF(B1191="","",IFERROR(1000-SUMPRODUCT(MAX(ISNUMBER(SEARCH(Rules!$A$5:$A$204,B1191))*(Rules!$A$5:$A$204&lt;&gt;"")*(1000-ROW(Rules!$A$5:$A$204)))),""))</f>
        <v/>
      </c>
    </row>
    <row r="1192" customFormat="false" ht="15" hidden="false" customHeight="false" outlineLevel="0" collapsed="false">
      <c r="A1192" s="23"/>
      <c r="B1192" s="24"/>
      <c r="C1192" s="25"/>
      <c r="D1192" s="24"/>
      <c r="E1192" s="21" t="str">
        <f aca="false">IF(OR(B1192="",N(N1192)=0,N1192=1000),IF(B1192="","","Check"),INDEX(Rules!$B:$B,N1192))</f>
        <v/>
      </c>
      <c r="F1192" s="21" t="str">
        <f aca="false">IF(OR(B1192="",N(N1192)=0,N1192=1000),"",INDEX(Rules!$C:$C,N1192))</f>
        <v/>
      </c>
      <c r="G1192" s="24"/>
      <c r="H1192" s="24"/>
      <c r="I1192" s="20" t="str">
        <f aca="false">IF(B1192="","",IF(G1192&lt;&gt;"",G1192,E1192))</f>
        <v/>
      </c>
      <c r="J1192" s="21" t="str">
        <f aca="false">IF(B1192="","",IF(H1192&lt;&gt;"",H1192,F1192))</f>
        <v/>
      </c>
      <c r="K1192" s="26" t="str">
        <f aca="false">IF(A1192="","",DATE(YEAR(A1192),MONTH(A1192),1))</f>
        <v/>
      </c>
      <c r="L1192" s="21" t="str">
        <f aca="false">IF(J1192="",IF(B1192="","",IF(N(C1192)&gt;=0,"Income","Expense")),IFERROR(INDEX(Lists!$B$2:$B$30,MATCH(J1192,Lists!$A$2:$A$30,0)),""))</f>
        <v/>
      </c>
      <c r="M1192" s="24"/>
      <c r="N1192" s="27" t="str">
        <f aca="false">IF(B1192="","",IFERROR(1000-SUMPRODUCT(MAX(ISNUMBER(SEARCH(Rules!$A$5:$A$204,B1192))*(Rules!$A$5:$A$204&lt;&gt;"")*(1000-ROW(Rules!$A$5:$A$204)))),""))</f>
        <v/>
      </c>
    </row>
    <row r="1193" customFormat="false" ht="15" hidden="false" customHeight="false" outlineLevel="0" collapsed="false">
      <c r="A1193" s="23"/>
      <c r="B1193" s="24"/>
      <c r="C1193" s="25"/>
      <c r="D1193" s="24"/>
      <c r="E1193" s="21" t="str">
        <f aca="false">IF(OR(B1193="",N(N1193)=0,N1193=1000),IF(B1193="","","Check"),INDEX(Rules!$B:$B,N1193))</f>
        <v/>
      </c>
      <c r="F1193" s="21" t="str">
        <f aca="false">IF(OR(B1193="",N(N1193)=0,N1193=1000),"",INDEX(Rules!$C:$C,N1193))</f>
        <v/>
      </c>
      <c r="G1193" s="24"/>
      <c r="H1193" s="24"/>
      <c r="I1193" s="20" t="str">
        <f aca="false">IF(B1193="","",IF(G1193&lt;&gt;"",G1193,E1193))</f>
        <v/>
      </c>
      <c r="J1193" s="21" t="str">
        <f aca="false">IF(B1193="","",IF(H1193&lt;&gt;"",H1193,F1193))</f>
        <v/>
      </c>
      <c r="K1193" s="26" t="str">
        <f aca="false">IF(A1193="","",DATE(YEAR(A1193),MONTH(A1193),1))</f>
        <v/>
      </c>
      <c r="L1193" s="21" t="str">
        <f aca="false">IF(J1193="",IF(B1193="","",IF(N(C1193)&gt;=0,"Income","Expense")),IFERROR(INDEX(Lists!$B$2:$B$30,MATCH(J1193,Lists!$A$2:$A$30,0)),""))</f>
        <v/>
      </c>
      <c r="M1193" s="24"/>
      <c r="N1193" s="27" t="str">
        <f aca="false">IF(B1193="","",IFERROR(1000-SUMPRODUCT(MAX(ISNUMBER(SEARCH(Rules!$A$5:$A$204,B1193))*(Rules!$A$5:$A$204&lt;&gt;"")*(1000-ROW(Rules!$A$5:$A$204)))),""))</f>
        <v/>
      </c>
    </row>
    <row r="1194" customFormat="false" ht="15" hidden="false" customHeight="false" outlineLevel="0" collapsed="false">
      <c r="A1194" s="23"/>
      <c r="B1194" s="24"/>
      <c r="C1194" s="25"/>
      <c r="D1194" s="24"/>
      <c r="E1194" s="21" t="str">
        <f aca="false">IF(OR(B1194="",N(N1194)=0,N1194=1000),IF(B1194="","","Check"),INDEX(Rules!$B:$B,N1194))</f>
        <v/>
      </c>
      <c r="F1194" s="21" t="str">
        <f aca="false">IF(OR(B1194="",N(N1194)=0,N1194=1000),"",INDEX(Rules!$C:$C,N1194))</f>
        <v/>
      </c>
      <c r="G1194" s="24"/>
      <c r="H1194" s="24"/>
      <c r="I1194" s="20" t="str">
        <f aca="false">IF(B1194="","",IF(G1194&lt;&gt;"",G1194,E1194))</f>
        <v/>
      </c>
      <c r="J1194" s="21" t="str">
        <f aca="false">IF(B1194="","",IF(H1194&lt;&gt;"",H1194,F1194))</f>
        <v/>
      </c>
      <c r="K1194" s="26" t="str">
        <f aca="false">IF(A1194="","",DATE(YEAR(A1194),MONTH(A1194),1))</f>
        <v/>
      </c>
      <c r="L1194" s="21" t="str">
        <f aca="false">IF(J1194="",IF(B1194="","",IF(N(C1194)&gt;=0,"Income","Expense")),IFERROR(INDEX(Lists!$B$2:$B$30,MATCH(J1194,Lists!$A$2:$A$30,0)),""))</f>
        <v/>
      </c>
      <c r="M1194" s="24"/>
      <c r="N1194" s="27" t="str">
        <f aca="false">IF(B1194="","",IFERROR(1000-SUMPRODUCT(MAX(ISNUMBER(SEARCH(Rules!$A$5:$A$204,B1194))*(Rules!$A$5:$A$204&lt;&gt;"")*(1000-ROW(Rules!$A$5:$A$204)))),""))</f>
        <v/>
      </c>
    </row>
    <row r="1195" customFormat="false" ht="15" hidden="false" customHeight="false" outlineLevel="0" collapsed="false">
      <c r="A1195" s="23"/>
      <c r="B1195" s="24"/>
      <c r="C1195" s="25"/>
      <c r="D1195" s="24"/>
      <c r="E1195" s="21" t="str">
        <f aca="false">IF(OR(B1195="",N(N1195)=0,N1195=1000),IF(B1195="","","Check"),INDEX(Rules!$B:$B,N1195))</f>
        <v/>
      </c>
      <c r="F1195" s="21" t="str">
        <f aca="false">IF(OR(B1195="",N(N1195)=0,N1195=1000),"",INDEX(Rules!$C:$C,N1195))</f>
        <v/>
      </c>
      <c r="G1195" s="24"/>
      <c r="H1195" s="24"/>
      <c r="I1195" s="20" t="str">
        <f aca="false">IF(B1195="","",IF(G1195&lt;&gt;"",G1195,E1195))</f>
        <v/>
      </c>
      <c r="J1195" s="21" t="str">
        <f aca="false">IF(B1195="","",IF(H1195&lt;&gt;"",H1195,F1195))</f>
        <v/>
      </c>
      <c r="K1195" s="26" t="str">
        <f aca="false">IF(A1195="","",DATE(YEAR(A1195),MONTH(A1195),1))</f>
        <v/>
      </c>
      <c r="L1195" s="21" t="str">
        <f aca="false">IF(J1195="",IF(B1195="","",IF(N(C1195)&gt;=0,"Income","Expense")),IFERROR(INDEX(Lists!$B$2:$B$30,MATCH(J1195,Lists!$A$2:$A$30,0)),""))</f>
        <v/>
      </c>
      <c r="M1195" s="24"/>
      <c r="N1195" s="27" t="str">
        <f aca="false">IF(B1195="","",IFERROR(1000-SUMPRODUCT(MAX(ISNUMBER(SEARCH(Rules!$A$5:$A$204,B1195))*(Rules!$A$5:$A$204&lt;&gt;"")*(1000-ROW(Rules!$A$5:$A$204)))),""))</f>
        <v/>
      </c>
    </row>
    <row r="1196" customFormat="false" ht="15" hidden="false" customHeight="false" outlineLevel="0" collapsed="false">
      <c r="A1196" s="23"/>
      <c r="B1196" s="24"/>
      <c r="C1196" s="25"/>
      <c r="D1196" s="24"/>
      <c r="E1196" s="21" t="str">
        <f aca="false">IF(OR(B1196="",N(N1196)=0,N1196=1000),IF(B1196="","","Check"),INDEX(Rules!$B:$B,N1196))</f>
        <v/>
      </c>
      <c r="F1196" s="21" t="str">
        <f aca="false">IF(OR(B1196="",N(N1196)=0,N1196=1000),"",INDEX(Rules!$C:$C,N1196))</f>
        <v/>
      </c>
      <c r="G1196" s="24"/>
      <c r="H1196" s="24"/>
      <c r="I1196" s="20" t="str">
        <f aca="false">IF(B1196="","",IF(G1196&lt;&gt;"",G1196,E1196))</f>
        <v/>
      </c>
      <c r="J1196" s="21" t="str">
        <f aca="false">IF(B1196="","",IF(H1196&lt;&gt;"",H1196,F1196))</f>
        <v/>
      </c>
      <c r="K1196" s="26" t="str">
        <f aca="false">IF(A1196="","",DATE(YEAR(A1196),MONTH(A1196),1))</f>
        <v/>
      </c>
      <c r="L1196" s="21" t="str">
        <f aca="false">IF(J1196="",IF(B1196="","",IF(N(C1196)&gt;=0,"Income","Expense")),IFERROR(INDEX(Lists!$B$2:$B$30,MATCH(J1196,Lists!$A$2:$A$30,0)),""))</f>
        <v/>
      </c>
      <c r="M1196" s="24"/>
      <c r="N1196" s="27" t="str">
        <f aca="false">IF(B1196="","",IFERROR(1000-SUMPRODUCT(MAX(ISNUMBER(SEARCH(Rules!$A$5:$A$204,B1196))*(Rules!$A$5:$A$204&lt;&gt;"")*(1000-ROW(Rules!$A$5:$A$204)))),""))</f>
        <v/>
      </c>
    </row>
    <row r="1197" customFormat="false" ht="15" hidden="false" customHeight="false" outlineLevel="0" collapsed="false">
      <c r="A1197" s="23"/>
      <c r="B1197" s="24"/>
      <c r="C1197" s="25"/>
      <c r="D1197" s="24"/>
      <c r="E1197" s="21" t="str">
        <f aca="false">IF(OR(B1197="",N(N1197)=0,N1197=1000),IF(B1197="","","Check"),INDEX(Rules!$B:$B,N1197))</f>
        <v/>
      </c>
      <c r="F1197" s="21" t="str">
        <f aca="false">IF(OR(B1197="",N(N1197)=0,N1197=1000),"",INDEX(Rules!$C:$C,N1197))</f>
        <v/>
      </c>
      <c r="G1197" s="24"/>
      <c r="H1197" s="24"/>
      <c r="I1197" s="20" t="str">
        <f aca="false">IF(B1197="","",IF(G1197&lt;&gt;"",G1197,E1197))</f>
        <v/>
      </c>
      <c r="J1197" s="21" t="str">
        <f aca="false">IF(B1197="","",IF(H1197&lt;&gt;"",H1197,F1197))</f>
        <v/>
      </c>
      <c r="K1197" s="26" t="str">
        <f aca="false">IF(A1197="","",DATE(YEAR(A1197),MONTH(A1197),1))</f>
        <v/>
      </c>
      <c r="L1197" s="21" t="str">
        <f aca="false">IF(J1197="",IF(B1197="","",IF(N(C1197)&gt;=0,"Income","Expense")),IFERROR(INDEX(Lists!$B$2:$B$30,MATCH(J1197,Lists!$A$2:$A$30,0)),""))</f>
        <v/>
      </c>
      <c r="M1197" s="24"/>
      <c r="N1197" s="27" t="str">
        <f aca="false">IF(B1197="","",IFERROR(1000-SUMPRODUCT(MAX(ISNUMBER(SEARCH(Rules!$A$5:$A$204,B1197))*(Rules!$A$5:$A$204&lt;&gt;"")*(1000-ROW(Rules!$A$5:$A$204)))),""))</f>
        <v/>
      </c>
    </row>
    <row r="1198" customFormat="false" ht="15" hidden="false" customHeight="false" outlineLevel="0" collapsed="false">
      <c r="A1198" s="23"/>
      <c r="B1198" s="24"/>
      <c r="C1198" s="25"/>
      <c r="D1198" s="24"/>
      <c r="E1198" s="21" t="str">
        <f aca="false">IF(OR(B1198="",N(N1198)=0,N1198=1000),IF(B1198="","","Check"),INDEX(Rules!$B:$B,N1198))</f>
        <v/>
      </c>
      <c r="F1198" s="21" t="str">
        <f aca="false">IF(OR(B1198="",N(N1198)=0,N1198=1000),"",INDEX(Rules!$C:$C,N1198))</f>
        <v/>
      </c>
      <c r="G1198" s="24"/>
      <c r="H1198" s="24"/>
      <c r="I1198" s="20" t="str">
        <f aca="false">IF(B1198="","",IF(G1198&lt;&gt;"",G1198,E1198))</f>
        <v/>
      </c>
      <c r="J1198" s="21" t="str">
        <f aca="false">IF(B1198="","",IF(H1198&lt;&gt;"",H1198,F1198))</f>
        <v/>
      </c>
      <c r="K1198" s="26" t="str">
        <f aca="false">IF(A1198="","",DATE(YEAR(A1198),MONTH(A1198),1))</f>
        <v/>
      </c>
      <c r="L1198" s="21" t="str">
        <f aca="false">IF(J1198="",IF(B1198="","",IF(N(C1198)&gt;=0,"Income","Expense")),IFERROR(INDEX(Lists!$B$2:$B$30,MATCH(J1198,Lists!$A$2:$A$30,0)),""))</f>
        <v/>
      </c>
      <c r="M1198" s="24"/>
      <c r="N1198" s="27" t="str">
        <f aca="false">IF(B1198="","",IFERROR(1000-SUMPRODUCT(MAX(ISNUMBER(SEARCH(Rules!$A$5:$A$204,B1198))*(Rules!$A$5:$A$204&lt;&gt;"")*(1000-ROW(Rules!$A$5:$A$204)))),""))</f>
        <v/>
      </c>
    </row>
    <row r="1199" customFormat="false" ht="15" hidden="false" customHeight="false" outlineLevel="0" collapsed="false">
      <c r="A1199" s="23"/>
      <c r="B1199" s="24"/>
      <c r="C1199" s="25"/>
      <c r="D1199" s="24"/>
      <c r="E1199" s="21" t="str">
        <f aca="false">IF(OR(B1199="",N(N1199)=0,N1199=1000),IF(B1199="","","Check"),INDEX(Rules!$B:$B,N1199))</f>
        <v/>
      </c>
      <c r="F1199" s="21" t="str">
        <f aca="false">IF(OR(B1199="",N(N1199)=0,N1199=1000),"",INDEX(Rules!$C:$C,N1199))</f>
        <v/>
      </c>
      <c r="G1199" s="24"/>
      <c r="H1199" s="24"/>
      <c r="I1199" s="20" t="str">
        <f aca="false">IF(B1199="","",IF(G1199&lt;&gt;"",G1199,E1199))</f>
        <v/>
      </c>
      <c r="J1199" s="21" t="str">
        <f aca="false">IF(B1199="","",IF(H1199&lt;&gt;"",H1199,F1199))</f>
        <v/>
      </c>
      <c r="K1199" s="26" t="str">
        <f aca="false">IF(A1199="","",DATE(YEAR(A1199),MONTH(A1199),1))</f>
        <v/>
      </c>
      <c r="L1199" s="21" t="str">
        <f aca="false">IF(J1199="",IF(B1199="","",IF(N(C1199)&gt;=0,"Income","Expense")),IFERROR(INDEX(Lists!$B$2:$B$30,MATCH(J1199,Lists!$A$2:$A$30,0)),""))</f>
        <v/>
      </c>
      <c r="M1199" s="24"/>
      <c r="N1199" s="27" t="str">
        <f aca="false">IF(B1199="","",IFERROR(1000-SUMPRODUCT(MAX(ISNUMBER(SEARCH(Rules!$A$5:$A$204,B1199))*(Rules!$A$5:$A$204&lt;&gt;"")*(1000-ROW(Rules!$A$5:$A$204)))),""))</f>
        <v/>
      </c>
    </row>
    <row r="1200" customFormat="false" ht="15" hidden="false" customHeight="false" outlineLevel="0" collapsed="false">
      <c r="A1200" s="23"/>
      <c r="B1200" s="24"/>
      <c r="C1200" s="25"/>
      <c r="D1200" s="24"/>
      <c r="E1200" s="21" t="str">
        <f aca="false">IF(OR(B1200="",N(N1200)=0,N1200=1000),IF(B1200="","","Check"),INDEX(Rules!$B:$B,N1200))</f>
        <v/>
      </c>
      <c r="F1200" s="21" t="str">
        <f aca="false">IF(OR(B1200="",N(N1200)=0,N1200=1000),"",INDEX(Rules!$C:$C,N1200))</f>
        <v/>
      </c>
      <c r="G1200" s="24"/>
      <c r="H1200" s="24"/>
      <c r="I1200" s="20" t="str">
        <f aca="false">IF(B1200="","",IF(G1200&lt;&gt;"",G1200,E1200))</f>
        <v/>
      </c>
      <c r="J1200" s="21" t="str">
        <f aca="false">IF(B1200="","",IF(H1200&lt;&gt;"",H1200,F1200))</f>
        <v/>
      </c>
      <c r="K1200" s="26" t="str">
        <f aca="false">IF(A1200="","",DATE(YEAR(A1200),MONTH(A1200),1))</f>
        <v/>
      </c>
      <c r="L1200" s="21" t="str">
        <f aca="false">IF(J1200="",IF(B1200="","",IF(N(C1200)&gt;=0,"Income","Expense")),IFERROR(INDEX(Lists!$B$2:$B$30,MATCH(J1200,Lists!$A$2:$A$30,0)),""))</f>
        <v/>
      </c>
      <c r="M1200" s="24"/>
      <c r="N1200" s="27" t="str">
        <f aca="false">IF(B1200="","",IFERROR(1000-SUMPRODUCT(MAX(ISNUMBER(SEARCH(Rules!$A$5:$A$204,B1200))*(Rules!$A$5:$A$204&lt;&gt;"")*(1000-ROW(Rules!$A$5:$A$204)))),""))</f>
        <v/>
      </c>
    </row>
    <row r="1201" customFormat="false" ht="15" hidden="false" customHeight="false" outlineLevel="0" collapsed="false">
      <c r="A1201" s="23"/>
      <c r="B1201" s="24"/>
      <c r="C1201" s="25"/>
      <c r="D1201" s="24"/>
      <c r="E1201" s="21" t="str">
        <f aca="false">IF(OR(B1201="",N(N1201)=0,N1201=1000),IF(B1201="","","Check"),INDEX(Rules!$B:$B,N1201))</f>
        <v/>
      </c>
      <c r="F1201" s="21" t="str">
        <f aca="false">IF(OR(B1201="",N(N1201)=0,N1201=1000),"",INDEX(Rules!$C:$C,N1201))</f>
        <v/>
      </c>
      <c r="G1201" s="24"/>
      <c r="H1201" s="24"/>
      <c r="I1201" s="20" t="str">
        <f aca="false">IF(B1201="","",IF(G1201&lt;&gt;"",G1201,E1201))</f>
        <v/>
      </c>
      <c r="J1201" s="21" t="str">
        <f aca="false">IF(B1201="","",IF(H1201&lt;&gt;"",H1201,F1201))</f>
        <v/>
      </c>
      <c r="K1201" s="26" t="str">
        <f aca="false">IF(A1201="","",DATE(YEAR(A1201),MONTH(A1201),1))</f>
        <v/>
      </c>
      <c r="L1201" s="21" t="str">
        <f aca="false">IF(J1201="",IF(B1201="","",IF(N(C1201)&gt;=0,"Income","Expense")),IFERROR(INDEX(Lists!$B$2:$B$30,MATCH(J1201,Lists!$A$2:$A$30,0)),""))</f>
        <v/>
      </c>
      <c r="M1201" s="24"/>
      <c r="N1201" s="27" t="str">
        <f aca="false">IF(B1201="","",IFERROR(1000-SUMPRODUCT(MAX(ISNUMBER(SEARCH(Rules!$A$5:$A$204,B1201))*(Rules!$A$5:$A$204&lt;&gt;"")*(1000-ROW(Rules!$A$5:$A$204)))),""))</f>
        <v/>
      </c>
    </row>
    <row r="1202" customFormat="false" ht="15" hidden="false" customHeight="false" outlineLevel="0" collapsed="false">
      <c r="A1202" s="23"/>
      <c r="B1202" s="24"/>
      <c r="C1202" s="25"/>
      <c r="D1202" s="24"/>
      <c r="E1202" s="21" t="str">
        <f aca="false">IF(OR(B1202="",N(N1202)=0,N1202=1000),IF(B1202="","","Check"),INDEX(Rules!$B:$B,N1202))</f>
        <v/>
      </c>
      <c r="F1202" s="21" t="str">
        <f aca="false">IF(OR(B1202="",N(N1202)=0,N1202=1000),"",INDEX(Rules!$C:$C,N1202))</f>
        <v/>
      </c>
      <c r="G1202" s="24"/>
      <c r="H1202" s="24"/>
      <c r="I1202" s="20" t="str">
        <f aca="false">IF(B1202="","",IF(G1202&lt;&gt;"",G1202,E1202))</f>
        <v/>
      </c>
      <c r="J1202" s="21" t="str">
        <f aca="false">IF(B1202="","",IF(H1202&lt;&gt;"",H1202,F1202))</f>
        <v/>
      </c>
      <c r="K1202" s="26" t="str">
        <f aca="false">IF(A1202="","",DATE(YEAR(A1202),MONTH(A1202),1))</f>
        <v/>
      </c>
      <c r="L1202" s="21" t="str">
        <f aca="false">IF(J1202="",IF(B1202="","",IF(N(C1202)&gt;=0,"Income","Expense")),IFERROR(INDEX(Lists!$B$2:$B$30,MATCH(J1202,Lists!$A$2:$A$30,0)),""))</f>
        <v/>
      </c>
      <c r="M1202" s="24"/>
      <c r="N1202" s="27" t="str">
        <f aca="false">IF(B1202="","",IFERROR(1000-SUMPRODUCT(MAX(ISNUMBER(SEARCH(Rules!$A$5:$A$204,B1202))*(Rules!$A$5:$A$204&lt;&gt;"")*(1000-ROW(Rules!$A$5:$A$204)))),""))</f>
        <v/>
      </c>
    </row>
    <row r="1203" customFormat="false" ht="15" hidden="false" customHeight="false" outlineLevel="0" collapsed="false">
      <c r="A1203" s="23"/>
      <c r="B1203" s="24"/>
      <c r="C1203" s="25"/>
      <c r="D1203" s="24"/>
      <c r="E1203" s="21" t="str">
        <f aca="false">IF(OR(B1203="",N(N1203)=0,N1203=1000),IF(B1203="","","Check"),INDEX(Rules!$B:$B,N1203))</f>
        <v/>
      </c>
      <c r="F1203" s="21" t="str">
        <f aca="false">IF(OR(B1203="",N(N1203)=0,N1203=1000),"",INDEX(Rules!$C:$C,N1203))</f>
        <v/>
      </c>
      <c r="G1203" s="24"/>
      <c r="H1203" s="24"/>
      <c r="I1203" s="20" t="str">
        <f aca="false">IF(B1203="","",IF(G1203&lt;&gt;"",G1203,E1203))</f>
        <v/>
      </c>
      <c r="J1203" s="21" t="str">
        <f aca="false">IF(B1203="","",IF(H1203&lt;&gt;"",H1203,F1203))</f>
        <v/>
      </c>
      <c r="K1203" s="26" t="str">
        <f aca="false">IF(A1203="","",DATE(YEAR(A1203),MONTH(A1203),1))</f>
        <v/>
      </c>
      <c r="L1203" s="21" t="str">
        <f aca="false">IF(J1203="",IF(B1203="","",IF(N(C1203)&gt;=0,"Income","Expense")),IFERROR(INDEX(Lists!$B$2:$B$30,MATCH(J1203,Lists!$A$2:$A$30,0)),""))</f>
        <v/>
      </c>
      <c r="M1203" s="24"/>
      <c r="N1203" s="27" t="str">
        <f aca="false">IF(B1203="","",IFERROR(1000-SUMPRODUCT(MAX(ISNUMBER(SEARCH(Rules!$A$5:$A$204,B1203))*(Rules!$A$5:$A$204&lt;&gt;"")*(1000-ROW(Rules!$A$5:$A$204)))),""))</f>
        <v/>
      </c>
    </row>
    <row r="1204" customFormat="false" ht="15" hidden="false" customHeight="false" outlineLevel="0" collapsed="false">
      <c r="A1204" s="23"/>
      <c r="B1204" s="24"/>
      <c r="C1204" s="25"/>
      <c r="D1204" s="24"/>
      <c r="E1204" s="21" t="str">
        <f aca="false">IF(OR(B1204="",N(N1204)=0,N1204=1000),IF(B1204="","","Check"),INDEX(Rules!$B:$B,N1204))</f>
        <v/>
      </c>
      <c r="F1204" s="21" t="str">
        <f aca="false">IF(OR(B1204="",N(N1204)=0,N1204=1000),"",INDEX(Rules!$C:$C,N1204))</f>
        <v/>
      </c>
      <c r="G1204" s="24"/>
      <c r="H1204" s="24"/>
      <c r="I1204" s="20" t="str">
        <f aca="false">IF(B1204="","",IF(G1204&lt;&gt;"",G1204,E1204))</f>
        <v/>
      </c>
      <c r="J1204" s="21" t="str">
        <f aca="false">IF(B1204="","",IF(H1204&lt;&gt;"",H1204,F1204))</f>
        <v/>
      </c>
      <c r="K1204" s="26" t="str">
        <f aca="false">IF(A1204="","",DATE(YEAR(A1204),MONTH(A1204),1))</f>
        <v/>
      </c>
      <c r="L1204" s="21" t="str">
        <f aca="false">IF(J1204="",IF(B1204="","",IF(N(C1204)&gt;=0,"Income","Expense")),IFERROR(INDEX(Lists!$B$2:$B$30,MATCH(J1204,Lists!$A$2:$A$30,0)),""))</f>
        <v/>
      </c>
      <c r="M1204" s="24"/>
      <c r="N1204" s="27" t="str">
        <f aca="false">IF(B1204="","",IFERROR(1000-SUMPRODUCT(MAX(ISNUMBER(SEARCH(Rules!$A$5:$A$204,B1204))*(Rules!$A$5:$A$204&lt;&gt;"")*(1000-ROW(Rules!$A$5:$A$204)))),""))</f>
        <v/>
      </c>
    </row>
    <row r="1205" customFormat="false" ht="15" hidden="false" customHeight="false" outlineLevel="0" collapsed="false">
      <c r="A1205" s="23"/>
      <c r="B1205" s="24"/>
      <c r="C1205" s="25"/>
      <c r="D1205" s="24"/>
      <c r="E1205" s="21" t="str">
        <f aca="false">IF(OR(B1205="",N(N1205)=0,N1205=1000),IF(B1205="","","Check"),INDEX(Rules!$B:$B,N1205))</f>
        <v/>
      </c>
      <c r="F1205" s="21" t="str">
        <f aca="false">IF(OR(B1205="",N(N1205)=0,N1205=1000),"",INDEX(Rules!$C:$C,N1205))</f>
        <v/>
      </c>
      <c r="G1205" s="24"/>
      <c r="H1205" s="24"/>
      <c r="I1205" s="20" t="str">
        <f aca="false">IF(B1205="","",IF(G1205&lt;&gt;"",G1205,E1205))</f>
        <v/>
      </c>
      <c r="J1205" s="21" t="str">
        <f aca="false">IF(B1205="","",IF(H1205&lt;&gt;"",H1205,F1205))</f>
        <v/>
      </c>
      <c r="K1205" s="26" t="str">
        <f aca="false">IF(A1205="","",DATE(YEAR(A1205),MONTH(A1205),1))</f>
        <v/>
      </c>
      <c r="L1205" s="21" t="str">
        <f aca="false">IF(J1205="",IF(B1205="","",IF(N(C1205)&gt;=0,"Income","Expense")),IFERROR(INDEX(Lists!$B$2:$B$30,MATCH(J1205,Lists!$A$2:$A$30,0)),""))</f>
        <v/>
      </c>
      <c r="M1205" s="24"/>
      <c r="N1205" s="27" t="str">
        <f aca="false">IF(B1205="","",IFERROR(1000-SUMPRODUCT(MAX(ISNUMBER(SEARCH(Rules!$A$5:$A$204,B1205))*(Rules!$A$5:$A$204&lt;&gt;"")*(1000-ROW(Rules!$A$5:$A$204)))),""))</f>
        <v/>
      </c>
    </row>
    <row r="1206" customFormat="false" ht="15" hidden="false" customHeight="false" outlineLevel="0" collapsed="false">
      <c r="A1206" s="23"/>
      <c r="B1206" s="24"/>
      <c r="C1206" s="25"/>
      <c r="D1206" s="24"/>
      <c r="E1206" s="21" t="str">
        <f aca="false">IF(OR(B1206="",N(N1206)=0,N1206=1000),IF(B1206="","","Check"),INDEX(Rules!$B:$B,N1206))</f>
        <v/>
      </c>
      <c r="F1206" s="21" t="str">
        <f aca="false">IF(OR(B1206="",N(N1206)=0,N1206=1000),"",INDEX(Rules!$C:$C,N1206))</f>
        <v/>
      </c>
      <c r="G1206" s="24"/>
      <c r="H1206" s="24"/>
      <c r="I1206" s="20" t="str">
        <f aca="false">IF(B1206="","",IF(G1206&lt;&gt;"",G1206,E1206))</f>
        <v/>
      </c>
      <c r="J1206" s="21" t="str">
        <f aca="false">IF(B1206="","",IF(H1206&lt;&gt;"",H1206,F1206))</f>
        <v/>
      </c>
      <c r="K1206" s="26" t="str">
        <f aca="false">IF(A1206="","",DATE(YEAR(A1206),MONTH(A1206),1))</f>
        <v/>
      </c>
      <c r="L1206" s="21" t="str">
        <f aca="false">IF(J1206="",IF(B1206="","",IF(N(C1206)&gt;=0,"Income","Expense")),IFERROR(INDEX(Lists!$B$2:$B$30,MATCH(J1206,Lists!$A$2:$A$30,0)),""))</f>
        <v/>
      </c>
      <c r="M1206" s="24"/>
      <c r="N1206" s="27" t="str">
        <f aca="false">IF(B1206="","",IFERROR(1000-SUMPRODUCT(MAX(ISNUMBER(SEARCH(Rules!$A$5:$A$204,B1206))*(Rules!$A$5:$A$204&lt;&gt;"")*(1000-ROW(Rules!$A$5:$A$204)))),""))</f>
        <v/>
      </c>
    </row>
    <row r="1207" customFormat="false" ht="15" hidden="false" customHeight="false" outlineLevel="0" collapsed="false">
      <c r="A1207" s="23"/>
      <c r="B1207" s="24"/>
      <c r="C1207" s="25"/>
      <c r="D1207" s="24"/>
      <c r="E1207" s="21" t="str">
        <f aca="false">IF(OR(B1207="",N(N1207)=0,N1207=1000),IF(B1207="","","Check"),INDEX(Rules!$B:$B,N1207))</f>
        <v/>
      </c>
      <c r="F1207" s="21" t="str">
        <f aca="false">IF(OR(B1207="",N(N1207)=0,N1207=1000),"",INDEX(Rules!$C:$C,N1207))</f>
        <v/>
      </c>
      <c r="G1207" s="24"/>
      <c r="H1207" s="24"/>
      <c r="I1207" s="20" t="str">
        <f aca="false">IF(B1207="","",IF(G1207&lt;&gt;"",G1207,E1207))</f>
        <v/>
      </c>
      <c r="J1207" s="21" t="str">
        <f aca="false">IF(B1207="","",IF(H1207&lt;&gt;"",H1207,F1207))</f>
        <v/>
      </c>
      <c r="K1207" s="26" t="str">
        <f aca="false">IF(A1207="","",DATE(YEAR(A1207),MONTH(A1207),1))</f>
        <v/>
      </c>
      <c r="L1207" s="21" t="str">
        <f aca="false">IF(J1207="",IF(B1207="","",IF(N(C1207)&gt;=0,"Income","Expense")),IFERROR(INDEX(Lists!$B$2:$B$30,MATCH(J1207,Lists!$A$2:$A$30,0)),""))</f>
        <v/>
      </c>
      <c r="M1207" s="24"/>
      <c r="N1207" s="27" t="str">
        <f aca="false">IF(B1207="","",IFERROR(1000-SUMPRODUCT(MAX(ISNUMBER(SEARCH(Rules!$A$5:$A$204,B1207))*(Rules!$A$5:$A$204&lt;&gt;"")*(1000-ROW(Rules!$A$5:$A$204)))),""))</f>
        <v/>
      </c>
    </row>
    <row r="1208" customFormat="false" ht="15" hidden="false" customHeight="false" outlineLevel="0" collapsed="false">
      <c r="A1208" s="23"/>
      <c r="B1208" s="24"/>
      <c r="C1208" s="25"/>
      <c r="D1208" s="24"/>
      <c r="E1208" s="21" t="str">
        <f aca="false">IF(OR(B1208="",N(N1208)=0,N1208=1000),IF(B1208="","","Check"),INDEX(Rules!$B:$B,N1208))</f>
        <v/>
      </c>
      <c r="F1208" s="21" t="str">
        <f aca="false">IF(OR(B1208="",N(N1208)=0,N1208=1000),"",INDEX(Rules!$C:$C,N1208))</f>
        <v/>
      </c>
      <c r="G1208" s="24"/>
      <c r="H1208" s="24"/>
      <c r="I1208" s="20" t="str">
        <f aca="false">IF(B1208="","",IF(G1208&lt;&gt;"",G1208,E1208))</f>
        <v/>
      </c>
      <c r="J1208" s="21" t="str">
        <f aca="false">IF(B1208="","",IF(H1208&lt;&gt;"",H1208,F1208))</f>
        <v/>
      </c>
      <c r="K1208" s="26" t="str">
        <f aca="false">IF(A1208="","",DATE(YEAR(A1208),MONTH(A1208),1))</f>
        <v/>
      </c>
      <c r="L1208" s="21" t="str">
        <f aca="false">IF(J1208="",IF(B1208="","",IF(N(C1208)&gt;=0,"Income","Expense")),IFERROR(INDEX(Lists!$B$2:$B$30,MATCH(J1208,Lists!$A$2:$A$30,0)),""))</f>
        <v/>
      </c>
      <c r="M1208" s="24"/>
      <c r="N1208" s="27" t="str">
        <f aca="false">IF(B1208="","",IFERROR(1000-SUMPRODUCT(MAX(ISNUMBER(SEARCH(Rules!$A$5:$A$204,B1208))*(Rules!$A$5:$A$204&lt;&gt;"")*(1000-ROW(Rules!$A$5:$A$204)))),""))</f>
        <v/>
      </c>
    </row>
    <row r="1209" customFormat="false" ht="15" hidden="false" customHeight="false" outlineLevel="0" collapsed="false">
      <c r="A1209" s="23"/>
      <c r="B1209" s="24"/>
      <c r="C1209" s="25"/>
      <c r="D1209" s="24"/>
      <c r="E1209" s="21" t="str">
        <f aca="false">IF(OR(B1209="",N(N1209)=0,N1209=1000),IF(B1209="","","Check"),INDEX(Rules!$B:$B,N1209))</f>
        <v/>
      </c>
      <c r="F1209" s="21" t="str">
        <f aca="false">IF(OR(B1209="",N(N1209)=0,N1209=1000),"",INDEX(Rules!$C:$C,N1209))</f>
        <v/>
      </c>
      <c r="G1209" s="24"/>
      <c r="H1209" s="24"/>
      <c r="I1209" s="20" t="str">
        <f aca="false">IF(B1209="","",IF(G1209&lt;&gt;"",G1209,E1209))</f>
        <v/>
      </c>
      <c r="J1209" s="21" t="str">
        <f aca="false">IF(B1209="","",IF(H1209&lt;&gt;"",H1209,F1209))</f>
        <v/>
      </c>
      <c r="K1209" s="26" t="str">
        <f aca="false">IF(A1209="","",DATE(YEAR(A1209),MONTH(A1209),1))</f>
        <v/>
      </c>
      <c r="L1209" s="21" t="str">
        <f aca="false">IF(J1209="",IF(B1209="","",IF(N(C1209)&gt;=0,"Income","Expense")),IFERROR(INDEX(Lists!$B$2:$B$30,MATCH(J1209,Lists!$A$2:$A$30,0)),""))</f>
        <v/>
      </c>
      <c r="M1209" s="24"/>
      <c r="N1209" s="27" t="str">
        <f aca="false">IF(B1209="","",IFERROR(1000-SUMPRODUCT(MAX(ISNUMBER(SEARCH(Rules!$A$5:$A$204,B1209))*(Rules!$A$5:$A$204&lt;&gt;"")*(1000-ROW(Rules!$A$5:$A$204)))),""))</f>
        <v/>
      </c>
    </row>
    <row r="1210" customFormat="false" ht="15" hidden="false" customHeight="false" outlineLevel="0" collapsed="false">
      <c r="A1210" s="23"/>
      <c r="B1210" s="24"/>
      <c r="C1210" s="25"/>
      <c r="D1210" s="24"/>
      <c r="E1210" s="21" t="str">
        <f aca="false">IF(OR(B1210="",N(N1210)=0,N1210=1000),IF(B1210="","","Check"),INDEX(Rules!$B:$B,N1210))</f>
        <v/>
      </c>
      <c r="F1210" s="21" t="str">
        <f aca="false">IF(OR(B1210="",N(N1210)=0,N1210=1000),"",INDEX(Rules!$C:$C,N1210))</f>
        <v/>
      </c>
      <c r="G1210" s="24"/>
      <c r="H1210" s="24"/>
      <c r="I1210" s="20" t="str">
        <f aca="false">IF(B1210="","",IF(G1210&lt;&gt;"",G1210,E1210))</f>
        <v/>
      </c>
      <c r="J1210" s="21" t="str">
        <f aca="false">IF(B1210="","",IF(H1210&lt;&gt;"",H1210,F1210))</f>
        <v/>
      </c>
      <c r="K1210" s="26" t="str">
        <f aca="false">IF(A1210="","",DATE(YEAR(A1210),MONTH(A1210),1))</f>
        <v/>
      </c>
      <c r="L1210" s="21" t="str">
        <f aca="false">IF(J1210="",IF(B1210="","",IF(N(C1210)&gt;=0,"Income","Expense")),IFERROR(INDEX(Lists!$B$2:$B$30,MATCH(J1210,Lists!$A$2:$A$30,0)),""))</f>
        <v/>
      </c>
      <c r="M1210" s="24"/>
      <c r="N1210" s="27" t="str">
        <f aca="false">IF(B1210="","",IFERROR(1000-SUMPRODUCT(MAX(ISNUMBER(SEARCH(Rules!$A$5:$A$204,B1210))*(Rules!$A$5:$A$204&lt;&gt;"")*(1000-ROW(Rules!$A$5:$A$204)))),""))</f>
        <v/>
      </c>
    </row>
    <row r="1211" customFormat="false" ht="15" hidden="false" customHeight="false" outlineLevel="0" collapsed="false">
      <c r="A1211" s="23"/>
      <c r="B1211" s="24"/>
      <c r="C1211" s="25"/>
      <c r="D1211" s="24"/>
      <c r="E1211" s="21" t="str">
        <f aca="false">IF(OR(B1211="",N(N1211)=0,N1211=1000),IF(B1211="","","Check"),INDEX(Rules!$B:$B,N1211))</f>
        <v/>
      </c>
      <c r="F1211" s="21" t="str">
        <f aca="false">IF(OR(B1211="",N(N1211)=0,N1211=1000),"",INDEX(Rules!$C:$C,N1211))</f>
        <v/>
      </c>
      <c r="G1211" s="24"/>
      <c r="H1211" s="24"/>
      <c r="I1211" s="20" t="str">
        <f aca="false">IF(B1211="","",IF(G1211&lt;&gt;"",G1211,E1211))</f>
        <v/>
      </c>
      <c r="J1211" s="21" t="str">
        <f aca="false">IF(B1211="","",IF(H1211&lt;&gt;"",H1211,F1211))</f>
        <v/>
      </c>
      <c r="K1211" s="26" t="str">
        <f aca="false">IF(A1211="","",DATE(YEAR(A1211),MONTH(A1211),1))</f>
        <v/>
      </c>
      <c r="L1211" s="21" t="str">
        <f aca="false">IF(J1211="",IF(B1211="","",IF(N(C1211)&gt;=0,"Income","Expense")),IFERROR(INDEX(Lists!$B$2:$B$30,MATCH(J1211,Lists!$A$2:$A$30,0)),""))</f>
        <v/>
      </c>
      <c r="M1211" s="24"/>
      <c r="N1211" s="27" t="str">
        <f aca="false">IF(B1211="","",IFERROR(1000-SUMPRODUCT(MAX(ISNUMBER(SEARCH(Rules!$A$5:$A$204,B1211))*(Rules!$A$5:$A$204&lt;&gt;"")*(1000-ROW(Rules!$A$5:$A$204)))),""))</f>
        <v/>
      </c>
    </row>
    <row r="1212" customFormat="false" ht="15" hidden="false" customHeight="false" outlineLevel="0" collapsed="false">
      <c r="A1212" s="23"/>
      <c r="B1212" s="24"/>
      <c r="C1212" s="25"/>
      <c r="D1212" s="24"/>
      <c r="E1212" s="21" t="str">
        <f aca="false">IF(OR(B1212="",N(N1212)=0,N1212=1000),IF(B1212="","","Check"),INDEX(Rules!$B:$B,N1212))</f>
        <v/>
      </c>
      <c r="F1212" s="21" t="str">
        <f aca="false">IF(OR(B1212="",N(N1212)=0,N1212=1000),"",INDEX(Rules!$C:$C,N1212))</f>
        <v/>
      </c>
      <c r="G1212" s="24"/>
      <c r="H1212" s="24"/>
      <c r="I1212" s="20" t="str">
        <f aca="false">IF(B1212="","",IF(G1212&lt;&gt;"",G1212,E1212))</f>
        <v/>
      </c>
      <c r="J1212" s="21" t="str">
        <f aca="false">IF(B1212="","",IF(H1212&lt;&gt;"",H1212,F1212))</f>
        <v/>
      </c>
      <c r="K1212" s="26" t="str">
        <f aca="false">IF(A1212="","",DATE(YEAR(A1212),MONTH(A1212),1))</f>
        <v/>
      </c>
      <c r="L1212" s="21" t="str">
        <f aca="false">IF(J1212="",IF(B1212="","",IF(N(C1212)&gt;=0,"Income","Expense")),IFERROR(INDEX(Lists!$B$2:$B$30,MATCH(J1212,Lists!$A$2:$A$30,0)),""))</f>
        <v/>
      </c>
      <c r="M1212" s="24"/>
      <c r="N1212" s="27" t="str">
        <f aca="false">IF(B1212="","",IFERROR(1000-SUMPRODUCT(MAX(ISNUMBER(SEARCH(Rules!$A$5:$A$204,B1212))*(Rules!$A$5:$A$204&lt;&gt;"")*(1000-ROW(Rules!$A$5:$A$204)))),""))</f>
        <v/>
      </c>
    </row>
    <row r="1213" customFormat="false" ht="15" hidden="false" customHeight="false" outlineLevel="0" collapsed="false">
      <c r="A1213" s="23"/>
      <c r="B1213" s="24"/>
      <c r="C1213" s="25"/>
      <c r="D1213" s="24"/>
      <c r="E1213" s="21" t="str">
        <f aca="false">IF(OR(B1213="",N(N1213)=0,N1213=1000),IF(B1213="","","Check"),INDEX(Rules!$B:$B,N1213))</f>
        <v/>
      </c>
      <c r="F1213" s="21" t="str">
        <f aca="false">IF(OR(B1213="",N(N1213)=0,N1213=1000),"",INDEX(Rules!$C:$C,N1213))</f>
        <v/>
      </c>
      <c r="G1213" s="24"/>
      <c r="H1213" s="24"/>
      <c r="I1213" s="20" t="str">
        <f aca="false">IF(B1213="","",IF(G1213&lt;&gt;"",G1213,E1213))</f>
        <v/>
      </c>
      <c r="J1213" s="21" t="str">
        <f aca="false">IF(B1213="","",IF(H1213&lt;&gt;"",H1213,F1213))</f>
        <v/>
      </c>
      <c r="K1213" s="26" t="str">
        <f aca="false">IF(A1213="","",DATE(YEAR(A1213),MONTH(A1213),1))</f>
        <v/>
      </c>
      <c r="L1213" s="21" t="str">
        <f aca="false">IF(J1213="",IF(B1213="","",IF(N(C1213)&gt;=0,"Income","Expense")),IFERROR(INDEX(Lists!$B$2:$B$30,MATCH(J1213,Lists!$A$2:$A$30,0)),""))</f>
        <v/>
      </c>
      <c r="M1213" s="24"/>
      <c r="N1213" s="27" t="str">
        <f aca="false">IF(B1213="","",IFERROR(1000-SUMPRODUCT(MAX(ISNUMBER(SEARCH(Rules!$A$5:$A$204,B1213))*(Rules!$A$5:$A$204&lt;&gt;"")*(1000-ROW(Rules!$A$5:$A$204)))),""))</f>
        <v/>
      </c>
    </row>
    <row r="1214" customFormat="false" ht="15" hidden="false" customHeight="false" outlineLevel="0" collapsed="false">
      <c r="A1214" s="23"/>
      <c r="B1214" s="24"/>
      <c r="C1214" s="25"/>
      <c r="D1214" s="24"/>
      <c r="E1214" s="21" t="str">
        <f aca="false">IF(OR(B1214="",N(N1214)=0,N1214=1000),IF(B1214="","","Check"),INDEX(Rules!$B:$B,N1214))</f>
        <v/>
      </c>
      <c r="F1214" s="21" t="str">
        <f aca="false">IF(OR(B1214="",N(N1214)=0,N1214=1000),"",INDEX(Rules!$C:$C,N1214))</f>
        <v/>
      </c>
      <c r="G1214" s="24"/>
      <c r="H1214" s="24"/>
      <c r="I1214" s="20" t="str">
        <f aca="false">IF(B1214="","",IF(G1214&lt;&gt;"",G1214,E1214))</f>
        <v/>
      </c>
      <c r="J1214" s="21" t="str">
        <f aca="false">IF(B1214="","",IF(H1214&lt;&gt;"",H1214,F1214))</f>
        <v/>
      </c>
      <c r="K1214" s="26" t="str">
        <f aca="false">IF(A1214="","",DATE(YEAR(A1214),MONTH(A1214),1))</f>
        <v/>
      </c>
      <c r="L1214" s="21" t="str">
        <f aca="false">IF(J1214="",IF(B1214="","",IF(N(C1214)&gt;=0,"Income","Expense")),IFERROR(INDEX(Lists!$B$2:$B$30,MATCH(J1214,Lists!$A$2:$A$30,0)),""))</f>
        <v/>
      </c>
      <c r="M1214" s="24"/>
      <c r="N1214" s="27" t="str">
        <f aca="false">IF(B1214="","",IFERROR(1000-SUMPRODUCT(MAX(ISNUMBER(SEARCH(Rules!$A$5:$A$204,B1214))*(Rules!$A$5:$A$204&lt;&gt;"")*(1000-ROW(Rules!$A$5:$A$204)))),""))</f>
        <v/>
      </c>
    </row>
    <row r="1215" customFormat="false" ht="15" hidden="false" customHeight="false" outlineLevel="0" collapsed="false">
      <c r="A1215" s="23"/>
      <c r="B1215" s="24"/>
      <c r="C1215" s="25"/>
      <c r="D1215" s="24"/>
      <c r="E1215" s="21" t="str">
        <f aca="false">IF(OR(B1215="",N(N1215)=0,N1215=1000),IF(B1215="","","Check"),INDEX(Rules!$B:$B,N1215))</f>
        <v/>
      </c>
      <c r="F1215" s="21" t="str">
        <f aca="false">IF(OR(B1215="",N(N1215)=0,N1215=1000),"",INDEX(Rules!$C:$C,N1215))</f>
        <v/>
      </c>
      <c r="G1215" s="24"/>
      <c r="H1215" s="24"/>
      <c r="I1215" s="20" t="str">
        <f aca="false">IF(B1215="","",IF(G1215&lt;&gt;"",G1215,E1215))</f>
        <v/>
      </c>
      <c r="J1215" s="21" t="str">
        <f aca="false">IF(B1215="","",IF(H1215&lt;&gt;"",H1215,F1215))</f>
        <v/>
      </c>
      <c r="K1215" s="26" t="str">
        <f aca="false">IF(A1215="","",DATE(YEAR(A1215),MONTH(A1215),1))</f>
        <v/>
      </c>
      <c r="L1215" s="21" t="str">
        <f aca="false">IF(J1215="",IF(B1215="","",IF(N(C1215)&gt;=0,"Income","Expense")),IFERROR(INDEX(Lists!$B$2:$B$30,MATCH(J1215,Lists!$A$2:$A$30,0)),""))</f>
        <v/>
      </c>
      <c r="M1215" s="24"/>
      <c r="N1215" s="27" t="str">
        <f aca="false">IF(B1215="","",IFERROR(1000-SUMPRODUCT(MAX(ISNUMBER(SEARCH(Rules!$A$5:$A$204,B1215))*(Rules!$A$5:$A$204&lt;&gt;"")*(1000-ROW(Rules!$A$5:$A$204)))),""))</f>
        <v/>
      </c>
    </row>
    <row r="1216" customFormat="false" ht="15" hidden="false" customHeight="false" outlineLevel="0" collapsed="false">
      <c r="A1216" s="23"/>
      <c r="B1216" s="24"/>
      <c r="C1216" s="25"/>
      <c r="D1216" s="24"/>
      <c r="E1216" s="21" t="str">
        <f aca="false">IF(OR(B1216="",N(N1216)=0,N1216=1000),IF(B1216="","","Check"),INDEX(Rules!$B:$B,N1216))</f>
        <v/>
      </c>
      <c r="F1216" s="21" t="str">
        <f aca="false">IF(OR(B1216="",N(N1216)=0,N1216=1000),"",INDEX(Rules!$C:$C,N1216))</f>
        <v/>
      </c>
      <c r="G1216" s="24"/>
      <c r="H1216" s="24"/>
      <c r="I1216" s="20" t="str">
        <f aca="false">IF(B1216="","",IF(G1216&lt;&gt;"",G1216,E1216))</f>
        <v/>
      </c>
      <c r="J1216" s="21" t="str">
        <f aca="false">IF(B1216="","",IF(H1216&lt;&gt;"",H1216,F1216))</f>
        <v/>
      </c>
      <c r="K1216" s="26" t="str">
        <f aca="false">IF(A1216="","",DATE(YEAR(A1216),MONTH(A1216),1))</f>
        <v/>
      </c>
      <c r="L1216" s="21" t="str">
        <f aca="false">IF(J1216="",IF(B1216="","",IF(N(C1216)&gt;=0,"Income","Expense")),IFERROR(INDEX(Lists!$B$2:$B$30,MATCH(J1216,Lists!$A$2:$A$30,0)),""))</f>
        <v/>
      </c>
      <c r="M1216" s="24"/>
      <c r="N1216" s="27" t="str">
        <f aca="false">IF(B1216="","",IFERROR(1000-SUMPRODUCT(MAX(ISNUMBER(SEARCH(Rules!$A$5:$A$204,B1216))*(Rules!$A$5:$A$204&lt;&gt;"")*(1000-ROW(Rules!$A$5:$A$204)))),""))</f>
        <v/>
      </c>
    </row>
    <row r="1217" customFormat="false" ht="15" hidden="false" customHeight="false" outlineLevel="0" collapsed="false">
      <c r="A1217" s="23"/>
      <c r="B1217" s="24"/>
      <c r="C1217" s="25"/>
      <c r="D1217" s="24"/>
      <c r="E1217" s="21" t="str">
        <f aca="false">IF(OR(B1217="",N(N1217)=0,N1217=1000),IF(B1217="","","Check"),INDEX(Rules!$B:$B,N1217))</f>
        <v/>
      </c>
      <c r="F1217" s="21" t="str">
        <f aca="false">IF(OR(B1217="",N(N1217)=0,N1217=1000),"",INDEX(Rules!$C:$C,N1217))</f>
        <v/>
      </c>
      <c r="G1217" s="24"/>
      <c r="H1217" s="24"/>
      <c r="I1217" s="20" t="str">
        <f aca="false">IF(B1217="","",IF(G1217&lt;&gt;"",G1217,E1217))</f>
        <v/>
      </c>
      <c r="J1217" s="21" t="str">
        <f aca="false">IF(B1217="","",IF(H1217&lt;&gt;"",H1217,F1217))</f>
        <v/>
      </c>
      <c r="K1217" s="26" t="str">
        <f aca="false">IF(A1217="","",DATE(YEAR(A1217),MONTH(A1217),1))</f>
        <v/>
      </c>
      <c r="L1217" s="21" t="str">
        <f aca="false">IF(J1217="",IF(B1217="","",IF(N(C1217)&gt;=0,"Income","Expense")),IFERROR(INDEX(Lists!$B$2:$B$30,MATCH(J1217,Lists!$A$2:$A$30,0)),""))</f>
        <v/>
      </c>
      <c r="M1217" s="24"/>
      <c r="N1217" s="27" t="str">
        <f aca="false">IF(B1217="","",IFERROR(1000-SUMPRODUCT(MAX(ISNUMBER(SEARCH(Rules!$A$5:$A$204,B1217))*(Rules!$A$5:$A$204&lt;&gt;"")*(1000-ROW(Rules!$A$5:$A$204)))),""))</f>
        <v/>
      </c>
    </row>
    <row r="1218" customFormat="false" ht="15" hidden="false" customHeight="false" outlineLevel="0" collapsed="false">
      <c r="A1218" s="23"/>
      <c r="B1218" s="24"/>
      <c r="C1218" s="25"/>
      <c r="D1218" s="24"/>
      <c r="E1218" s="21" t="str">
        <f aca="false">IF(OR(B1218="",N(N1218)=0,N1218=1000),IF(B1218="","","Check"),INDEX(Rules!$B:$B,N1218))</f>
        <v/>
      </c>
      <c r="F1218" s="21" t="str">
        <f aca="false">IF(OR(B1218="",N(N1218)=0,N1218=1000),"",INDEX(Rules!$C:$C,N1218))</f>
        <v/>
      </c>
      <c r="G1218" s="24"/>
      <c r="H1218" s="24"/>
      <c r="I1218" s="20" t="str">
        <f aca="false">IF(B1218="","",IF(G1218&lt;&gt;"",G1218,E1218))</f>
        <v/>
      </c>
      <c r="J1218" s="21" t="str">
        <f aca="false">IF(B1218="","",IF(H1218&lt;&gt;"",H1218,F1218))</f>
        <v/>
      </c>
      <c r="K1218" s="26" t="str">
        <f aca="false">IF(A1218="","",DATE(YEAR(A1218),MONTH(A1218),1))</f>
        <v/>
      </c>
      <c r="L1218" s="21" t="str">
        <f aca="false">IF(J1218="",IF(B1218="","",IF(N(C1218)&gt;=0,"Income","Expense")),IFERROR(INDEX(Lists!$B$2:$B$30,MATCH(J1218,Lists!$A$2:$A$30,0)),""))</f>
        <v/>
      </c>
      <c r="M1218" s="24"/>
      <c r="N1218" s="27" t="str">
        <f aca="false">IF(B1218="","",IFERROR(1000-SUMPRODUCT(MAX(ISNUMBER(SEARCH(Rules!$A$5:$A$204,B1218))*(Rules!$A$5:$A$204&lt;&gt;"")*(1000-ROW(Rules!$A$5:$A$204)))),""))</f>
        <v/>
      </c>
    </row>
    <row r="1219" customFormat="false" ht="15" hidden="false" customHeight="false" outlineLevel="0" collapsed="false">
      <c r="A1219" s="23"/>
      <c r="B1219" s="24"/>
      <c r="C1219" s="25"/>
      <c r="D1219" s="24"/>
      <c r="E1219" s="21" t="str">
        <f aca="false">IF(OR(B1219="",N(N1219)=0,N1219=1000),IF(B1219="","","Check"),INDEX(Rules!$B:$B,N1219))</f>
        <v/>
      </c>
      <c r="F1219" s="21" t="str">
        <f aca="false">IF(OR(B1219="",N(N1219)=0,N1219=1000),"",INDEX(Rules!$C:$C,N1219))</f>
        <v/>
      </c>
      <c r="G1219" s="24"/>
      <c r="H1219" s="24"/>
      <c r="I1219" s="20" t="str">
        <f aca="false">IF(B1219="","",IF(G1219&lt;&gt;"",G1219,E1219))</f>
        <v/>
      </c>
      <c r="J1219" s="21" t="str">
        <f aca="false">IF(B1219="","",IF(H1219&lt;&gt;"",H1219,F1219))</f>
        <v/>
      </c>
      <c r="K1219" s="26" t="str">
        <f aca="false">IF(A1219="","",DATE(YEAR(A1219),MONTH(A1219),1))</f>
        <v/>
      </c>
      <c r="L1219" s="21" t="str">
        <f aca="false">IF(J1219="",IF(B1219="","",IF(N(C1219)&gt;=0,"Income","Expense")),IFERROR(INDEX(Lists!$B$2:$B$30,MATCH(J1219,Lists!$A$2:$A$30,0)),""))</f>
        <v/>
      </c>
      <c r="M1219" s="24"/>
      <c r="N1219" s="27" t="str">
        <f aca="false">IF(B1219="","",IFERROR(1000-SUMPRODUCT(MAX(ISNUMBER(SEARCH(Rules!$A$5:$A$204,B1219))*(Rules!$A$5:$A$204&lt;&gt;"")*(1000-ROW(Rules!$A$5:$A$204)))),""))</f>
        <v/>
      </c>
    </row>
    <row r="1220" customFormat="false" ht="15" hidden="false" customHeight="false" outlineLevel="0" collapsed="false">
      <c r="A1220" s="23"/>
      <c r="B1220" s="24"/>
      <c r="C1220" s="25"/>
      <c r="D1220" s="24"/>
      <c r="E1220" s="21" t="str">
        <f aca="false">IF(OR(B1220="",N(N1220)=0,N1220=1000),IF(B1220="","","Check"),INDEX(Rules!$B:$B,N1220))</f>
        <v/>
      </c>
      <c r="F1220" s="21" t="str">
        <f aca="false">IF(OR(B1220="",N(N1220)=0,N1220=1000),"",INDEX(Rules!$C:$C,N1220))</f>
        <v/>
      </c>
      <c r="G1220" s="24"/>
      <c r="H1220" s="24"/>
      <c r="I1220" s="20" t="str">
        <f aca="false">IF(B1220="","",IF(G1220&lt;&gt;"",G1220,E1220))</f>
        <v/>
      </c>
      <c r="J1220" s="21" t="str">
        <f aca="false">IF(B1220="","",IF(H1220&lt;&gt;"",H1220,F1220))</f>
        <v/>
      </c>
      <c r="K1220" s="26" t="str">
        <f aca="false">IF(A1220="","",DATE(YEAR(A1220),MONTH(A1220),1))</f>
        <v/>
      </c>
      <c r="L1220" s="21" t="str">
        <f aca="false">IF(J1220="",IF(B1220="","",IF(N(C1220)&gt;=0,"Income","Expense")),IFERROR(INDEX(Lists!$B$2:$B$30,MATCH(J1220,Lists!$A$2:$A$30,0)),""))</f>
        <v/>
      </c>
      <c r="M1220" s="24"/>
      <c r="N1220" s="27" t="str">
        <f aca="false">IF(B1220="","",IFERROR(1000-SUMPRODUCT(MAX(ISNUMBER(SEARCH(Rules!$A$5:$A$204,B1220))*(Rules!$A$5:$A$204&lt;&gt;"")*(1000-ROW(Rules!$A$5:$A$204)))),""))</f>
        <v/>
      </c>
    </row>
    <row r="1221" customFormat="false" ht="15" hidden="false" customHeight="false" outlineLevel="0" collapsed="false">
      <c r="A1221" s="23"/>
      <c r="B1221" s="24"/>
      <c r="C1221" s="25"/>
      <c r="D1221" s="24"/>
      <c r="E1221" s="21" t="str">
        <f aca="false">IF(OR(B1221="",N(N1221)=0,N1221=1000),IF(B1221="","","Check"),INDEX(Rules!$B:$B,N1221))</f>
        <v/>
      </c>
      <c r="F1221" s="21" t="str">
        <f aca="false">IF(OR(B1221="",N(N1221)=0,N1221=1000),"",INDEX(Rules!$C:$C,N1221))</f>
        <v/>
      </c>
      <c r="G1221" s="24"/>
      <c r="H1221" s="24"/>
      <c r="I1221" s="20" t="str">
        <f aca="false">IF(B1221="","",IF(G1221&lt;&gt;"",G1221,E1221))</f>
        <v/>
      </c>
      <c r="J1221" s="21" t="str">
        <f aca="false">IF(B1221="","",IF(H1221&lt;&gt;"",H1221,F1221))</f>
        <v/>
      </c>
      <c r="K1221" s="26" t="str">
        <f aca="false">IF(A1221="","",DATE(YEAR(A1221),MONTH(A1221),1))</f>
        <v/>
      </c>
      <c r="L1221" s="21" t="str">
        <f aca="false">IF(J1221="",IF(B1221="","",IF(N(C1221)&gt;=0,"Income","Expense")),IFERROR(INDEX(Lists!$B$2:$B$30,MATCH(J1221,Lists!$A$2:$A$30,0)),""))</f>
        <v/>
      </c>
      <c r="M1221" s="24"/>
      <c r="N1221" s="27" t="str">
        <f aca="false">IF(B1221="","",IFERROR(1000-SUMPRODUCT(MAX(ISNUMBER(SEARCH(Rules!$A$5:$A$204,B1221))*(Rules!$A$5:$A$204&lt;&gt;"")*(1000-ROW(Rules!$A$5:$A$204)))),""))</f>
        <v/>
      </c>
    </row>
    <row r="1222" customFormat="false" ht="15" hidden="false" customHeight="false" outlineLevel="0" collapsed="false">
      <c r="A1222" s="23"/>
      <c r="B1222" s="24"/>
      <c r="C1222" s="25"/>
      <c r="D1222" s="24"/>
      <c r="E1222" s="21" t="str">
        <f aca="false">IF(OR(B1222="",N(N1222)=0,N1222=1000),IF(B1222="","","Check"),INDEX(Rules!$B:$B,N1222))</f>
        <v/>
      </c>
      <c r="F1222" s="21" t="str">
        <f aca="false">IF(OR(B1222="",N(N1222)=0,N1222=1000),"",INDEX(Rules!$C:$C,N1222))</f>
        <v/>
      </c>
      <c r="G1222" s="24"/>
      <c r="H1222" s="24"/>
      <c r="I1222" s="20" t="str">
        <f aca="false">IF(B1222="","",IF(G1222&lt;&gt;"",G1222,E1222))</f>
        <v/>
      </c>
      <c r="J1222" s="21" t="str">
        <f aca="false">IF(B1222="","",IF(H1222&lt;&gt;"",H1222,F1222))</f>
        <v/>
      </c>
      <c r="K1222" s="26" t="str">
        <f aca="false">IF(A1222="","",DATE(YEAR(A1222),MONTH(A1222),1))</f>
        <v/>
      </c>
      <c r="L1222" s="21" t="str">
        <f aca="false">IF(J1222="",IF(B1222="","",IF(N(C1222)&gt;=0,"Income","Expense")),IFERROR(INDEX(Lists!$B$2:$B$30,MATCH(J1222,Lists!$A$2:$A$30,0)),""))</f>
        <v/>
      </c>
      <c r="M1222" s="24"/>
      <c r="N1222" s="27" t="str">
        <f aca="false">IF(B1222="","",IFERROR(1000-SUMPRODUCT(MAX(ISNUMBER(SEARCH(Rules!$A$5:$A$204,B1222))*(Rules!$A$5:$A$204&lt;&gt;"")*(1000-ROW(Rules!$A$5:$A$204)))),""))</f>
        <v/>
      </c>
    </row>
    <row r="1223" customFormat="false" ht="15" hidden="false" customHeight="false" outlineLevel="0" collapsed="false">
      <c r="A1223" s="23"/>
      <c r="B1223" s="24"/>
      <c r="C1223" s="25"/>
      <c r="D1223" s="24"/>
      <c r="E1223" s="21" t="str">
        <f aca="false">IF(OR(B1223="",N(N1223)=0,N1223=1000),IF(B1223="","","Check"),INDEX(Rules!$B:$B,N1223))</f>
        <v/>
      </c>
      <c r="F1223" s="21" t="str">
        <f aca="false">IF(OR(B1223="",N(N1223)=0,N1223=1000),"",INDEX(Rules!$C:$C,N1223))</f>
        <v/>
      </c>
      <c r="G1223" s="24"/>
      <c r="H1223" s="24"/>
      <c r="I1223" s="20" t="str">
        <f aca="false">IF(B1223="","",IF(G1223&lt;&gt;"",G1223,E1223))</f>
        <v/>
      </c>
      <c r="J1223" s="21" t="str">
        <f aca="false">IF(B1223="","",IF(H1223&lt;&gt;"",H1223,F1223))</f>
        <v/>
      </c>
      <c r="K1223" s="26" t="str">
        <f aca="false">IF(A1223="","",DATE(YEAR(A1223),MONTH(A1223),1))</f>
        <v/>
      </c>
      <c r="L1223" s="21" t="str">
        <f aca="false">IF(J1223="",IF(B1223="","",IF(N(C1223)&gt;=0,"Income","Expense")),IFERROR(INDEX(Lists!$B$2:$B$30,MATCH(J1223,Lists!$A$2:$A$30,0)),""))</f>
        <v/>
      </c>
      <c r="M1223" s="24"/>
      <c r="N1223" s="27" t="str">
        <f aca="false">IF(B1223="","",IFERROR(1000-SUMPRODUCT(MAX(ISNUMBER(SEARCH(Rules!$A$5:$A$204,B1223))*(Rules!$A$5:$A$204&lt;&gt;"")*(1000-ROW(Rules!$A$5:$A$204)))),""))</f>
        <v/>
      </c>
    </row>
    <row r="1224" customFormat="false" ht="15" hidden="false" customHeight="false" outlineLevel="0" collapsed="false">
      <c r="A1224" s="23"/>
      <c r="B1224" s="24"/>
      <c r="C1224" s="25"/>
      <c r="D1224" s="24"/>
      <c r="E1224" s="21" t="str">
        <f aca="false">IF(OR(B1224="",N(N1224)=0,N1224=1000),IF(B1224="","","Check"),INDEX(Rules!$B:$B,N1224))</f>
        <v/>
      </c>
      <c r="F1224" s="21" t="str">
        <f aca="false">IF(OR(B1224="",N(N1224)=0,N1224=1000),"",INDEX(Rules!$C:$C,N1224))</f>
        <v/>
      </c>
      <c r="G1224" s="24"/>
      <c r="H1224" s="24"/>
      <c r="I1224" s="20" t="str">
        <f aca="false">IF(B1224="","",IF(G1224&lt;&gt;"",G1224,E1224))</f>
        <v/>
      </c>
      <c r="J1224" s="21" t="str">
        <f aca="false">IF(B1224="","",IF(H1224&lt;&gt;"",H1224,F1224))</f>
        <v/>
      </c>
      <c r="K1224" s="26" t="str">
        <f aca="false">IF(A1224="","",DATE(YEAR(A1224),MONTH(A1224),1))</f>
        <v/>
      </c>
      <c r="L1224" s="21" t="str">
        <f aca="false">IF(J1224="",IF(B1224="","",IF(N(C1224)&gt;=0,"Income","Expense")),IFERROR(INDEX(Lists!$B$2:$B$30,MATCH(J1224,Lists!$A$2:$A$30,0)),""))</f>
        <v/>
      </c>
      <c r="M1224" s="24"/>
      <c r="N1224" s="27" t="str">
        <f aca="false">IF(B1224="","",IFERROR(1000-SUMPRODUCT(MAX(ISNUMBER(SEARCH(Rules!$A$5:$A$204,B1224))*(Rules!$A$5:$A$204&lt;&gt;"")*(1000-ROW(Rules!$A$5:$A$204)))),""))</f>
        <v/>
      </c>
    </row>
    <row r="1225" customFormat="false" ht="15" hidden="false" customHeight="false" outlineLevel="0" collapsed="false">
      <c r="A1225" s="23"/>
      <c r="B1225" s="24"/>
      <c r="C1225" s="25"/>
      <c r="D1225" s="24"/>
      <c r="E1225" s="21" t="str">
        <f aca="false">IF(OR(B1225="",N(N1225)=0,N1225=1000),IF(B1225="","","Check"),INDEX(Rules!$B:$B,N1225))</f>
        <v/>
      </c>
      <c r="F1225" s="21" t="str">
        <f aca="false">IF(OR(B1225="",N(N1225)=0,N1225=1000),"",INDEX(Rules!$C:$C,N1225))</f>
        <v/>
      </c>
      <c r="G1225" s="24"/>
      <c r="H1225" s="24"/>
      <c r="I1225" s="20" t="str">
        <f aca="false">IF(B1225="","",IF(G1225&lt;&gt;"",G1225,E1225))</f>
        <v/>
      </c>
      <c r="J1225" s="21" t="str">
        <f aca="false">IF(B1225="","",IF(H1225&lt;&gt;"",H1225,F1225))</f>
        <v/>
      </c>
      <c r="K1225" s="26" t="str">
        <f aca="false">IF(A1225="","",DATE(YEAR(A1225),MONTH(A1225),1))</f>
        <v/>
      </c>
      <c r="L1225" s="21" t="str">
        <f aca="false">IF(J1225="",IF(B1225="","",IF(N(C1225)&gt;=0,"Income","Expense")),IFERROR(INDEX(Lists!$B$2:$B$30,MATCH(J1225,Lists!$A$2:$A$30,0)),""))</f>
        <v/>
      </c>
      <c r="M1225" s="24"/>
      <c r="N1225" s="27" t="str">
        <f aca="false">IF(B1225="","",IFERROR(1000-SUMPRODUCT(MAX(ISNUMBER(SEARCH(Rules!$A$5:$A$204,B1225))*(Rules!$A$5:$A$204&lt;&gt;"")*(1000-ROW(Rules!$A$5:$A$204)))),""))</f>
        <v/>
      </c>
    </row>
    <row r="1226" customFormat="false" ht="15" hidden="false" customHeight="false" outlineLevel="0" collapsed="false">
      <c r="A1226" s="23"/>
      <c r="B1226" s="24"/>
      <c r="C1226" s="25"/>
      <c r="D1226" s="24"/>
      <c r="E1226" s="21" t="str">
        <f aca="false">IF(OR(B1226="",N(N1226)=0,N1226=1000),IF(B1226="","","Check"),INDEX(Rules!$B:$B,N1226))</f>
        <v/>
      </c>
      <c r="F1226" s="21" t="str">
        <f aca="false">IF(OR(B1226="",N(N1226)=0,N1226=1000),"",INDEX(Rules!$C:$C,N1226))</f>
        <v/>
      </c>
      <c r="G1226" s="24"/>
      <c r="H1226" s="24"/>
      <c r="I1226" s="20" t="str">
        <f aca="false">IF(B1226="","",IF(G1226&lt;&gt;"",G1226,E1226))</f>
        <v/>
      </c>
      <c r="J1226" s="21" t="str">
        <f aca="false">IF(B1226="","",IF(H1226&lt;&gt;"",H1226,F1226))</f>
        <v/>
      </c>
      <c r="K1226" s="26" t="str">
        <f aca="false">IF(A1226="","",DATE(YEAR(A1226),MONTH(A1226),1))</f>
        <v/>
      </c>
      <c r="L1226" s="21" t="str">
        <f aca="false">IF(J1226="",IF(B1226="","",IF(N(C1226)&gt;=0,"Income","Expense")),IFERROR(INDEX(Lists!$B$2:$B$30,MATCH(J1226,Lists!$A$2:$A$30,0)),""))</f>
        <v/>
      </c>
      <c r="M1226" s="24"/>
      <c r="N1226" s="27" t="str">
        <f aca="false">IF(B1226="","",IFERROR(1000-SUMPRODUCT(MAX(ISNUMBER(SEARCH(Rules!$A$5:$A$204,B1226))*(Rules!$A$5:$A$204&lt;&gt;"")*(1000-ROW(Rules!$A$5:$A$204)))),""))</f>
        <v/>
      </c>
    </row>
    <row r="1227" customFormat="false" ht="15" hidden="false" customHeight="false" outlineLevel="0" collapsed="false">
      <c r="A1227" s="23"/>
      <c r="B1227" s="24"/>
      <c r="C1227" s="25"/>
      <c r="D1227" s="24"/>
      <c r="E1227" s="21" t="str">
        <f aca="false">IF(OR(B1227="",N(N1227)=0,N1227=1000),IF(B1227="","","Check"),INDEX(Rules!$B:$B,N1227))</f>
        <v/>
      </c>
      <c r="F1227" s="21" t="str">
        <f aca="false">IF(OR(B1227="",N(N1227)=0,N1227=1000),"",INDEX(Rules!$C:$C,N1227))</f>
        <v/>
      </c>
      <c r="G1227" s="24"/>
      <c r="H1227" s="24"/>
      <c r="I1227" s="20" t="str">
        <f aca="false">IF(B1227="","",IF(G1227&lt;&gt;"",G1227,E1227))</f>
        <v/>
      </c>
      <c r="J1227" s="21" t="str">
        <f aca="false">IF(B1227="","",IF(H1227&lt;&gt;"",H1227,F1227))</f>
        <v/>
      </c>
      <c r="K1227" s="26" t="str">
        <f aca="false">IF(A1227="","",DATE(YEAR(A1227),MONTH(A1227),1))</f>
        <v/>
      </c>
      <c r="L1227" s="21" t="str">
        <f aca="false">IF(J1227="",IF(B1227="","",IF(N(C1227)&gt;=0,"Income","Expense")),IFERROR(INDEX(Lists!$B$2:$B$30,MATCH(J1227,Lists!$A$2:$A$30,0)),""))</f>
        <v/>
      </c>
      <c r="M1227" s="24"/>
      <c r="N1227" s="27" t="str">
        <f aca="false">IF(B1227="","",IFERROR(1000-SUMPRODUCT(MAX(ISNUMBER(SEARCH(Rules!$A$5:$A$204,B1227))*(Rules!$A$5:$A$204&lt;&gt;"")*(1000-ROW(Rules!$A$5:$A$204)))),""))</f>
        <v/>
      </c>
    </row>
    <row r="1228" customFormat="false" ht="15" hidden="false" customHeight="false" outlineLevel="0" collapsed="false">
      <c r="A1228" s="23"/>
      <c r="B1228" s="24"/>
      <c r="C1228" s="25"/>
      <c r="D1228" s="24"/>
      <c r="E1228" s="21" t="str">
        <f aca="false">IF(OR(B1228="",N(N1228)=0,N1228=1000),IF(B1228="","","Check"),INDEX(Rules!$B:$B,N1228))</f>
        <v/>
      </c>
      <c r="F1228" s="21" t="str">
        <f aca="false">IF(OR(B1228="",N(N1228)=0,N1228=1000),"",INDEX(Rules!$C:$C,N1228))</f>
        <v/>
      </c>
      <c r="G1228" s="24"/>
      <c r="H1228" s="24"/>
      <c r="I1228" s="20" t="str">
        <f aca="false">IF(B1228="","",IF(G1228&lt;&gt;"",G1228,E1228))</f>
        <v/>
      </c>
      <c r="J1228" s="21" t="str">
        <f aca="false">IF(B1228="","",IF(H1228&lt;&gt;"",H1228,F1228))</f>
        <v/>
      </c>
      <c r="K1228" s="26" t="str">
        <f aca="false">IF(A1228="","",DATE(YEAR(A1228),MONTH(A1228),1))</f>
        <v/>
      </c>
      <c r="L1228" s="21" t="str">
        <f aca="false">IF(J1228="",IF(B1228="","",IF(N(C1228)&gt;=0,"Income","Expense")),IFERROR(INDEX(Lists!$B$2:$B$30,MATCH(J1228,Lists!$A$2:$A$30,0)),""))</f>
        <v/>
      </c>
      <c r="M1228" s="24"/>
      <c r="N1228" s="27" t="str">
        <f aca="false">IF(B1228="","",IFERROR(1000-SUMPRODUCT(MAX(ISNUMBER(SEARCH(Rules!$A$5:$A$204,B1228))*(Rules!$A$5:$A$204&lt;&gt;"")*(1000-ROW(Rules!$A$5:$A$204)))),""))</f>
        <v/>
      </c>
    </row>
    <row r="1229" customFormat="false" ht="15" hidden="false" customHeight="false" outlineLevel="0" collapsed="false">
      <c r="A1229" s="23"/>
      <c r="B1229" s="24"/>
      <c r="C1229" s="25"/>
      <c r="D1229" s="24"/>
      <c r="E1229" s="21" t="str">
        <f aca="false">IF(OR(B1229="",N(N1229)=0,N1229=1000),IF(B1229="","","Check"),INDEX(Rules!$B:$B,N1229))</f>
        <v/>
      </c>
      <c r="F1229" s="21" t="str">
        <f aca="false">IF(OR(B1229="",N(N1229)=0,N1229=1000),"",INDEX(Rules!$C:$C,N1229))</f>
        <v/>
      </c>
      <c r="G1229" s="24"/>
      <c r="H1229" s="24"/>
      <c r="I1229" s="20" t="str">
        <f aca="false">IF(B1229="","",IF(G1229&lt;&gt;"",G1229,E1229))</f>
        <v/>
      </c>
      <c r="J1229" s="21" t="str">
        <f aca="false">IF(B1229="","",IF(H1229&lt;&gt;"",H1229,F1229))</f>
        <v/>
      </c>
      <c r="K1229" s="26" t="str">
        <f aca="false">IF(A1229="","",DATE(YEAR(A1229),MONTH(A1229),1))</f>
        <v/>
      </c>
      <c r="L1229" s="21" t="str">
        <f aca="false">IF(J1229="",IF(B1229="","",IF(N(C1229)&gt;=0,"Income","Expense")),IFERROR(INDEX(Lists!$B$2:$B$30,MATCH(J1229,Lists!$A$2:$A$30,0)),""))</f>
        <v/>
      </c>
      <c r="M1229" s="24"/>
      <c r="N1229" s="27" t="str">
        <f aca="false">IF(B1229="","",IFERROR(1000-SUMPRODUCT(MAX(ISNUMBER(SEARCH(Rules!$A$5:$A$204,B1229))*(Rules!$A$5:$A$204&lt;&gt;"")*(1000-ROW(Rules!$A$5:$A$204)))),""))</f>
        <v/>
      </c>
    </row>
    <row r="1230" customFormat="false" ht="15" hidden="false" customHeight="false" outlineLevel="0" collapsed="false">
      <c r="A1230" s="23"/>
      <c r="B1230" s="24"/>
      <c r="C1230" s="25"/>
      <c r="D1230" s="24"/>
      <c r="E1230" s="21" t="str">
        <f aca="false">IF(OR(B1230="",N(N1230)=0,N1230=1000),IF(B1230="","","Check"),INDEX(Rules!$B:$B,N1230))</f>
        <v/>
      </c>
      <c r="F1230" s="21" t="str">
        <f aca="false">IF(OR(B1230="",N(N1230)=0,N1230=1000),"",INDEX(Rules!$C:$C,N1230))</f>
        <v/>
      </c>
      <c r="G1230" s="24"/>
      <c r="H1230" s="24"/>
      <c r="I1230" s="20" t="str">
        <f aca="false">IF(B1230="","",IF(G1230&lt;&gt;"",G1230,E1230))</f>
        <v/>
      </c>
      <c r="J1230" s="21" t="str">
        <f aca="false">IF(B1230="","",IF(H1230&lt;&gt;"",H1230,F1230))</f>
        <v/>
      </c>
      <c r="K1230" s="26" t="str">
        <f aca="false">IF(A1230="","",DATE(YEAR(A1230),MONTH(A1230),1))</f>
        <v/>
      </c>
      <c r="L1230" s="21" t="str">
        <f aca="false">IF(J1230="",IF(B1230="","",IF(N(C1230)&gt;=0,"Income","Expense")),IFERROR(INDEX(Lists!$B$2:$B$30,MATCH(J1230,Lists!$A$2:$A$30,0)),""))</f>
        <v/>
      </c>
      <c r="M1230" s="24"/>
      <c r="N1230" s="27" t="str">
        <f aca="false">IF(B1230="","",IFERROR(1000-SUMPRODUCT(MAX(ISNUMBER(SEARCH(Rules!$A$5:$A$204,B1230))*(Rules!$A$5:$A$204&lt;&gt;"")*(1000-ROW(Rules!$A$5:$A$204)))),""))</f>
        <v/>
      </c>
    </row>
    <row r="1231" customFormat="false" ht="15" hidden="false" customHeight="false" outlineLevel="0" collapsed="false">
      <c r="A1231" s="23"/>
      <c r="B1231" s="24"/>
      <c r="C1231" s="25"/>
      <c r="D1231" s="24"/>
      <c r="E1231" s="21" t="str">
        <f aca="false">IF(OR(B1231="",N(N1231)=0,N1231=1000),IF(B1231="","","Check"),INDEX(Rules!$B:$B,N1231))</f>
        <v/>
      </c>
      <c r="F1231" s="21" t="str">
        <f aca="false">IF(OR(B1231="",N(N1231)=0,N1231=1000),"",INDEX(Rules!$C:$C,N1231))</f>
        <v/>
      </c>
      <c r="G1231" s="24"/>
      <c r="H1231" s="24"/>
      <c r="I1231" s="20" t="str">
        <f aca="false">IF(B1231="","",IF(G1231&lt;&gt;"",G1231,E1231))</f>
        <v/>
      </c>
      <c r="J1231" s="21" t="str">
        <f aca="false">IF(B1231="","",IF(H1231&lt;&gt;"",H1231,F1231))</f>
        <v/>
      </c>
      <c r="K1231" s="26" t="str">
        <f aca="false">IF(A1231="","",DATE(YEAR(A1231),MONTH(A1231),1))</f>
        <v/>
      </c>
      <c r="L1231" s="21" t="str">
        <f aca="false">IF(J1231="",IF(B1231="","",IF(N(C1231)&gt;=0,"Income","Expense")),IFERROR(INDEX(Lists!$B$2:$B$30,MATCH(J1231,Lists!$A$2:$A$30,0)),""))</f>
        <v/>
      </c>
      <c r="M1231" s="24"/>
      <c r="N1231" s="27" t="str">
        <f aca="false">IF(B1231="","",IFERROR(1000-SUMPRODUCT(MAX(ISNUMBER(SEARCH(Rules!$A$5:$A$204,B1231))*(Rules!$A$5:$A$204&lt;&gt;"")*(1000-ROW(Rules!$A$5:$A$204)))),""))</f>
        <v/>
      </c>
    </row>
    <row r="1232" customFormat="false" ht="15" hidden="false" customHeight="false" outlineLevel="0" collapsed="false">
      <c r="A1232" s="23"/>
      <c r="B1232" s="24"/>
      <c r="C1232" s="25"/>
      <c r="D1232" s="24"/>
      <c r="E1232" s="21" t="str">
        <f aca="false">IF(OR(B1232="",N(N1232)=0,N1232=1000),IF(B1232="","","Check"),INDEX(Rules!$B:$B,N1232))</f>
        <v/>
      </c>
      <c r="F1232" s="21" t="str">
        <f aca="false">IF(OR(B1232="",N(N1232)=0,N1232=1000),"",INDEX(Rules!$C:$C,N1232))</f>
        <v/>
      </c>
      <c r="G1232" s="24"/>
      <c r="H1232" s="24"/>
      <c r="I1232" s="20" t="str">
        <f aca="false">IF(B1232="","",IF(G1232&lt;&gt;"",G1232,E1232))</f>
        <v/>
      </c>
      <c r="J1232" s="21" t="str">
        <f aca="false">IF(B1232="","",IF(H1232&lt;&gt;"",H1232,F1232))</f>
        <v/>
      </c>
      <c r="K1232" s="26" t="str">
        <f aca="false">IF(A1232="","",DATE(YEAR(A1232),MONTH(A1232),1))</f>
        <v/>
      </c>
      <c r="L1232" s="21" t="str">
        <f aca="false">IF(J1232="",IF(B1232="","",IF(N(C1232)&gt;=0,"Income","Expense")),IFERROR(INDEX(Lists!$B$2:$B$30,MATCH(J1232,Lists!$A$2:$A$30,0)),""))</f>
        <v/>
      </c>
      <c r="M1232" s="24"/>
      <c r="N1232" s="27" t="str">
        <f aca="false">IF(B1232="","",IFERROR(1000-SUMPRODUCT(MAX(ISNUMBER(SEARCH(Rules!$A$5:$A$204,B1232))*(Rules!$A$5:$A$204&lt;&gt;"")*(1000-ROW(Rules!$A$5:$A$204)))),""))</f>
        <v/>
      </c>
    </row>
    <row r="1233" customFormat="false" ht="15" hidden="false" customHeight="false" outlineLevel="0" collapsed="false">
      <c r="A1233" s="23"/>
      <c r="B1233" s="24"/>
      <c r="C1233" s="25"/>
      <c r="D1233" s="24"/>
      <c r="E1233" s="21" t="str">
        <f aca="false">IF(OR(B1233="",N(N1233)=0,N1233=1000),IF(B1233="","","Check"),INDEX(Rules!$B:$B,N1233))</f>
        <v/>
      </c>
      <c r="F1233" s="21" t="str">
        <f aca="false">IF(OR(B1233="",N(N1233)=0,N1233=1000),"",INDEX(Rules!$C:$C,N1233))</f>
        <v/>
      </c>
      <c r="G1233" s="24"/>
      <c r="H1233" s="24"/>
      <c r="I1233" s="20" t="str">
        <f aca="false">IF(B1233="","",IF(G1233&lt;&gt;"",G1233,E1233))</f>
        <v/>
      </c>
      <c r="J1233" s="21" t="str">
        <f aca="false">IF(B1233="","",IF(H1233&lt;&gt;"",H1233,F1233))</f>
        <v/>
      </c>
      <c r="K1233" s="26" t="str">
        <f aca="false">IF(A1233="","",DATE(YEAR(A1233),MONTH(A1233),1))</f>
        <v/>
      </c>
      <c r="L1233" s="21" t="str">
        <f aca="false">IF(J1233="",IF(B1233="","",IF(N(C1233)&gt;=0,"Income","Expense")),IFERROR(INDEX(Lists!$B$2:$B$30,MATCH(J1233,Lists!$A$2:$A$30,0)),""))</f>
        <v/>
      </c>
      <c r="M1233" s="24"/>
      <c r="N1233" s="27" t="str">
        <f aca="false">IF(B1233="","",IFERROR(1000-SUMPRODUCT(MAX(ISNUMBER(SEARCH(Rules!$A$5:$A$204,B1233))*(Rules!$A$5:$A$204&lt;&gt;"")*(1000-ROW(Rules!$A$5:$A$204)))),""))</f>
        <v/>
      </c>
    </row>
    <row r="1234" customFormat="false" ht="15" hidden="false" customHeight="false" outlineLevel="0" collapsed="false">
      <c r="A1234" s="23"/>
      <c r="B1234" s="24"/>
      <c r="C1234" s="25"/>
      <c r="D1234" s="24"/>
      <c r="E1234" s="21" t="str">
        <f aca="false">IF(OR(B1234="",N(N1234)=0,N1234=1000),IF(B1234="","","Check"),INDEX(Rules!$B:$B,N1234))</f>
        <v/>
      </c>
      <c r="F1234" s="21" t="str">
        <f aca="false">IF(OR(B1234="",N(N1234)=0,N1234=1000),"",INDEX(Rules!$C:$C,N1234))</f>
        <v/>
      </c>
      <c r="G1234" s="24"/>
      <c r="H1234" s="24"/>
      <c r="I1234" s="20" t="str">
        <f aca="false">IF(B1234="","",IF(G1234&lt;&gt;"",G1234,E1234))</f>
        <v/>
      </c>
      <c r="J1234" s="21" t="str">
        <f aca="false">IF(B1234="","",IF(H1234&lt;&gt;"",H1234,F1234))</f>
        <v/>
      </c>
      <c r="K1234" s="26" t="str">
        <f aca="false">IF(A1234="","",DATE(YEAR(A1234),MONTH(A1234),1))</f>
        <v/>
      </c>
      <c r="L1234" s="21" t="str">
        <f aca="false">IF(J1234="",IF(B1234="","",IF(N(C1234)&gt;=0,"Income","Expense")),IFERROR(INDEX(Lists!$B$2:$B$30,MATCH(J1234,Lists!$A$2:$A$30,0)),""))</f>
        <v/>
      </c>
      <c r="M1234" s="24"/>
      <c r="N1234" s="27" t="str">
        <f aca="false">IF(B1234="","",IFERROR(1000-SUMPRODUCT(MAX(ISNUMBER(SEARCH(Rules!$A$5:$A$204,B1234))*(Rules!$A$5:$A$204&lt;&gt;"")*(1000-ROW(Rules!$A$5:$A$204)))),""))</f>
        <v/>
      </c>
    </row>
    <row r="1235" customFormat="false" ht="15" hidden="false" customHeight="false" outlineLevel="0" collapsed="false">
      <c r="A1235" s="23"/>
      <c r="B1235" s="24"/>
      <c r="C1235" s="25"/>
      <c r="D1235" s="24"/>
      <c r="E1235" s="21" t="str">
        <f aca="false">IF(OR(B1235="",N(N1235)=0,N1235=1000),IF(B1235="","","Check"),INDEX(Rules!$B:$B,N1235))</f>
        <v/>
      </c>
      <c r="F1235" s="21" t="str">
        <f aca="false">IF(OR(B1235="",N(N1235)=0,N1235=1000),"",INDEX(Rules!$C:$C,N1235))</f>
        <v/>
      </c>
      <c r="G1235" s="24"/>
      <c r="H1235" s="24"/>
      <c r="I1235" s="20" t="str">
        <f aca="false">IF(B1235="","",IF(G1235&lt;&gt;"",G1235,E1235))</f>
        <v/>
      </c>
      <c r="J1235" s="21" t="str">
        <f aca="false">IF(B1235="","",IF(H1235&lt;&gt;"",H1235,F1235))</f>
        <v/>
      </c>
      <c r="K1235" s="26" t="str">
        <f aca="false">IF(A1235="","",DATE(YEAR(A1235),MONTH(A1235),1))</f>
        <v/>
      </c>
      <c r="L1235" s="21" t="str">
        <f aca="false">IF(J1235="",IF(B1235="","",IF(N(C1235)&gt;=0,"Income","Expense")),IFERROR(INDEX(Lists!$B$2:$B$30,MATCH(J1235,Lists!$A$2:$A$30,0)),""))</f>
        <v/>
      </c>
      <c r="M1235" s="24"/>
      <c r="N1235" s="27" t="str">
        <f aca="false">IF(B1235="","",IFERROR(1000-SUMPRODUCT(MAX(ISNUMBER(SEARCH(Rules!$A$5:$A$204,B1235))*(Rules!$A$5:$A$204&lt;&gt;"")*(1000-ROW(Rules!$A$5:$A$204)))),""))</f>
        <v/>
      </c>
    </row>
    <row r="1236" customFormat="false" ht="15" hidden="false" customHeight="false" outlineLevel="0" collapsed="false">
      <c r="A1236" s="23"/>
      <c r="B1236" s="24"/>
      <c r="C1236" s="25"/>
      <c r="D1236" s="24"/>
      <c r="E1236" s="21" t="str">
        <f aca="false">IF(OR(B1236="",N(N1236)=0,N1236=1000),IF(B1236="","","Check"),INDEX(Rules!$B:$B,N1236))</f>
        <v/>
      </c>
      <c r="F1236" s="21" t="str">
        <f aca="false">IF(OR(B1236="",N(N1236)=0,N1236=1000),"",INDEX(Rules!$C:$C,N1236))</f>
        <v/>
      </c>
      <c r="G1236" s="24"/>
      <c r="H1236" s="24"/>
      <c r="I1236" s="20" t="str">
        <f aca="false">IF(B1236="","",IF(G1236&lt;&gt;"",G1236,E1236))</f>
        <v/>
      </c>
      <c r="J1236" s="21" t="str">
        <f aca="false">IF(B1236="","",IF(H1236&lt;&gt;"",H1236,F1236))</f>
        <v/>
      </c>
      <c r="K1236" s="26" t="str">
        <f aca="false">IF(A1236="","",DATE(YEAR(A1236),MONTH(A1236),1))</f>
        <v/>
      </c>
      <c r="L1236" s="21" t="str">
        <f aca="false">IF(J1236="",IF(B1236="","",IF(N(C1236)&gt;=0,"Income","Expense")),IFERROR(INDEX(Lists!$B$2:$B$30,MATCH(J1236,Lists!$A$2:$A$30,0)),""))</f>
        <v/>
      </c>
      <c r="M1236" s="24"/>
      <c r="N1236" s="27" t="str">
        <f aca="false">IF(B1236="","",IFERROR(1000-SUMPRODUCT(MAX(ISNUMBER(SEARCH(Rules!$A$5:$A$204,B1236))*(Rules!$A$5:$A$204&lt;&gt;"")*(1000-ROW(Rules!$A$5:$A$204)))),""))</f>
        <v/>
      </c>
    </row>
    <row r="1237" customFormat="false" ht="15" hidden="false" customHeight="false" outlineLevel="0" collapsed="false">
      <c r="A1237" s="23"/>
      <c r="B1237" s="24"/>
      <c r="C1237" s="25"/>
      <c r="D1237" s="24"/>
      <c r="E1237" s="21" t="str">
        <f aca="false">IF(OR(B1237="",N(N1237)=0,N1237=1000),IF(B1237="","","Check"),INDEX(Rules!$B:$B,N1237))</f>
        <v/>
      </c>
      <c r="F1237" s="21" t="str">
        <f aca="false">IF(OR(B1237="",N(N1237)=0,N1237=1000),"",INDEX(Rules!$C:$C,N1237))</f>
        <v/>
      </c>
      <c r="G1237" s="24"/>
      <c r="H1237" s="24"/>
      <c r="I1237" s="20" t="str">
        <f aca="false">IF(B1237="","",IF(G1237&lt;&gt;"",G1237,E1237))</f>
        <v/>
      </c>
      <c r="J1237" s="21" t="str">
        <f aca="false">IF(B1237="","",IF(H1237&lt;&gt;"",H1237,F1237))</f>
        <v/>
      </c>
      <c r="K1237" s="26" t="str">
        <f aca="false">IF(A1237="","",DATE(YEAR(A1237),MONTH(A1237),1))</f>
        <v/>
      </c>
      <c r="L1237" s="21" t="str">
        <f aca="false">IF(J1237="",IF(B1237="","",IF(N(C1237)&gt;=0,"Income","Expense")),IFERROR(INDEX(Lists!$B$2:$B$30,MATCH(J1237,Lists!$A$2:$A$30,0)),""))</f>
        <v/>
      </c>
      <c r="M1237" s="24"/>
      <c r="N1237" s="27" t="str">
        <f aca="false">IF(B1237="","",IFERROR(1000-SUMPRODUCT(MAX(ISNUMBER(SEARCH(Rules!$A$5:$A$204,B1237))*(Rules!$A$5:$A$204&lt;&gt;"")*(1000-ROW(Rules!$A$5:$A$204)))),""))</f>
        <v/>
      </c>
    </row>
    <row r="1238" customFormat="false" ht="15" hidden="false" customHeight="false" outlineLevel="0" collapsed="false">
      <c r="A1238" s="23"/>
      <c r="B1238" s="24"/>
      <c r="C1238" s="25"/>
      <c r="D1238" s="24"/>
      <c r="E1238" s="21" t="str">
        <f aca="false">IF(OR(B1238="",N(N1238)=0,N1238=1000),IF(B1238="","","Check"),INDEX(Rules!$B:$B,N1238))</f>
        <v/>
      </c>
      <c r="F1238" s="21" t="str">
        <f aca="false">IF(OR(B1238="",N(N1238)=0,N1238=1000),"",INDEX(Rules!$C:$C,N1238))</f>
        <v/>
      </c>
      <c r="G1238" s="24"/>
      <c r="H1238" s="24"/>
      <c r="I1238" s="20" t="str">
        <f aca="false">IF(B1238="","",IF(G1238&lt;&gt;"",G1238,E1238))</f>
        <v/>
      </c>
      <c r="J1238" s="21" t="str">
        <f aca="false">IF(B1238="","",IF(H1238&lt;&gt;"",H1238,F1238))</f>
        <v/>
      </c>
      <c r="K1238" s="26" t="str">
        <f aca="false">IF(A1238="","",DATE(YEAR(A1238),MONTH(A1238),1))</f>
        <v/>
      </c>
      <c r="L1238" s="21" t="str">
        <f aca="false">IF(J1238="",IF(B1238="","",IF(N(C1238)&gt;=0,"Income","Expense")),IFERROR(INDEX(Lists!$B$2:$B$30,MATCH(J1238,Lists!$A$2:$A$30,0)),""))</f>
        <v/>
      </c>
      <c r="M1238" s="24"/>
      <c r="N1238" s="27" t="str">
        <f aca="false">IF(B1238="","",IFERROR(1000-SUMPRODUCT(MAX(ISNUMBER(SEARCH(Rules!$A$5:$A$204,B1238))*(Rules!$A$5:$A$204&lt;&gt;"")*(1000-ROW(Rules!$A$5:$A$204)))),""))</f>
        <v/>
      </c>
    </row>
    <row r="1239" customFormat="false" ht="15" hidden="false" customHeight="false" outlineLevel="0" collapsed="false">
      <c r="A1239" s="23"/>
      <c r="B1239" s="24"/>
      <c r="C1239" s="25"/>
      <c r="D1239" s="24"/>
      <c r="E1239" s="21" t="str">
        <f aca="false">IF(OR(B1239="",N(N1239)=0,N1239=1000),IF(B1239="","","Check"),INDEX(Rules!$B:$B,N1239))</f>
        <v/>
      </c>
      <c r="F1239" s="21" t="str">
        <f aca="false">IF(OR(B1239="",N(N1239)=0,N1239=1000),"",INDEX(Rules!$C:$C,N1239))</f>
        <v/>
      </c>
      <c r="G1239" s="24"/>
      <c r="H1239" s="24"/>
      <c r="I1239" s="20" t="str">
        <f aca="false">IF(B1239="","",IF(G1239&lt;&gt;"",G1239,E1239))</f>
        <v/>
      </c>
      <c r="J1239" s="21" t="str">
        <f aca="false">IF(B1239="","",IF(H1239&lt;&gt;"",H1239,F1239))</f>
        <v/>
      </c>
      <c r="K1239" s="26" t="str">
        <f aca="false">IF(A1239="","",DATE(YEAR(A1239),MONTH(A1239),1))</f>
        <v/>
      </c>
      <c r="L1239" s="21" t="str">
        <f aca="false">IF(J1239="",IF(B1239="","",IF(N(C1239)&gt;=0,"Income","Expense")),IFERROR(INDEX(Lists!$B$2:$B$30,MATCH(J1239,Lists!$A$2:$A$30,0)),""))</f>
        <v/>
      </c>
      <c r="M1239" s="24"/>
      <c r="N1239" s="27" t="str">
        <f aca="false">IF(B1239="","",IFERROR(1000-SUMPRODUCT(MAX(ISNUMBER(SEARCH(Rules!$A$5:$A$204,B1239))*(Rules!$A$5:$A$204&lt;&gt;"")*(1000-ROW(Rules!$A$5:$A$204)))),""))</f>
        <v/>
      </c>
    </row>
    <row r="1240" customFormat="false" ht="15" hidden="false" customHeight="false" outlineLevel="0" collapsed="false">
      <c r="A1240" s="23"/>
      <c r="B1240" s="24"/>
      <c r="C1240" s="25"/>
      <c r="D1240" s="24"/>
      <c r="E1240" s="21" t="str">
        <f aca="false">IF(OR(B1240="",N(N1240)=0,N1240=1000),IF(B1240="","","Check"),INDEX(Rules!$B:$B,N1240))</f>
        <v/>
      </c>
      <c r="F1240" s="21" t="str">
        <f aca="false">IF(OR(B1240="",N(N1240)=0,N1240=1000),"",INDEX(Rules!$C:$C,N1240))</f>
        <v/>
      </c>
      <c r="G1240" s="24"/>
      <c r="H1240" s="24"/>
      <c r="I1240" s="20" t="str">
        <f aca="false">IF(B1240="","",IF(G1240&lt;&gt;"",G1240,E1240))</f>
        <v/>
      </c>
      <c r="J1240" s="21" t="str">
        <f aca="false">IF(B1240="","",IF(H1240&lt;&gt;"",H1240,F1240))</f>
        <v/>
      </c>
      <c r="K1240" s="26" t="str">
        <f aca="false">IF(A1240="","",DATE(YEAR(A1240),MONTH(A1240),1))</f>
        <v/>
      </c>
      <c r="L1240" s="21" t="str">
        <f aca="false">IF(J1240="",IF(B1240="","",IF(N(C1240)&gt;=0,"Income","Expense")),IFERROR(INDEX(Lists!$B$2:$B$30,MATCH(J1240,Lists!$A$2:$A$30,0)),""))</f>
        <v/>
      </c>
      <c r="M1240" s="24"/>
      <c r="N1240" s="27" t="str">
        <f aca="false">IF(B1240="","",IFERROR(1000-SUMPRODUCT(MAX(ISNUMBER(SEARCH(Rules!$A$5:$A$204,B1240))*(Rules!$A$5:$A$204&lt;&gt;"")*(1000-ROW(Rules!$A$5:$A$204)))),""))</f>
        <v/>
      </c>
    </row>
    <row r="1241" customFormat="false" ht="15" hidden="false" customHeight="false" outlineLevel="0" collapsed="false">
      <c r="A1241" s="23"/>
      <c r="B1241" s="24"/>
      <c r="C1241" s="25"/>
      <c r="D1241" s="24"/>
      <c r="E1241" s="21" t="str">
        <f aca="false">IF(OR(B1241="",N(N1241)=0,N1241=1000),IF(B1241="","","Check"),INDEX(Rules!$B:$B,N1241))</f>
        <v/>
      </c>
      <c r="F1241" s="21" t="str">
        <f aca="false">IF(OR(B1241="",N(N1241)=0,N1241=1000),"",INDEX(Rules!$C:$C,N1241))</f>
        <v/>
      </c>
      <c r="G1241" s="24"/>
      <c r="H1241" s="24"/>
      <c r="I1241" s="20" t="str">
        <f aca="false">IF(B1241="","",IF(G1241&lt;&gt;"",G1241,E1241))</f>
        <v/>
      </c>
      <c r="J1241" s="21" t="str">
        <f aca="false">IF(B1241="","",IF(H1241&lt;&gt;"",H1241,F1241))</f>
        <v/>
      </c>
      <c r="K1241" s="26" t="str">
        <f aca="false">IF(A1241="","",DATE(YEAR(A1241),MONTH(A1241),1))</f>
        <v/>
      </c>
      <c r="L1241" s="21" t="str">
        <f aca="false">IF(J1241="",IF(B1241="","",IF(N(C1241)&gt;=0,"Income","Expense")),IFERROR(INDEX(Lists!$B$2:$B$30,MATCH(J1241,Lists!$A$2:$A$30,0)),""))</f>
        <v/>
      </c>
      <c r="M1241" s="24"/>
      <c r="N1241" s="27" t="str">
        <f aca="false">IF(B1241="","",IFERROR(1000-SUMPRODUCT(MAX(ISNUMBER(SEARCH(Rules!$A$5:$A$204,B1241))*(Rules!$A$5:$A$204&lt;&gt;"")*(1000-ROW(Rules!$A$5:$A$204)))),""))</f>
        <v/>
      </c>
    </row>
    <row r="1242" customFormat="false" ht="15" hidden="false" customHeight="false" outlineLevel="0" collapsed="false">
      <c r="A1242" s="23"/>
      <c r="B1242" s="24"/>
      <c r="C1242" s="25"/>
      <c r="D1242" s="24"/>
      <c r="E1242" s="21" t="str">
        <f aca="false">IF(OR(B1242="",N(N1242)=0,N1242=1000),IF(B1242="","","Check"),INDEX(Rules!$B:$B,N1242))</f>
        <v/>
      </c>
      <c r="F1242" s="21" t="str">
        <f aca="false">IF(OR(B1242="",N(N1242)=0,N1242=1000),"",INDEX(Rules!$C:$C,N1242))</f>
        <v/>
      </c>
      <c r="G1242" s="24"/>
      <c r="H1242" s="24"/>
      <c r="I1242" s="20" t="str">
        <f aca="false">IF(B1242="","",IF(G1242&lt;&gt;"",G1242,E1242))</f>
        <v/>
      </c>
      <c r="J1242" s="21" t="str">
        <f aca="false">IF(B1242="","",IF(H1242&lt;&gt;"",H1242,F1242))</f>
        <v/>
      </c>
      <c r="K1242" s="26" t="str">
        <f aca="false">IF(A1242="","",DATE(YEAR(A1242),MONTH(A1242),1))</f>
        <v/>
      </c>
      <c r="L1242" s="21" t="str">
        <f aca="false">IF(J1242="",IF(B1242="","",IF(N(C1242)&gt;=0,"Income","Expense")),IFERROR(INDEX(Lists!$B$2:$B$30,MATCH(J1242,Lists!$A$2:$A$30,0)),""))</f>
        <v/>
      </c>
      <c r="M1242" s="24"/>
      <c r="N1242" s="27" t="str">
        <f aca="false">IF(B1242="","",IFERROR(1000-SUMPRODUCT(MAX(ISNUMBER(SEARCH(Rules!$A$5:$A$204,B1242))*(Rules!$A$5:$A$204&lt;&gt;"")*(1000-ROW(Rules!$A$5:$A$204)))),""))</f>
        <v/>
      </c>
    </row>
    <row r="1243" customFormat="false" ht="15" hidden="false" customHeight="false" outlineLevel="0" collapsed="false">
      <c r="A1243" s="23"/>
      <c r="B1243" s="24"/>
      <c r="C1243" s="25"/>
      <c r="D1243" s="24"/>
      <c r="E1243" s="21" t="str">
        <f aca="false">IF(OR(B1243="",N(N1243)=0,N1243=1000),IF(B1243="","","Check"),INDEX(Rules!$B:$B,N1243))</f>
        <v/>
      </c>
      <c r="F1243" s="21" t="str">
        <f aca="false">IF(OR(B1243="",N(N1243)=0,N1243=1000),"",INDEX(Rules!$C:$C,N1243))</f>
        <v/>
      </c>
      <c r="G1243" s="24"/>
      <c r="H1243" s="24"/>
      <c r="I1243" s="20" t="str">
        <f aca="false">IF(B1243="","",IF(G1243&lt;&gt;"",G1243,E1243))</f>
        <v/>
      </c>
      <c r="J1243" s="21" t="str">
        <f aca="false">IF(B1243="","",IF(H1243&lt;&gt;"",H1243,F1243))</f>
        <v/>
      </c>
      <c r="K1243" s="26" t="str">
        <f aca="false">IF(A1243="","",DATE(YEAR(A1243),MONTH(A1243),1))</f>
        <v/>
      </c>
      <c r="L1243" s="21" t="str">
        <f aca="false">IF(J1243="",IF(B1243="","",IF(N(C1243)&gt;=0,"Income","Expense")),IFERROR(INDEX(Lists!$B$2:$B$30,MATCH(J1243,Lists!$A$2:$A$30,0)),""))</f>
        <v/>
      </c>
      <c r="M1243" s="24"/>
      <c r="N1243" s="27" t="str">
        <f aca="false">IF(B1243="","",IFERROR(1000-SUMPRODUCT(MAX(ISNUMBER(SEARCH(Rules!$A$5:$A$204,B1243))*(Rules!$A$5:$A$204&lt;&gt;"")*(1000-ROW(Rules!$A$5:$A$204)))),""))</f>
        <v/>
      </c>
    </row>
    <row r="1244" customFormat="false" ht="15" hidden="false" customHeight="false" outlineLevel="0" collapsed="false">
      <c r="A1244" s="23"/>
      <c r="B1244" s="24"/>
      <c r="C1244" s="25"/>
      <c r="D1244" s="24"/>
      <c r="E1244" s="21" t="str">
        <f aca="false">IF(OR(B1244="",N(N1244)=0,N1244=1000),IF(B1244="","","Check"),INDEX(Rules!$B:$B,N1244))</f>
        <v/>
      </c>
      <c r="F1244" s="21" t="str">
        <f aca="false">IF(OR(B1244="",N(N1244)=0,N1244=1000),"",INDEX(Rules!$C:$C,N1244))</f>
        <v/>
      </c>
      <c r="G1244" s="24"/>
      <c r="H1244" s="24"/>
      <c r="I1244" s="20" t="str">
        <f aca="false">IF(B1244="","",IF(G1244&lt;&gt;"",G1244,E1244))</f>
        <v/>
      </c>
      <c r="J1244" s="21" t="str">
        <f aca="false">IF(B1244="","",IF(H1244&lt;&gt;"",H1244,F1244))</f>
        <v/>
      </c>
      <c r="K1244" s="26" t="str">
        <f aca="false">IF(A1244="","",DATE(YEAR(A1244),MONTH(A1244),1))</f>
        <v/>
      </c>
      <c r="L1244" s="21" t="str">
        <f aca="false">IF(J1244="",IF(B1244="","",IF(N(C1244)&gt;=0,"Income","Expense")),IFERROR(INDEX(Lists!$B$2:$B$30,MATCH(J1244,Lists!$A$2:$A$30,0)),""))</f>
        <v/>
      </c>
      <c r="M1244" s="24"/>
      <c r="N1244" s="27" t="str">
        <f aca="false">IF(B1244="","",IFERROR(1000-SUMPRODUCT(MAX(ISNUMBER(SEARCH(Rules!$A$5:$A$204,B1244))*(Rules!$A$5:$A$204&lt;&gt;"")*(1000-ROW(Rules!$A$5:$A$204)))),""))</f>
        <v/>
      </c>
    </row>
    <row r="1245" customFormat="false" ht="15" hidden="false" customHeight="false" outlineLevel="0" collapsed="false">
      <c r="A1245" s="23"/>
      <c r="B1245" s="24"/>
      <c r="C1245" s="25"/>
      <c r="D1245" s="24"/>
      <c r="E1245" s="21" t="str">
        <f aca="false">IF(OR(B1245="",N(N1245)=0,N1245=1000),IF(B1245="","","Check"),INDEX(Rules!$B:$B,N1245))</f>
        <v/>
      </c>
      <c r="F1245" s="21" t="str">
        <f aca="false">IF(OR(B1245="",N(N1245)=0,N1245=1000),"",INDEX(Rules!$C:$C,N1245))</f>
        <v/>
      </c>
      <c r="G1245" s="24"/>
      <c r="H1245" s="24"/>
      <c r="I1245" s="20" t="str">
        <f aca="false">IF(B1245="","",IF(G1245&lt;&gt;"",G1245,E1245))</f>
        <v/>
      </c>
      <c r="J1245" s="21" t="str">
        <f aca="false">IF(B1245="","",IF(H1245&lt;&gt;"",H1245,F1245))</f>
        <v/>
      </c>
      <c r="K1245" s="26" t="str">
        <f aca="false">IF(A1245="","",DATE(YEAR(A1245),MONTH(A1245),1))</f>
        <v/>
      </c>
      <c r="L1245" s="21" t="str">
        <f aca="false">IF(J1245="",IF(B1245="","",IF(N(C1245)&gt;=0,"Income","Expense")),IFERROR(INDEX(Lists!$B$2:$B$30,MATCH(J1245,Lists!$A$2:$A$30,0)),""))</f>
        <v/>
      </c>
      <c r="M1245" s="24"/>
      <c r="N1245" s="27" t="str">
        <f aca="false">IF(B1245="","",IFERROR(1000-SUMPRODUCT(MAX(ISNUMBER(SEARCH(Rules!$A$5:$A$204,B1245))*(Rules!$A$5:$A$204&lt;&gt;"")*(1000-ROW(Rules!$A$5:$A$204)))),""))</f>
        <v/>
      </c>
    </row>
    <row r="1246" customFormat="false" ht="15" hidden="false" customHeight="false" outlineLevel="0" collapsed="false">
      <c r="A1246" s="23"/>
      <c r="B1246" s="24"/>
      <c r="C1246" s="25"/>
      <c r="D1246" s="24"/>
      <c r="E1246" s="21" t="str">
        <f aca="false">IF(OR(B1246="",N(N1246)=0,N1246=1000),IF(B1246="","","Check"),INDEX(Rules!$B:$B,N1246))</f>
        <v/>
      </c>
      <c r="F1246" s="21" t="str">
        <f aca="false">IF(OR(B1246="",N(N1246)=0,N1246=1000),"",INDEX(Rules!$C:$C,N1246))</f>
        <v/>
      </c>
      <c r="G1246" s="24"/>
      <c r="H1246" s="24"/>
      <c r="I1246" s="20" t="str">
        <f aca="false">IF(B1246="","",IF(G1246&lt;&gt;"",G1246,E1246))</f>
        <v/>
      </c>
      <c r="J1246" s="21" t="str">
        <f aca="false">IF(B1246="","",IF(H1246&lt;&gt;"",H1246,F1246))</f>
        <v/>
      </c>
      <c r="K1246" s="26" t="str">
        <f aca="false">IF(A1246="","",DATE(YEAR(A1246),MONTH(A1246),1))</f>
        <v/>
      </c>
      <c r="L1246" s="21" t="str">
        <f aca="false">IF(J1246="",IF(B1246="","",IF(N(C1246)&gt;=0,"Income","Expense")),IFERROR(INDEX(Lists!$B$2:$B$30,MATCH(J1246,Lists!$A$2:$A$30,0)),""))</f>
        <v/>
      </c>
      <c r="M1246" s="24"/>
      <c r="N1246" s="27" t="str">
        <f aca="false">IF(B1246="","",IFERROR(1000-SUMPRODUCT(MAX(ISNUMBER(SEARCH(Rules!$A$5:$A$204,B1246))*(Rules!$A$5:$A$204&lt;&gt;"")*(1000-ROW(Rules!$A$5:$A$204)))),""))</f>
        <v/>
      </c>
    </row>
    <row r="1247" customFormat="false" ht="15" hidden="false" customHeight="false" outlineLevel="0" collapsed="false">
      <c r="A1247" s="23"/>
      <c r="B1247" s="24"/>
      <c r="C1247" s="25"/>
      <c r="D1247" s="24"/>
      <c r="E1247" s="21" t="str">
        <f aca="false">IF(OR(B1247="",N(N1247)=0,N1247=1000),IF(B1247="","","Check"),INDEX(Rules!$B:$B,N1247))</f>
        <v/>
      </c>
      <c r="F1247" s="21" t="str">
        <f aca="false">IF(OR(B1247="",N(N1247)=0,N1247=1000),"",INDEX(Rules!$C:$C,N1247))</f>
        <v/>
      </c>
      <c r="G1247" s="24"/>
      <c r="H1247" s="24"/>
      <c r="I1247" s="20" t="str">
        <f aca="false">IF(B1247="","",IF(G1247&lt;&gt;"",G1247,E1247))</f>
        <v/>
      </c>
      <c r="J1247" s="21" t="str">
        <f aca="false">IF(B1247="","",IF(H1247&lt;&gt;"",H1247,F1247))</f>
        <v/>
      </c>
      <c r="K1247" s="26" t="str">
        <f aca="false">IF(A1247="","",DATE(YEAR(A1247),MONTH(A1247),1))</f>
        <v/>
      </c>
      <c r="L1247" s="21" t="str">
        <f aca="false">IF(J1247="",IF(B1247="","",IF(N(C1247)&gt;=0,"Income","Expense")),IFERROR(INDEX(Lists!$B$2:$B$30,MATCH(J1247,Lists!$A$2:$A$30,0)),""))</f>
        <v/>
      </c>
      <c r="M1247" s="24"/>
      <c r="N1247" s="27" t="str">
        <f aca="false">IF(B1247="","",IFERROR(1000-SUMPRODUCT(MAX(ISNUMBER(SEARCH(Rules!$A$5:$A$204,B1247))*(Rules!$A$5:$A$204&lt;&gt;"")*(1000-ROW(Rules!$A$5:$A$204)))),""))</f>
        <v/>
      </c>
    </row>
    <row r="1248" customFormat="false" ht="15" hidden="false" customHeight="false" outlineLevel="0" collapsed="false">
      <c r="A1248" s="23"/>
      <c r="B1248" s="24"/>
      <c r="C1248" s="25"/>
      <c r="D1248" s="24"/>
      <c r="E1248" s="21" t="str">
        <f aca="false">IF(OR(B1248="",N(N1248)=0,N1248=1000),IF(B1248="","","Check"),INDEX(Rules!$B:$B,N1248))</f>
        <v/>
      </c>
      <c r="F1248" s="21" t="str">
        <f aca="false">IF(OR(B1248="",N(N1248)=0,N1248=1000),"",INDEX(Rules!$C:$C,N1248))</f>
        <v/>
      </c>
      <c r="G1248" s="24"/>
      <c r="H1248" s="24"/>
      <c r="I1248" s="20" t="str">
        <f aca="false">IF(B1248="","",IF(G1248&lt;&gt;"",G1248,E1248))</f>
        <v/>
      </c>
      <c r="J1248" s="21" t="str">
        <f aca="false">IF(B1248="","",IF(H1248&lt;&gt;"",H1248,F1248))</f>
        <v/>
      </c>
      <c r="K1248" s="26" t="str">
        <f aca="false">IF(A1248="","",DATE(YEAR(A1248),MONTH(A1248),1))</f>
        <v/>
      </c>
      <c r="L1248" s="21" t="str">
        <f aca="false">IF(J1248="",IF(B1248="","",IF(N(C1248)&gt;=0,"Income","Expense")),IFERROR(INDEX(Lists!$B$2:$B$30,MATCH(J1248,Lists!$A$2:$A$30,0)),""))</f>
        <v/>
      </c>
      <c r="M1248" s="24"/>
      <c r="N1248" s="27" t="str">
        <f aca="false">IF(B1248="","",IFERROR(1000-SUMPRODUCT(MAX(ISNUMBER(SEARCH(Rules!$A$5:$A$204,B1248))*(Rules!$A$5:$A$204&lt;&gt;"")*(1000-ROW(Rules!$A$5:$A$204)))),""))</f>
        <v/>
      </c>
    </row>
    <row r="1249" customFormat="false" ht="15" hidden="false" customHeight="false" outlineLevel="0" collapsed="false">
      <c r="A1249" s="23"/>
      <c r="B1249" s="24"/>
      <c r="C1249" s="25"/>
      <c r="D1249" s="24"/>
      <c r="E1249" s="21" t="str">
        <f aca="false">IF(OR(B1249="",N(N1249)=0,N1249=1000),IF(B1249="","","Check"),INDEX(Rules!$B:$B,N1249))</f>
        <v/>
      </c>
      <c r="F1249" s="21" t="str">
        <f aca="false">IF(OR(B1249="",N(N1249)=0,N1249=1000),"",INDEX(Rules!$C:$C,N1249))</f>
        <v/>
      </c>
      <c r="G1249" s="24"/>
      <c r="H1249" s="24"/>
      <c r="I1249" s="20" t="str">
        <f aca="false">IF(B1249="","",IF(G1249&lt;&gt;"",G1249,E1249))</f>
        <v/>
      </c>
      <c r="J1249" s="21" t="str">
        <f aca="false">IF(B1249="","",IF(H1249&lt;&gt;"",H1249,F1249))</f>
        <v/>
      </c>
      <c r="K1249" s="26" t="str">
        <f aca="false">IF(A1249="","",DATE(YEAR(A1249),MONTH(A1249),1))</f>
        <v/>
      </c>
      <c r="L1249" s="21" t="str">
        <f aca="false">IF(J1249="",IF(B1249="","",IF(N(C1249)&gt;=0,"Income","Expense")),IFERROR(INDEX(Lists!$B$2:$B$30,MATCH(J1249,Lists!$A$2:$A$30,0)),""))</f>
        <v/>
      </c>
      <c r="M1249" s="24"/>
      <c r="N1249" s="27" t="str">
        <f aca="false">IF(B1249="","",IFERROR(1000-SUMPRODUCT(MAX(ISNUMBER(SEARCH(Rules!$A$5:$A$204,B1249))*(Rules!$A$5:$A$204&lt;&gt;"")*(1000-ROW(Rules!$A$5:$A$204)))),""))</f>
        <v/>
      </c>
    </row>
    <row r="1250" customFormat="false" ht="15" hidden="false" customHeight="false" outlineLevel="0" collapsed="false">
      <c r="A1250" s="23"/>
      <c r="B1250" s="24"/>
      <c r="C1250" s="25"/>
      <c r="D1250" s="24"/>
      <c r="E1250" s="21" t="str">
        <f aca="false">IF(OR(B1250="",N(N1250)=0,N1250=1000),IF(B1250="","","Check"),INDEX(Rules!$B:$B,N1250))</f>
        <v/>
      </c>
      <c r="F1250" s="21" t="str">
        <f aca="false">IF(OR(B1250="",N(N1250)=0,N1250=1000),"",INDEX(Rules!$C:$C,N1250))</f>
        <v/>
      </c>
      <c r="G1250" s="24"/>
      <c r="H1250" s="24"/>
      <c r="I1250" s="20" t="str">
        <f aca="false">IF(B1250="","",IF(G1250&lt;&gt;"",G1250,E1250))</f>
        <v/>
      </c>
      <c r="J1250" s="21" t="str">
        <f aca="false">IF(B1250="","",IF(H1250&lt;&gt;"",H1250,F1250))</f>
        <v/>
      </c>
      <c r="K1250" s="26" t="str">
        <f aca="false">IF(A1250="","",DATE(YEAR(A1250),MONTH(A1250),1))</f>
        <v/>
      </c>
      <c r="L1250" s="21" t="str">
        <f aca="false">IF(J1250="",IF(B1250="","",IF(N(C1250)&gt;=0,"Income","Expense")),IFERROR(INDEX(Lists!$B$2:$B$30,MATCH(J1250,Lists!$A$2:$A$30,0)),""))</f>
        <v/>
      </c>
      <c r="M1250" s="24"/>
      <c r="N1250" s="27" t="str">
        <f aca="false">IF(B1250="","",IFERROR(1000-SUMPRODUCT(MAX(ISNUMBER(SEARCH(Rules!$A$5:$A$204,B1250))*(Rules!$A$5:$A$204&lt;&gt;"")*(1000-ROW(Rules!$A$5:$A$204)))),""))</f>
        <v/>
      </c>
    </row>
    <row r="1251" customFormat="false" ht="15" hidden="false" customHeight="false" outlineLevel="0" collapsed="false">
      <c r="A1251" s="23"/>
      <c r="B1251" s="24"/>
      <c r="C1251" s="25"/>
      <c r="D1251" s="24"/>
      <c r="E1251" s="21" t="str">
        <f aca="false">IF(OR(B1251="",N(N1251)=0,N1251=1000),IF(B1251="","","Check"),INDEX(Rules!$B:$B,N1251))</f>
        <v/>
      </c>
      <c r="F1251" s="21" t="str">
        <f aca="false">IF(OR(B1251="",N(N1251)=0,N1251=1000),"",INDEX(Rules!$C:$C,N1251))</f>
        <v/>
      </c>
      <c r="G1251" s="24"/>
      <c r="H1251" s="24"/>
      <c r="I1251" s="20" t="str">
        <f aca="false">IF(B1251="","",IF(G1251&lt;&gt;"",G1251,E1251))</f>
        <v/>
      </c>
      <c r="J1251" s="21" t="str">
        <f aca="false">IF(B1251="","",IF(H1251&lt;&gt;"",H1251,F1251))</f>
        <v/>
      </c>
      <c r="K1251" s="26" t="str">
        <f aca="false">IF(A1251="","",DATE(YEAR(A1251),MONTH(A1251),1))</f>
        <v/>
      </c>
      <c r="L1251" s="21" t="str">
        <f aca="false">IF(J1251="",IF(B1251="","",IF(N(C1251)&gt;=0,"Income","Expense")),IFERROR(INDEX(Lists!$B$2:$B$30,MATCH(J1251,Lists!$A$2:$A$30,0)),""))</f>
        <v/>
      </c>
      <c r="M1251" s="24"/>
      <c r="N1251" s="27" t="str">
        <f aca="false">IF(B1251="","",IFERROR(1000-SUMPRODUCT(MAX(ISNUMBER(SEARCH(Rules!$A$5:$A$204,B1251))*(Rules!$A$5:$A$204&lt;&gt;"")*(1000-ROW(Rules!$A$5:$A$204)))),""))</f>
        <v/>
      </c>
    </row>
    <row r="1252" customFormat="false" ht="15" hidden="false" customHeight="false" outlineLevel="0" collapsed="false">
      <c r="A1252" s="23"/>
      <c r="B1252" s="24"/>
      <c r="C1252" s="25"/>
      <c r="D1252" s="24"/>
      <c r="E1252" s="21" t="str">
        <f aca="false">IF(OR(B1252="",N(N1252)=0,N1252=1000),IF(B1252="","","Check"),INDEX(Rules!$B:$B,N1252))</f>
        <v/>
      </c>
      <c r="F1252" s="21" t="str">
        <f aca="false">IF(OR(B1252="",N(N1252)=0,N1252=1000),"",INDEX(Rules!$C:$C,N1252))</f>
        <v/>
      </c>
      <c r="G1252" s="24"/>
      <c r="H1252" s="24"/>
      <c r="I1252" s="20" t="str">
        <f aca="false">IF(B1252="","",IF(G1252&lt;&gt;"",G1252,E1252))</f>
        <v/>
      </c>
      <c r="J1252" s="21" t="str">
        <f aca="false">IF(B1252="","",IF(H1252&lt;&gt;"",H1252,F1252))</f>
        <v/>
      </c>
      <c r="K1252" s="26" t="str">
        <f aca="false">IF(A1252="","",DATE(YEAR(A1252),MONTH(A1252),1))</f>
        <v/>
      </c>
      <c r="L1252" s="21" t="str">
        <f aca="false">IF(J1252="",IF(B1252="","",IF(N(C1252)&gt;=0,"Income","Expense")),IFERROR(INDEX(Lists!$B$2:$B$30,MATCH(J1252,Lists!$A$2:$A$30,0)),""))</f>
        <v/>
      </c>
      <c r="M1252" s="24"/>
      <c r="N1252" s="27" t="str">
        <f aca="false">IF(B1252="","",IFERROR(1000-SUMPRODUCT(MAX(ISNUMBER(SEARCH(Rules!$A$5:$A$204,B1252))*(Rules!$A$5:$A$204&lt;&gt;"")*(1000-ROW(Rules!$A$5:$A$204)))),""))</f>
        <v/>
      </c>
    </row>
    <row r="1253" customFormat="false" ht="15" hidden="false" customHeight="false" outlineLevel="0" collapsed="false">
      <c r="A1253" s="23"/>
      <c r="B1253" s="24"/>
      <c r="C1253" s="25"/>
      <c r="D1253" s="24"/>
      <c r="E1253" s="21" t="str">
        <f aca="false">IF(OR(B1253="",N(N1253)=0,N1253=1000),IF(B1253="","","Check"),INDEX(Rules!$B:$B,N1253))</f>
        <v/>
      </c>
      <c r="F1253" s="21" t="str">
        <f aca="false">IF(OR(B1253="",N(N1253)=0,N1253=1000),"",INDEX(Rules!$C:$C,N1253))</f>
        <v/>
      </c>
      <c r="G1253" s="24"/>
      <c r="H1253" s="24"/>
      <c r="I1253" s="20" t="str">
        <f aca="false">IF(B1253="","",IF(G1253&lt;&gt;"",G1253,E1253))</f>
        <v/>
      </c>
      <c r="J1253" s="21" t="str">
        <f aca="false">IF(B1253="","",IF(H1253&lt;&gt;"",H1253,F1253))</f>
        <v/>
      </c>
      <c r="K1253" s="26" t="str">
        <f aca="false">IF(A1253="","",DATE(YEAR(A1253),MONTH(A1253),1))</f>
        <v/>
      </c>
      <c r="L1253" s="21" t="str">
        <f aca="false">IF(J1253="",IF(B1253="","",IF(N(C1253)&gt;=0,"Income","Expense")),IFERROR(INDEX(Lists!$B$2:$B$30,MATCH(J1253,Lists!$A$2:$A$30,0)),""))</f>
        <v/>
      </c>
      <c r="M1253" s="24"/>
      <c r="N1253" s="27" t="str">
        <f aca="false">IF(B1253="","",IFERROR(1000-SUMPRODUCT(MAX(ISNUMBER(SEARCH(Rules!$A$5:$A$204,B1253))*(Rules!$A$5:$A$204&lt;&gt;"")*(1000-ROW(Rules!$A$5:$A$204)))),""))</f>
        <v/>
      </c>
    </row>
    <row r="1254" customFormat="false" ht="15" hidden="false" customHeight="false" outlineLevel="0" collapsed="false">
      <c r="A1254" s="23"/>
      <c r="B1254" s="24"/>
      <c r="C1254" s="25"/>
      <c r="D1254" s="24"/>
      <c r="E1254" s="21" t="str">
        <f aca="false">IF(OR(B1254="",N(N1254)=0,N1254=1000),IF(B1254="","","Check"),INDEX(Rules!$B:$B,N1254))</f>
        <v/>
      </c>
      <c r="F1254" s="21" t="str">
        <f aca="false">IF(OR(B1254="",N(N1254)=0,N1254=1000),"",INDEX(Rules!$C:$C,N1254))</f>
        <v/>
      </c>
      <c r="G1254" s="24"/>
      <c r="H1254" s="24"/>
      <c r="I1254" s="20" t="str">
        <f aca="false">IF(B1254="","",IF(G1254&lt;&gt;"",G1254,E1254))</f>
        <v/>
      </c>
      <c r="J1254" s="21" t="str">
        <f aca="false">IF(B1254="","",IF(H1254&lt;&gt;"",H1254,F1254))</f>
        <v/>
      </c>
      <c r="K1254" s="26" t="str">
        <f aca="false">IF(A1254="","",DATE(YEAR(A1254),MONTH(A1254),1))</f>
        <v/>
      </c>
      <c r="L1254" s="21" t="str">
        <f aca="false">IF(J1254="",IF(B1254="","",IF(N(C1254)&gt;=0,"Income","Expense")),IFERROR(INDEX(Lists!$B$2:$B$30,MATCH(J1254,Lists!$A$2:$A$30,0)),""))</f>
        <v/>
      </c>
      <c r="M1254" s="24"/>
      <c r="N1254" s="27" t="str">
        <f aca="false">IF(B1254="","",IFERROR(1000-SUMPRODUCT(MAX(ISNUMBER(SEARCH(Rules!$A$5:$A$204,B1254))*(Rules!$A$5:$A$204&lt;&gt;"")*(1000-ROW(Rules!$A$5:$A$204)))),""))</f>
        <v/>
      </c>
    </row>
    <row r="1255" customFormat="false" ht="15" hidden="false" customHeight="false" outlineLevel="0" collapsed="false">
      <c r="A1255" s="23"/>
      <c r="B1255" s="24"/>
      <c r="C1255" s="25"/>
      <c r="D1255" s="24"/>
      <c r="E1255" s="21" t="str">
        <f aca="false">IF(OR(B1255="",N(N1255)=0,N1255=1000),IF(B1255="","","Check"),INDEX(Rules!$B:$B,N1255))</f>
        <v/>
      </c>
      <c r="F1255" s="21" t="str">
        <f aca="false">IF(OR(B1255="",N(N1255)=0,N1255=1000),"",INDEX(Rules!$C:$C,N1255))</f>
        <v/>
      </c>
      <c r="G1255" s="24"/>
      <c r="H1255" s="24"/>
      <c r="I1255" s="20" t="str">
        <f aca="false">IF(B1255="","",IF(G1255&lt;&gt;"",G1255,E1255))</f>
        <v/>
      </c>
      <c r="J1255" s="21" t="str">
        <f aca="false">IF(B1255="","",IF(H1255&lt;&gt;"",H1255,F1255))</f>
        <v/>
      </c>
      <c r="K1255" s="26" t="str">
        <f aca="false">IF(A1255="","",DATE(YEAR(A1255),MONTH(A1255),1))</f>
        <v/>
      </c>
      <c r="L1255" s="21" t="str">
        <f aca="false">IF(J1255="",IF(B1255="","",IF(N(C1255)&gt;=0,"Income","Expense")),IFERROR(INDEX(Lists!$B$2:$B$30,MATCH(J1255,Lists!$A$2:$A$30,0)),""))</f>
        <v/>
      </c>
      <c r="M1255" s="24"/>
      <c r="N1255" s="27" t="str">
        <f aca="false">IF(B1255="","",IFERROR(1000-SUMPRODUCT(MAX(ISNUMBER(SEARCH(Rules!$A$5:$A$204,B1255))*(Rules!$A$5:$A$204&lt;&gt;"")*(1000-ROW(Rules!$A$5:$A$204)))),""))</f>
        <v/>
      </c>
    </row>
    <row r="1256" customFormat="false" ht="15" hidden="false" customHeight="false" outlineLevel="0" collapsed="false">
      <c r="A1256" s="23"/>
      <c r="B1256" s="24"/>
      <c r="C1256" s="25"/>
      <c r="D1256" s="24"/>
      <c r="E1256" s="21" t="str">
        <f aca="false">IF(OR(B1256="",N(N1256)=0,N1256=1000),IF(B1256="","","Check"),INDEX(Rules!$B:$B,N1256))</f>
        <v/>
      </c>
      <c r="F1256" s="21" t="str">
        <f aca="false">IF(OR(B1256="",N(N1256)=0,N1256=1000),"",INDEX(Rules!$C:$C,N1256))</f>
        <v/>
      </c>
      <c r="G1256" s="24"/>
      <c r="H1256" s="24"/>
      <c r="I1256" s="20" t="str">
        <f aca="false">IF(B1256="","",IF(G1256&lt;&gt;"",G1256,E1256))</f>
        <v/>
      </c>
      <c r="J1256" s="21" t="str">
        <f aca="false">IF(B1256="","",IF(H1256&lt;&gt;"",H1256,F1256))</f>
        <v/>
      </c>
      <c r="K1256" s="26" t="str">
        <f aca="false">IF(A1256="","",DATE(YEAR(A1256),MONTH(A1256),1))</f>
        <v/>
      </c>
      <c r="L1256" s="21" t="str">
        <f aca="false">IF(J1256="",IF(B1256="","",IF(N(C1256)&gt;=0,"Income","Expense")),IFERROR(INDEX(Lists!$B$2:$B$30,MATCH(J1256,Lists!$A$2:$A$30,0)),""))</f>
        <v/>
      </c>
      <c r="M1256" s="24"/>
      <c r="N1256" s="27" t="str">
        <f aca="false">IF(B1256="","",IFERROR(1000-SUMPRODUCT(MAX(ISNUMBER(SEARCH(Rules!$A$5:$A$204,B1256))*(Rules!$A$5:$A$204&lt;&gt;"")*(1000-ROW(Rules!$A$5:$A$204)))),""))</f>
        <v/>
      </c>
    </row>
    <row r="1257" customFormat="false" ht="15" hidden="false" customHeight="false" outlineLevel="0" collapsed="false">
      <c r="A1257" s="23"/>
      <c r="B1257" s="24"/>
      <c r="C1257" s="25"/>
      <c r="D1257" s="24"/>
      <c r="E1257" s="21" t="str">
        <f aca="false">IF(OR(B1257="",N(N1257)=0,N1257=1000),IF(B1257="","","Check"),INDEX(Rules!$B:$B,N1257))</f>
        <v/>
      </c>
      <c r="F1257" s="21" t="str">
        <f aca="false">IF(OR(B1257="",N(N1257)=0,N1257=1000),"",INDEX(Rules!$C:$C,N1257))</f>
        <v/>
      </c>
      <c r="G1257" s="24"/>
      <c r="H1257" s="24"/>
      <c r="I1257" s="20" t="str">
        <f aca="false">IF(B1257="","",IF(G1257&lt;&gt;"",G1257,E1257))</f>
        <v/>
      </c>
      <c r="J1257" s="21" t="str">
        <f aca="false">IF(B1257="","",IF(H1257&lt;&gt;"",H1257,F1257))</f>
        <v/>
      </c>
      <c r="K1257" s="26" t="str">
        <f aca="false">IF(A1257="","",DATE(YEAR(A1257),MONTH(A1257),1))</f>
        <v/>
      </c>
      <c r="L1257" s="21" t="str">
        <f aca="false">IF(J1257="",IF(B1257="","",IF(N(C1257)&gt;=0,"Income","Expense")),IFERROR(INDEX(Lists!$B$2:$B$30,MATCH(J1257,Lists!$A$2:$A$30,0)),""))</f>
        <v/>
      </c>
      <c r="M1257" s="24"/>
      <c r="N1257" s="27" t="str">
        <f aca="false">IF(B1257="","",IFERROR(1000-SUMPRODUCT(MAX(ISNUMBER(SEARCH(Rules!$A$5:$A$204,B1257))*(Rules!$A$5:$A$204&lt;&gt;"")*(1000-ROW(Rules!$A$5:$A$204)))),""))</f>
        <v/>
      </c>
    </row>
    <row r="1258" customFormat="false" ht="15" hidden="false" customHeight="false" outlineLevel="0" collapsed="false">
      <c r="A1258" s="23"/>
      <c r="B1258" s="24"/>
      <c r="C1258" s="25"/>
      <c r="D1258" s="24"/>
      <c r="E1258" s="21" t="str">
        <f aca="false">IF(OR(B1258="",N(N1258)=0,N1258=1000),IF(B1258="","","Check"),INDEX(Rules!$B:$B,N1258))</f>
        <v/>
      </c>
      <c r="F1258" s="21" t="str">
        <f aca="false">IF(OR(B1258="",N(N1258)=0,N1258=1000),"",INDEX(Rules!$C:$C,N1258))</f>
        <v/>
      </c>
      <c r="G1258" s="24"/>
      <c r="H1258" s="24"/>
      <c r="I1258" s="20" t="str">
        <f aca="false">IF(B1258="","",IF(G1258&lt;&gt;"",G1258,E1258))</f>
        <v/>
      </c>
      <c r="J1258" s="21" t="str">
        <f aca="false">IF(B1258="","",IF(H1258&lt;&gt;"",H1258,F1258))</f>
        <v/>
      </c>
      <c r="K1258" s="26" t="str">
        <f aca="false">IF(A1258="","",DATE(YEAR(A1258),MONTH(A1258),1))</f>
        <v/>
      </c>
      <c r="L1258" s="21" t="str">
        <f aca="false">IF(J1258="",IF(B1258="","",IF(N(C1258)&gt;=0,"Income","Expense")),IFERROR(INDEX(Lists!$B$2:$B$30,MATCH(J1258,Lists!$A$2:$A$30,0)),""))</f>
        <v/>
      </c>
      <c r="M1258" s="24"/>
      <c r="N1258" s="27" t="str">
        <f aca="false">IF(B1258="","",IFERROR(1000-SUMPRODUCT(MAX(ISNUMBER(SEARCH(Rules!$A$5:$A$204,B1258))*(Rules!$A$5:$A$204&lt;&gt;"")*(1000-ROW(Rules!$A$5:$A$204)))),""))</f>
        <v/>
      </c>
    </row>
    <row r="1259" customFormat="false" ht="15" hidden="false" customHeight="false" outlineLevel="0" collapsed="false">
      <c r="A1259" s="23"/>
      <c r="B1259" s="24"/>
      <c r="C1259" s="25"/>
      <c r="D1259" s="24"/>
      <c r="E1259" s="21" t="str">
        <f aca="false">IF(OR(B1259="",N(N1259)=0,N1259=1000),IF(B1259="","","Check"),INDEX(Rules!$B:$B,N1259))</f>
        <v/>
      </c>
      <c r="F1259" s="21" t="str">
        <f aca="false">IF(OR(B1259="",N(N1259)=0,N1259=1000),"",INDEX(Rules!$C:$C,N1259))</f>
        <v/>
      </c>
      <c r="G1259" s="24"/>
      <c r="H1259" s="24"/>
      <c r="I1259" s="20" t="str">
        <f aca="false">IF(B1259="","",IF(G1259&lt;&gt;"",G1259,E1259))</f>
        <v/>
      </c>
      <c r="J1259" s="21" t="str">
        <f aca="false">IF(B1259="","",IF(H1259&lt;&gt;"",H1259,F1259))</f>
        <v/>
      </c>
      <c r="K1259" s="26" t="str">
        <f aca="false">IF(A1259="","",DATE(YEAR(A1259),MONTH(A1259),1))</f>
        <v/>
      </c>
      <c r="L1259" s="21" t="str">
        <f aca="false">IF(J1259="",IF(B1259="","",IF(N(C1259)&gt;=0,"Income","Expense")),IFERROR(INDEX(Lists!$B$2:$B$30,MATCH(J1259,Lists!$A$2:$A$30,0)),""))</f>
        <v/>
      </c>
      <c r="M1259" s="24"/>
      <c r="N1259" s="27" t="str">
        <f aca="false">IF(B1259="","",IFERROR(1000-SUMPRODUCT(MAX(ISNUMBER(SEARCH(Rules!$A$5:$A$204,B1259))*(Rules!$A$5:$A$204&lt;&gt;"")*(1000-ROW(Rules!$A$5:$A$204)))),""))</f>
        <v/>
      </c>
    </row>
    <row r="1260" customFormat="false" ht="15" hidden="false" customHeight="false" outlineLevel="0" collapsed="false">
      <c r="A1260" s="23"/>
      <c r="B1260" s="24"/>
      <c r="C1260" s="25"/>
      <c r="D1260" s="24"/>
      <c r="E1260" s="21" t="str">
        <f aca="false">IF(OR(B1260="",N(N1260)=0,N1260=1000),IF(B1260="","","Check"),INDEX(Rules!$B:$B,N1260))</f>
        <v/>
      </c>
      <c r="F1260" s="21" t="str">
        <f aca="false">IF(OR(B1260="",N(N1260)=0,N1260=1000),"",INDEX(Rules!$C:$C,N1260))</f>
        <v/>
      </c>
      <c r="G1260" s="24"/>
      <c r="H1260" s="24"/>
      <c r="I1260" s="20" t="str">
        <f aca="false">IF(B1260="","",IF(G1260&lt;&gt;"",G1260,E1260))</f>
        <v/>
      </c>
      <c r="J1260" s="21" t="str">
        <f aca="false">IF(B1260="","",IF(H1260&lt;&gt;"",H1260,F1260))</f>
        <v/>
      </c>
      <c r="K1260" s="26" t="str">
        <f aca="false">IF(A1260="","",DATE(YEAR(A1260),MONTH(A1260),1))</f>
        <v/>
      </c>
      <c r="L1260" s="21" t="str">
        <f aca="false">IF(J1260="",IF(B1260="","",IF(N(C1260)&gt;=0,"Income","Expense")),IFERROR(INDEX(Lists!$B$2:$B$30,MATCH(J1260,Lists!$A$2:$A$30,0)),""))</f>
        <v/>
      </c>
      <c r="M1260" s="24"/>
      <c r="N1260" s="27" t="str">
        <f aca="false">IF(B1260="","",IFERROR(1000-SUMPRODUCT(MAX(ISNUMBER(SEARCH(Rules!$A$5:$A$204,B1260))*(Rules!$A$5:$A$204&lt;&gt;"")*(1000-ROW(Rules!$A$5:$A$204)))),""))</f>
        <v/>
      </c>
    </row>
    <row r="1261" customFormat="false" ht="15" hidden="false" customHeight="false" outlineLevel="0" collapsed="false">
      <c r="A1261" s="23"/>
      <c r="B1261" s="24"/>
      <c r="C1261" s="25"/>
      <c r="D1261" s="24"/>
      <c r="E1261" s="21" t="str">
        <f aca="false">IF(OR(B1261="",N(N1261)=0,N1261=1000),IF(B1261="","","Check"),INDEX(Rules!$B:$B,N1261))</f>
        <v/>
      </c>
      <c r="F1261" s="21" t="str">
        <f aca="false">IF(OR(B1261="",N(N1261)=0,N1261=1000),"",INDEX(Rules!$C:$C,N1261))</f>
        <v/>
      </c>
      <c r="G1261" s="24"/>
      <c r="H1261" s="24"/>
      <c r="I1261" s="20" t="str">
        <f aca="false">IF(B1261="","",IF(G1261&lt;&gt;"",G1261,E1261))</f>
        <v/>
      </c>
      <c r="J1261" s="21" t="str">
        <f aca="false">IF(B1261="","",IF(H1261&lt;&gt;"",H1261,F1261))</f>
        <v/>
      </c>
      <c r="K1261" s="26" t="str">
        <f aca="false">IF(A1261="","",DATE(YEAR(A1261),MONTH(A1261),1))</f>
        <v/>
      </c>
      <c r="L1261" s="21" t="str">
        <f aca="false">IF(J1261="",IF(B1261="","",IF(N(C1261)&gt;=0,"Income","Expense")),IFERROR(INDEX(Lists!$B$2:$B$30,MATCH(J1261,Lists!$A$2:$A$30,0)),""))</f>
        <v/>
      </c>
      <c r="M1261" s="24"/>
      <c r="N1261" s="27" t="str">
        <f aca="false">IF(B1261="","",IFERROR(1000-SUMPRODUCT(MAX(ISNUMBER(SEARCH(Rules!$A$5:$A$204,B1261))*(Rules!$A$5:$A$204&lt;&gt;"")*(1000-ROW(Rules!$A$5:$A$204)))),""))</f>
        <v/>
      </c>
    </row>
    <row r="1262" customFormat="false" ht="15" hidden="false" customHeight="false" outlineLevel="0" collapsed="false">
      <c r="A1262" s="23"/>
      <c r="B1262" s="24"/>
      <c r="C1262" s="25"/>
      <c r="D1262" s="24"/>
      <c r="E1262" s="21" t="str">
        <f aca="false">IF(OR(B1262="",N(N1262)=0,N1262=1000),IF(B1262="","","Check"),INDEX(Rules!$B:$B,N1262))</f>
        <v/>
      </c>
      <c r="F1262" s="21" t="str">
        <f aca="false">IF(OR(B1262="",N(N1262)=0,N1262=1000),"",INDEX(Rules!$C:$C,N1262))</f>
        <v/>
      </c>
      <c r="G1262" s="24"/>
      <c r="H1262" s="24"/>
      <c r="I1262" s="20" t="str">
        <f aca="false">IF(B1262="","",IF(G1262&lt;&gt;"",G1262,E1262))</f>
        <v/>
      </c>
      <c r="J1262" s="21" t="str">
        <f aca="false">IF(B1262="","",IF(H1262&lt;&gt;"",H1262,F1262))</f>
        <v/>
      </c>
      <c r="K1262" s="26" t="str">
        <f aca="false">IF(A1262="","",DATE(YEAR(A1262),MONTH(A1262),1))</f>
        <v/>
      </c>
      <c r="L1262" s="21" t="str">
        <f aca="false">IF(J1262="",IF(B1262="","",IF(N(C1262)&gt;=0,"Income","Expense")),IFERROR(INDEX(Lists!$B$2:$B$30,MATCH(J1262,Lists!$A$2:$A$30,0)),""))</f>
        <v/>
      </c>
      <c r="M1262" s="24"/>
      <c r="N1262" s="27" t="str">
        <f aca="false">IF(B1262="","",IFERROR(1000-SUMPRODUCT(MAX(ISNUMBER(SEARCH(Rules!$A$5:$A$204,B1262))*(Rules!$A$5:$A$204&lt;&gt;"")*(1000-ROW(Rules!$A$5:$A$204)))),""))</f>
        <v/>
      </c>
    </row>
    <row r="1263" customFormat="false" ht="15" hidden="false" customHeight="false" outlineLevel="0" collapsed="false">
      <c r="A1263" s="23"/>
      <c r="B1263" s="24"/>
      <c r="C1263" s="25"/>
      <c r="D1263" s="24"/>
      <c r="E1263" s="21" t="str">
        <f aca="false">IF(OR(B1263="",N(N1263)=0,N1263=1000),IF(B1263="","","Check"),INDEX(Rules!$B:$B,N1263))</f>
        <v/>
      </c>
      <c r="F1263" s="21" t="str">
        <f aca="false">IF(OR(B1263="",N(N1263)=0,N1263=1000),"",INDEX(Rules!$C:$C,N1263))</f>
        <v/>
      </c>
      <c r="G1263" s="24"/>
      <c r="H1263" s="24"/>
      <c r="I1263" s="20" t="str">
        <f aca="false">IF(B1263="","",IF(G1263&lt;&gt;"",G1263,E1263))</f>
        <v/>
      </c>
      <c r="J1263" s="21" t="str">
        <f aca="false">IF(B1263="","",IF(H1263&lt;&gt;"",H1263,F1263))</f>
        <v/>
      </c>
      <c r="K1263" s="26" t="str">
        <f aca="false">IF(A1263="","",DATE(YEAR(A1263),MONTH(A1263),1))</f>
        <v/>
      </c>
      <c r="L1263" s="21" t="str">
        <f aca="false">IF(J1263="",IF(B1263="","",IF(N(C1263)&gt;=0,"Income","Expense")),IFERROR(INDEX(Lists!$B$2:$B$30,MATCH(J1263,Lists!$A$2:$A$30,0)),""))</f>
        <v/>
      </c>
      <c r="M1263" s="24"/>
      <c r="N1263" s="27" t="str">
        <f aca="false">IF(B1263="","",IFERROR(1000-SUMPRODUCT(MAX(ISNUMBER(SEARCH(Rules!$A$5:$A$204,B1263))*(Rules!$A$5:$A$204&lt;&gt;"")*(1000-ROW(Rules!$A$5:$A$204)))),""))</f>
        <v/>
      </c>
    </row>
    <row r="1264" customFormat="false" ht="15" hidden="false" customHeight="false" outlineLevel="0" collapsed="false">
      <c r="A1264" s="23"/>
      <c r="B1264" s="24"/>
      <c r="C1264" s="25"/>
      <c r="D1264" s="24"/>
      <c r="E1264" s="21" t="str">
        <f aca="false">IF(OR(B1264="",N(N1264)=0,N1264=1000),IF(B1264="","","Check"),INDEX(Rules!$B:$B,N1264))</f>
        <v/>
      </c>
      <c r="F1264" s="21" t="str">
        <f aca="false">IF(OR(B1264="",N(N1264)=0,N1264=1000),"",INDEX(Rules!$C:$C,N1264))</f>
        <v/>
      </c>
      <c r="G1264" s="24"/>
      <c r="H1264" s="24"/>
      <c r="I1264" s="20" t="str">
        <f aca="false">IF(B1264="","",IF(G1264&lt;&gt;"",G1264,E1264))</f>
        <v/>
      </c>
      <c r="J1264" s="21" t="str">
        <f aca="false">IF(B1264="","",IF(H1264&lt;&gt;"",H1264,F1264))</f>
        <v/>
      </c>
      <c r="K1264" s="26" t="str">
        <f aca="false">IF(A1264="","",DATE(YEAR(A1264),MONTH(A1264),1))</f>
        <v/>
      </c>
      <c r="L1264" s="21" t="str">
        <f aca="false">IF(J1264="",IF(B1264="","",IF(N(C1264)&gt;=0,"Income","Expense")),IFERROR(INDEX(Lists!$B$2:$B$30,MATCH(J1264,Lists!$A$2:$A$30,0)),""))</f>
        <v/>
      </c>
      <c r="M1264" s="24"/>
      <c r="N1264" s="27" t="str">
        <f aca="false">IF(B1264="","",IFERROR(1000-SUMPRODUCT(MAX(ISNUMBER(SEARCH(Rules!$A$5:$A$204,B1264))*(Rules!$A$5:$A$204&lt;&gt;"")*(1000-ROW(Rules!$A$5:$A$204)))),""))</f>
        <v/>
      </c>
    </row>
    <row r="1265" customFormat="false" ht="15" hidden="false" customHeight="false" outlineLevel="0" collapsed="false">
      <c r="A1265" s="23"/>
      <c r="B1265" s="24"/>
      <c r="C1265" s="25"/>
      <c r="D1265" s="24"/>
      <c r="E1265" s="21" t="str">
        <f aca="false">IF(OR(B1265="",N(N1265)=0,N1265=1000),IF(B1265="","","Check"),INDEX(Rules!$B:$B,N1265))</f>
        <v/>
      </c>
      <c r="F1265" s="21" t="str">
        <f aca="false">IF(OR(B1265="",N(N1265)=0,N1265=1000),"",INDEX(Rules!$C:$C,N1265))</f>
        <v/>
      </c>
      <c r="G1265" s="24"/>
      <c r="H1265" s="24"/>
      <c r="I1265" s="20" t="str">
        <f aca="false">IF(B1265="","",IF(G1265&lt;&gt;"",G1265,E1265))</f>
        <v/>
      </c>
      <c r="J1265" s="21" t="str">
        <f aca="false">IF(B1265="","",IF(H1265&lt;&gt;"",H1265,F1265))</f>
        <v/>
      </c>
      <c r="K1265" s="26" t="str">
        <f aca="false">IF(A1265="","",DATE(YEAR(A1265),MONTH(A1265),1))</f>
        <v/>
      </c>
      <c r="L1265" s="21" t="str">
        <f aca="false">IF(J1265="",IF(B1265="","",IF(N(C1265)&gt;=0,"Income","Expense")),IFERROR(INDEX(Lists!$B$2:$B$30,MATCH(J1265,Lists!$A$2:$A$30,0)),""))</f>
        <v/>
      </c>
      <c r="M1265" s="24"/>
      <c r="N1265" s="27" t="str">
        <f aca="false">IF(B1265="","",IFERROR(1000-SUMPRODUCT(MAX(ISNUMBER(SEARCH(Rules!$A$5:$A$204,B1265))*(Rules!$A$5:$A$204&lt;&gt;"")*(1000-ROW(Rules!$A$5:$A$204)))),""))</f>
        <v/>
      </c>
    </row>
    <row r="1266" customFormat="false" ht="15" hidden="false" customHeight="false" outlineLevel="0" collapsed="false">
      <c r="A1266" s="23"/>
      <c r="B1266" s="24"/>
      <c r="C1266" s="25"/>
      <c r="D1266" s="24"/>
      <c r="E1266" s="21" t="str">
        <f aca="false">IF(OR(B1266="",N(N1266)=0,N1266=1000),IF(B1266="","","Check"),INDEX(Rules!$B:$B,N1266))</f>
        <v/>
      </c>
      <c r="F1266" s="21" t="str">
        <f aca="false">IF(OR(B1266="",N(N1266)=0,N1266=1000),"",INDEX(Rules!$C:$C,N1266))</f>
        <v/>
      </c>
      <c r="G1266" s="24"/>
      <c r="H1266" s="24"/>
      <c r="I1266" s="20" t="str">
        <f aca="false">IF(B1266="","",IF(G1266&lt;&gt;"",G1266,E1266))</f>
        <v/>
      </c>
      <c r="J1266" s="21" t="str">
        <f aca="false">IF(B1266="","",IF(H1266&lt;&gt;"",H1266,F1266))</f>
        <v/>
      </c>
      <c r="K1266" s="26" t="str">
        <f aca="false">IF(A1266="","",DATE(YEAR(A1266),MONTH(A1266),1))</f>
        <v/>
      </c>
      <c r="L1266" s="21" t="str">
        <f aca="false">IF(J1266="",IF(B1266="","",IF(N(C1266)&gt;=0,"Income","Expense")),IFERROR(INDEX(Lists!$B$2:$B$30,MATCH(J1266,Lists!$A$2:$A$30,0)),""))</f>
        <v/>
      </c>
      <c r="M1266" s="24"/>
      <c r="N1266" s="27" t="str">
        <f aca="false">IF(B1266="","",IFERROR(1000-SUMPRODUCT(MAX(ISNUMBER(SEARCH(Rules!$A$5:$A$204,B1266))*(Rules!$A$5:$A$204&lt;&gt;"")*(1000-ROW(Rules!$A$5:$A$204)))),""))</f>
        <v/>
      </c>
    </row>
    <row r="1267" customFormat="false" ht="15" hidden="false" customHeight="false" outlineLevel="0" collapsed="false">
      <c r="A1267" s="23"/>
      <c r="B1267" s="24"/>
      <c r="C1267" s="25"/>
      <c r="D1267" s="24"/>
      <c r="E1267" s="21" t="str">
        <f aca="false">IF(OR(B1267="",N(N1267)=0,N1267=1000),IF(B1267="","","Check"),INDEX(Rules!$B:$B,N1267))</f>
        <v/>
      </c>
      <c r="F1267" s="21" t="str">
        <f aca="false">IF(OR(B1267="",N(N1267)=0,N1267=1000),"",INDEX(Rules!$C:$C,N1267))</f>
        <v/>
      </c>
      <c r="G1267" s="24"/>
      <c r="H1267" s="24"/>
      <c r="I1267" s="20" t="str">
        <f aca="false">IF(B1267="","",IF(G1267&lt;&gt;"",G1267,E1267))</f>
        <v/>
      </c>
      <c r="J1267" s="21" t="str">
        <f aca="false">IF(B1267="","",IF(H1267&lt;&gt;"",H1267,F1267))</f>
        <v/>
      </c>
      <c r="K1267" s="26" t="str">
        <f aca="false">IF(A1267="","",DATE(YEAR(A1267),MONTH(A1267),1))</f>
        <v/>
      </c>
      <c r="L1267" s="21" t="str">
        <f aca="false">IF(J1267="",IF(B1267="","",IF(N(C1267)&gt;=0,"Income","Expense")),IFERROR(INDEX(Lists!$B$2:$B$30,MATCH(J1267,Lists!$A$2:$A$30,0)),""))</f>
        <v/>
      </c>
      <c r="M1267" s="24"/>
      <c r="N1267" s="27" t="str">
        <f aca="false">IF(B1267="","",IFERROR(1000-SUMPRODUCT(MAX(ISNUMBER(SEARCH(Rules!$A$5:$A$204,B1267))*(Rules!$A$5:$A$204&lt;&gt;"")*(1000-ROW(Rules!$A$5:$A$204)))),""))</f>
        <v/>
      </c>
    </row>
    <row r="1268" customFormat="false" ht="15" hidden="false" customHeight="false" outlineLevel="0" collapsed="false">
      <c r="A1268" s="23"/>
      <c r="B1268" s="24"/>
      <c r="C1268" s="25"/>
      <c r="D1268" s="24"/>
      <c r="E1268" s="21" t="str">
        <f aca="false">IF(OR(B1268="",N(N1268)=0,N1268=1000),IF(B1268="","","Check"),INDEX(Rules!$B:$B,N1268))</f>
        <v/>
      </c>
      <c r="F1268" s="21" t="str">
        <f aca="false">IF(OR(B1268="",N(N1268)=0,N1268=1000),"",INDEX(Rules!$C:$C,N1268))</f>
        <v/>
      </c>
      <c r="G1268" s="24"/>
      <c r="H1268" s="24"/>
      <c r="I1268" s="20" t="str">
        <f aca="false">IF(B1268="","",IF(G1268&lt;&gt;"",G1268,E1268))</f>
        <v/>
      </c>
      <c r="J1268" s="21" t="str">
        <f aca="false">IF(B1268="","",IF(H1268&lt;&gt;"",H1268,F1268))</f>
        <v/>
      </c>
      <c r="K1268" s="26" t="str">
        <f aca="false">IF(A1268="","",DATE(YEAR(A1268),MONTH(A1268),1))</f>
        <v/>
      </c>
      <c r="L1268" s="21" t="str">
        <f aca="false">IF(J1268="",IF(B1268="","",IF(N(C1268)&gt;=0,"Income","Expense")),IFERROR(INDEX(Lists!$B$2:$B$30,MATCH(J1268,Lists!$A$2:$A$30,0)),""))</f>
        <v/>
      </c>
      <c r="M1268" s="24"/>
      <c r="N1268" s="27" t="str">
        <f aca="false">IF(B1268="","",IFERROR(1000-SUMPRODUCT(MAX(ISNUMBER(SEARCH(Rules!$A$5:$A$204,B1268))*(Rules!$A$5:$A$204&lt;&gt;"")*(1000-ROW(Rules!$A$5:$A$204)))),""))</f>
        <v/>
      </c>
    </row>
    <row r="1269" customFormat="false" ht="15" hidden="false" customHeight="false" outlineLevel="0" collapsed="false">
      <c r="A1269" s="23"/>
      <c r="B1269" s="24"/>
      <c r="C1269" s="25"/>
      <c r="D1269" s="24"/>
      <c r="E1269" s="21" t="str">
        <f aca="false">IF(OR(B1269="",N(N1269)=0,N1269=1000),IF(B1269="","","Check"),INDEX(Rules!$B:$B,N1269))</f>
        <v/>
      </c>
      <c r="F1269" s="21" t="str">
        <f aca="false">IF(OR(B1269="",N(N1269)=0,N1269=1000),"",INDEX(Rules!$C:$C,N1269))</f>
        <v/>
      </c>
      <c r="G1269" s="24"/>
      <c r="H1269" s="24"/>
      <c r="I1269" s="20" t="str">
        <f aca="false">IF(B1269="","",IF(G1269&lt;&gt;"",G1269,E1269))</f>
        <v/>
      </c>
      <c r="J1269" s="21" t="str">
        <f aca="false">IF(B1269="","",IF(H1269&lt;&gt;"",H1269,F1269))</f>
        <v/>
      </c>
      <c r="K1269" s="26" t="str">
        <f aca="false">IF(A1269="","",DATE(YEAR(A1269),MONTH(A1269),1))</f>
        <v/>
      </c>
      <c r="L1269" s="21" t="str">
        <f aca="false">IF(J1269="",IF(B1269="","",IF(N(C1269)&gt;=0,"Income","Expense")),IFERROR(INDEX(Lists!$B$2:$B$30,MATCH(J1269,Lists!$A$2:$A$30,0)),""))</f>
        <v/>
      </c>
      <c r="M1269" s="24"/>
      <c r="N1269" s="27" t="str">
        <f aca="false">IF(B1269="","",IFERROR(1000-SUMPRODUCT(MAX(ISNUMBER(SEARCH(Rules!$A$5:$A$204,B1269))*(Rules!$A$5:$A$204&lt;&gt;"")*(1000-ROW(Rules!$A$5:$A$204)))),""))</f>
        <v/>
      </c>
    </row>
    <row r="1270" customFormat="false" ht="15" hidden="false" customHeight="false" outlineLevel="0" collapsed="false">
      <c r="A1270" s="23"/>
      <c r="B1270" s="24"/>
      <c r="C1270" s="25"/>
      <c r="D1270" s="24"/>
      <c r="E1270" s="21" t="str">
        <f aca="false">IF(OR(B1270="",N(N1270)=0,N1270=1000),IF(B1270="","","Check"),INDEX(Rules!$B:$B,N1270))</f>
        <v/>
      </c>
      <c r="F1270" s="21" t="str">
        <f aca="false">IF(OR(B1270="",N(N1270)=0,N1270=1000),"",INDEX(Rules!$C:$C,N1270))</f>
        <v/>
      </c>
      <c r="G1270" s="24"/>
      <c r="H1270" s="24"/>
      <c r="I1270" s="20" t="str">
        <f aca="false">IF(B1270="","",IF(G1270&lt;&gt;"",G1270,E1270))</f>
        <v/>
      </c>
      <c r="J1270" s="21" t="str">
        <f aca="false">IF(B1270="","",IF(H1270&lt;&gt;"",H1270,F1270))</f>
        <v/>
      </c>
      <c r="K1270" s="26" t="str">
        <f aca="false">IF(A1270="","",DATE(YEAR(A1270),MONTH(A1270),1))</f>
        <v/>
      </c>
      <c r="L1270" s="21" t="str">
        <f aca="false">IF(J1270="",IF(B1270="","",IF(N(C1270)&gt;=0,"Income","Expense")),IFERROR(INDEX(Lists!$B$2:$B$30,MATCH(J1270,Lists!$A$2:$A$30,0)),""))</f>
        <v/>
      </c>
      <c r="M1270" s="24"/>
      <c r="N1270" s="27" t="str">
        <f aca="false">IF(B1270="","",IFERROR(1000-SUMPRODUCT(MAX(ISNUMBER(SEARCH(Rules!$A$5:$A$204,B1270))*(Rules!$A$5:$A$204&lt;&gt;"")*(1000-ROW(Rules!$A$5:$A$204)))),""))</f>
        <v/>
      </c>
    </row>
    <row r="1271" customFormat="false" ht="15" hidden="false" customHeight="false" outlineLevel="0" collapsed="false">
      <c r="A1271" s="23"/>
      <c r="B1271" s="24"/>
      <c r="C1271" s="25"/>
      <c r="D1271" s="24"/>
      <c r="E1271" s="21" t="str">
        <f aca="false">IF(OR(B1271="",N(N1271)=0,N1271=1000),IF(B1271="","","Check"),INDEX(Rules!$B:$B,N1271))</f>
        <v/>
      </c>
      <c r="F1271" s="21" t="str">
        <f aca="false">IF(OR(B1271="",N(N1271)=0,N1271=1000),"",INDEX(Rules!$C:$C,N1271))</f>
        <v/>
      </c>
      <c r="G1271" s="24"/>
      <c r="H1271" s="24"/>
      <c r="I1271" s="20" t="str">
        <f aca="false">IF(B1271="","",IF(G1271&lt;&gt;"",G1271,E1271))</f>
        <v/>
      </c>
      <c r="J1271" s="21" t="str">
        <f aca="false">IF(B1271="","",IF(H1271&lt;&gt;"",H1271,F1271))</f>
        <v/>
      </c>
      <c r="K1271" s="26" t="str">
        <f aca="false">IF(A1271="","",DATE(YEAR(A1271),MONTH(A1271),1))</f>
        <v/>
      </c>
      <c r="L1271" s="21" t="str">
        <f aca="false">IF(J1271="",IF(B1271="","",IF(N(C1271)&gt;=0,"Income","Expense")),IFERROR(INDEX(Lists!$B$2:$B$30,MATCH(J1271,Lists!$A$2:$A$30,0)),""))</f>
        <v/>
      </c>
      <c r="M1271" s="24"/>
      <c r="N1271" s="27" t="str">
        <f aca="false">IF(B1271="","",IFERROR(1000-SUMPRODUCT(MAX(ISNUMBER(SEARCH(Rules!$A$5:$A$204,B1271))*(Rules!$A$5:$A$204&lt;&gt;"")*(1000-ROW(Rules!$A$5:$A$204)))),""))</f>
        <v/>
      </c>
    </row>
    <row r="1272" customFormat="false" ht="15" hidden="false" customHeight="false" outlineLevel="0" collapsed="false">
      <c r="A1272" s="23"/>
      <c r="B1272" s="24"/>
      <c r="C1272" s="25"/>
      <c r="D1272" s="24"/>
      <c r="E1272" s="21" t="str">
        <f aca="false">IF(OR(B1272="",N(N1272)=0,N1272=1000),IF(B1272="","","Check"),INDEX(Rules!$B:$B,N1272))</f>
        <v/>
      </c>
      <c r="F1272" s="21" t="str">
        <f aca="false">IF(OR(B1272="",N(N1272)=0,N1272=1000),"",INDEX(Rules!$C:$C,N1272))</f>
        <v/>
      </c>
      <c r="G1272" s="24"/>
      <c r="H1272" s="24"/>
      <c r="I1272" s="20" t="str">
        <f aca="false">IF(B1272="","",IF(G1272&lt;&gt;"",G1272,E1272))</f>
        <v/>
      </c>
      <c r="J1272" s="21" t="str">
        <f aca="false">IF(B1272="","",IF(H1272&lt;&gt;"",H1272,F1272))</f>
        <v/>
      </c>
      <c r="K1272" s="26" t="str">
        <f aca="false">IF(A1272="","",DATE(YEAR(A1272),MONTH(A1272),1))</f>
        <v/>
      </c>
      <c r="L1272" s="21" t="str">
        <f aca="false">IF(J1272="",IF(B1272="","",IF(N(C1272)&gt;=0,"Income","Expense")),IFERROR(INDEX(Lists!$B$2:$B$30,MATCH(J1272,Lists!$A$2:$A$30,0)),""))</f>
        <v/>
      </c>
      <c r="M1272" s="24"/>
      <c r="N1272" s="27" t="str">
        <f aca="false">IF(B1272="","",IFERROR(1000-SUMPRODUCT(MAX(ISNUMBER(SEARCH(Rules!$A$5:$A$204,B1272))*(Rules!$A$5:$A$204&lt;&gt;"")*(1000-ROW(Rules!$A$5:$A$204)))),""))</f>
        <v/>
      </c>
    </row>
    <row r="1273" customFormat="false" ht="15" hidden="false" customHeight="false" outlineLevel="0" collapsed="false">
      <c r="A1273" s="23"/>
      <c r="B1273" s="24"/>
      <c r="C1273" s="25"/>
      <c r="D1273" s="24"/>
      <c r="E1273" s="21" t="str">
        <f aca="false">IF(OR(B1273="",N(N1273)=0,N1273=1000),IF(B1273="","","Check"),INDEX(Rules!$B:$B,N1273))</f>
        <v/>
      </c>
      <c r="F1273" s="21" t="str">
        <f aca="false">IF(OR(B1273="",N(N1273)=0,N1273=1000),"",INDEX(Rules!$C:$C,N1273))</f>
        <v/>
      </c>
      <c r="G1273" s="24"/>
      <c r="H1273" s="24"/>
      <c r="I1273" s="20" t="str">
        <f aca="false">IF(B1273="","",IF(G1273&lt;&gt;"",G1273,E1273))</f>
        <v/>
      </c>
      <c r="J1273" s="21" t="str">
        <f aca="false">IF(B1273="","",IF(H1273&lt;&gt;"",H1273,F1273))</f>
        <v/>
      </c>
      <c r="K1273" s="26" t="str">
        <f aca="false">IF(A1273="","",DATE(YEAR(A1273),MONTH(A1273),1))</f>
        <v/>
      </c>
      <c r="L1273" s="21" t="str">
        <f aca="false">IF(J1273="",IF(B1273="","",IF(N(C1273)&gt;=0,"Income","Expense")),IFERROR(INDEX(Lists!$B$2:$B$30,MATCH(J1273,Lists!$A$2:$A$30,0)),""))</f>
        <v/>
      </c>
      <c r="M1273" s="24"/>
      <c r="N1273" s="27" t="str">
        <f aca="false">IF(B1273="","",IFERROR(1000-SUMPRODUCT(MAX(ISNUMBER(SEARCH(Rules!$A$5:$A$204,B1273))*(Rules!$A$5:$A$204&lt;&gt;"")*(1000-ROW(Rules!$A$5:$A$204)))),""))</f>
        <v/>
      </c>
    </row>
    <row r="1274" customFormat="false" ht="15" hidden="false" customHeight="false" outlineLevel="0" collapsed="false">
      <c r="A1274" s="23"/>
      <c r="B1274" s="24"/>
      <c r="C1274" s="25"/>
      <c r="D1274" s="24"/>
      <c r="E1274" s="21" t="str">
        <f aca="false">IF(OR(B1274="",N(N1274)=0,N1274=1000),IF(B1274="","","Check"),INDEX(Rules!$B:$B,N1274))</f>
        <v/>
      </c>
      <c r="F1274" s="21" t="str">
        <f aca="false">IF(OR(B1274="",N(N1274)=0,N1274=1000),"",INDEX(Rules!$C:$C,N1274))</f>
        <v/>
      </c>
      <c r="G1274" s="24"/>
      <c r="H1274" s="24"/>
      <c r="I1274" s="20" t="str">
        <f aca="false">IF(B1274="","",IF(G1274&lt;&gt;"",G1274,E1274))</f>
        <v/>
      </c>
      <c r="J1274" s="21" t="str">
        <f aca="false">IF(B1274="","",IF(H1274&lt;&gt;"",H1274,F1274))</f>
        <v/>
      </c>
      <c r="K1274" s="26" t="str">
        <f aca="false">IF(A1274="","",DATE(YEAR(A1274),MONTH(A1274),1))</f>
        <v/>
      </c>
      <c r="L1274" s="21" t="str">
        <f aca="false">IF(J1274="",IF(B1274="","",IF(N(C1274)&gt;=0,"Income","Expense")),IFERROR(INDEX(Lists!$B$2:$B$30,MATCH(J1274,Lists!$A$2:$A$30,0)),""))</f>
        <v/>
      </c>
      <c r="M1274" s="24"/>
      <c r="N1274" s="27" t="str">
        <f aca="false">IF(B1274="","",IFERROR(1000-SUMPRODUCT(MAX(ISNUMBER(SEARCH(Rules!$A$5:$A$204,B1274))*(Rules!$A$5:$A$204&lt;&gt;"")*(1000-ROW(Rules!$A$5:$A$204)))),""))</f>
        <v/>
      </c>
    </row>
    <row r="1275" customFormat="false" ht="15" hidden="false" customHeight="false" outlineLevel="0" collapsed="false">
      <c r="A1275" s="23"/>
      <c r="B1275" s="24"/>
      <c r="C1275" s="25"/>
      <c r="D1275" s="24"/>
      <c r="E1275" s="21" t="str">
        <f aca="false">IF(OR(B1275="",N(N1275)=0,N1275=1000),IF(B1275="","","Check"),INDEX(Rules!$B:$B,N1275))</f>
        <v/>
      </c>
      <c r="F1275" s="21" t="str">
        <f aca="false">IF(OR(B1275="",N(N1275)=0,N1275=1000),"",INDEX(Rules!$C:$C,N1275))</f>
        <v/>
      </c>
      <c r="G1275" s="24"/>
      <c r="H1275" s="24"/>
      <c r="I1275" s="20" t="str">
        <f aca="false">IF(B1275="","",IF(G1275&lt;&gt;"",G1275,E1275))</f>
        <v/>
      </c>
      <c r="J1275" s="21" t="str">
        <f aca="false">IF(B1275="","",IF(H1275&lt;&gt;"",H1275,F1275))</f>
        <v/>
      </c>
      <c r="K1275" s="26" t="str">
        <f aca="false">IF(A1275="","",DATE(YEAR(A1275),MONTH(A1275),1))</f>
        <v/>
      </c>
      <c r="L1275" s="21" t="str">
        <f aca="false">IF(J1275="",IF(B1275="","",IF(N(C1275)&gt;=0,"Income","Expense")),IFERROR(INDEX(Lists!$B$2:$B$30,MATCH(J1275,Lists!$A$2:$A$30,0)),""))</f>
        <v/>
      </c>
      <c r="M1275" s="24"/>
      <c r="N1275" s="27" t="str">
        <f aca="false">IF(B1275="","",IFERROR(1000-SUMPRODUCT(MAX(ISNUMBER(SEARCH(Rules!$A$5:$A$204,B1275))*(Rules!$A$5:$A$204&lt;&gt;"")*(1000-ROW(Rules!$A$5:$A$204)))),""))</f>
        <v/>
      </c>
    </row>
    <row r="1276" customFormat="false" ht="15" hidden="false" customHeight="false" outlineLevel="0" collapsed="false">
      <c r="A1276" s="23"/>
      <c r="B1276" s="24"/>
      <c r="C1276" s="25"/>
      <c r="D1276" s="24"/>
      <c r="E1276" s="21" t="str">
        <f aca="false">IF(OR(B1276="",N(N1276)=0,N1276=1000),IF(B1276="","","Check"),INDEX(Rules!$B:$B,N1276))</f>
        <v/>
      </c>
      <c r="F1276" s="21" t="str">
        <f aca="false">IF(OR(B1276="",N(N1276)=0,N1276=1000),"",INDEX(Rules!$C:$C,N1276))</f>
        <v/>
      </c>
      <c r="G1276" s="24"/>
      <c r="H1276" s="24"/>
      <c r="I1276" s="20" t="str">
        <f aca="false">IF(B1276="","",IF(G1276&lt;&gt;"",G1276,E1276))</f>
        <v/>
      </c>
      <c r="J1276" s="21" t="str">
        <f aca="false">IF(B1276="","",IF(H1276&lt;&gt;"",H1276,F1276))</f>
        <v/>
      </c>
      <c r="K1276" s="26" t="str">
        <f aca="false">IF(A1276="","",DATE(YEAR(A1276),MONTH(A1276),1))</f>
        <v/>
      </c>
      <c r="L1276" s="21" t="str">
        <f aca="false">IF(J1276="",IF(B1276="","",IF(N(C1276)&gt;=0,"Income","Expense")),IFERROR(INDEX(Lists!$B$2:$B$30,MATCH(J1276,Lists!$A$2:$A$30,0)),""))</f>
        <v/>
      </c>
      <c r="M1276" s="24"/>
      <c r="N1276" s="27" t="str">
        <f aca="false">IF(B1276="","",IFERROR(1000-SUMPRODUCT(MAX(ISNUMBER(SEARCH(Rules!$A$5:$A$204,B1276))*(Rules!$A$5:$A$204&lt;&gt;"")*(1000-ROW(Rules!$A$5:$A$204)))),""))</f>
        <v/>
      </c>
    </row>
    <row r="1277" customFormat="false" ht="15" hidden="false" customHeight="false" outlineLevel="0" collapsed="false">
      <c r="A1277" s="23"/>
      <c r="B1277" s="24"/>
      <c r="C1277" s="25"/>
      <c r="D1277" s="24"/>
      <c r="E1277" s="21" t="str">
        <f aca="false">IF(OR(B1277="",N(N1277)=0,N1277=1000),IF(B1277="","","Check"),INDEX(Rules!$B:$B,N1277))</f>
        <v/>
      </c>
      <c r="F1277" s="21" t="str">
        <f aca="false">IF(OR(B1277="",N(N1277)=0,N1277=1000),"",INDEX(Rules!$C:$C,N1277))</f>
        <v/>
      </c>
      <c r="G1277" s="24"/>
      <c r="H1277" s="24"/>
      <c r="I1277" s="20" t="str">
        <f aca="false">IF(B1277="","",IF(G1277&lt;&gt;"",G1277,E1277))</f>
        <v/>
      </c>
      <c r="J1277" s="21" t="str">
        <f aca="false">IF(B1277="","",IF(H1277&lt;&gt;"",H1277,F1277))</f>
        <v/>
      </c>
      <c r="K1277" s="26" t="str">
        <f aca="false">IF(A1277="","",DATE(YEAR(A1277),MONTH(A1277),1))</f>
        <v/>
      </c>
      <c r="L1277" s="21" t="str">
        <f aca="false">IF(J1277="",IF(B1277="","",IF(N(C1277)&gt;=0,"Income","Expense")),IFERROR(INDEX(Lists!$B$2:$B$30,MATCH(J1277,Lists!$A$2:$A$30,0)),""))</f>
        <v/>
      </c>
      <c r="M1277" s="24"/>
      <c r="N1277" s="27" t="str">
        <f aca="false">IF(B1277="","",IFERROR(1000-SUMPRODUCT(MAX(ISNUMBER(SEARCH(Rules!$A$5:$A$204,B1277))*(Rules!$A$5:$A$204&lt;&gt;"")*(1000-ROW(Rules!$A$5:$A$204)))),""))</f>
        <v/>
      </c>
    </row>
    <row r="1278" customFormat="false" ht="15" hidden="false" customHeight="false" outlineLevel="0" collapsed="false">
      <c r="A1278" s="23"/>
      <c r="B1278" s="24"/>
      <c r="C1278" s="25"/>
      <c r="D1278" s="24"/>
      <c r="E1278" s="21" t="str">
        <f aca="false">IF(OR(B1278="",N(N1278)=0,N1278=1000),IF(B1278="","","Check"),INDEX(Rules!$B:$B,N1278))</f>
        <v/>
      </c>
      <c r="F1278" s="21" t="str">
        <f aca="false">IF(OR(B1278="",N(N1278)=0,N1278=1000),"",INDEX(Rules!$C:$C,N1278))</f>
        <v/>
      </c>
      <c r="G1278" s="24"/>
      <c r="H1278" s="24"/>
      <c r="I1278" s="20" t="str">
        <f aca="false">IF(B1278="","",IF(G1278&lt;&gt;"",G1278,E1278))</f>
        <v/>
      </c>
      <c r="J1278" s="21" t="str">
        <f aca="false">IF(B1278="","",IF(H1278&lt;&gt;"",H1278,F1278))</f>
        <v/>
      </c>
      <c r="K1278" s="26" t="str">
        <f aca="false">IF(A1278="","",DATE(YEAR(A1278),MONTH(A1278),1))</f>
        <v/>
      </c>
      <c r="L1278" s="21" t="str">
        <f aca="false">IF(J1278="",IF(B1278="","",IF(N(C1278)&gt;=0,"Income","Expense")),IFERROR(INDEX(Lists!$B$2:$B$30,MATCH(J1278,Lists!$A$2:$A$30,0)),""))</f>
        <v/>
      </c>
      <c r="M1278" s="24"/>
      <c r="N1278" s="27" t="str">
        <f aca="false">IF(B1278="","",IFERROR(1000-SUMPRODUCT(MAX(ISNUMBER(SEARCH(Rules!$A$5:$A$204,B1278))*(Rules!$A$5:$A$204&lt;&gt;"")*(1000-ROW(Rules!$A$5:$A$204)))),""))</f>
        <v/>
      </c>
    </row>
    <row r="1279" customFormat="false" ht="15" hidden="false" customHeight="false" outlineLevel="0" collapsed="false">
      <c r="A1279" s="23"/>
      <c r="B1279" s="24"/>
      <c r="C1279" s="25"/>
      <c r="D1279" s="24"/>
      <c r="E1279" s="21" t="str">
        <f aca="false">IF(OR(B1279="",N(N1279)=0,N1279=1000),IF(B1279="","","Check"),INDEX(Rules!$B:$B,N1279))</f>
        <v/>
      </c>
      <c r="F1279" s="21" t="str">
        <f aca="false">IF(OR(B1279="",N(N1279)=0,N1279=1000),"",INDEX(Rules!$C:$C,N1279))</f>
        <v/>
      </c>
      <c r="G1279" s="24"/>
      <c r="H1279" s="24"/>
      <c r="I1279" s="20" t="str">
        <f aca="false">IF(B1279="","",IF(G1279&lt;&gt;"",G1279,E1279))</f>
        <v/>
      </c>
      <c r="J1279" s="21" t="str">
        <f aca="false">IF(B1279="","",IF(H1279&lt;&gt;"",H1279,F1279))</f>
        <v/>
      </c>
      <c r="K1279" s="26" t="str">
        <f aca="false">IF(A1279="","",DATE(YEAR(A1279),MONTH(A1279),1))</f>
        <v/>
      </c>
      <c r="L1279" s="21" t="str">
        <f aca="false">IF(J1279="",IF(B1279="","",IF(N(C1279)&gt;=0,"Income","Expense")),IFERROR(INDEX(Lists!$B$2:$B$30,MATCH(J1279,Lists!$A$2:$A$30,0)),""))</f>
        <v/>
      </c>
      <c r="M1279" s="24"/>
      <c r="N1279" s="27" t="str">
        <f aca="false">IF(B1279="","",IFERROR(1000-SUMPRODUCT(MAX(ISNUMBER(SEARCH(Rules!$A$5:$A$204,B1279))*(Rules!$A$5:$A$204&lt;&gt;"")*(1000-ROW(Rules!$A$5:$A$204)))),""))</f>
        <v/>
      </c>
    </row>
    <row r="1280" customFormat="false" ht="15" hidden="false" customHeight="false" outlineLevel="0" collapsed="false">
      <c r="A1280" s="23"/>
      <c r="B1280" s="24"/>
      <c r="C1280" s="25"/>
      <c r="D1280" s="24"/>
      <c r="E1280" s="21" t="str">
        <f aca="false">IF(OR(B1280="",N(N1280)=0,N1280=1000),IF(B1280="","","Check"),INDEX(Rules!$B:$B,N1280))</f>
        <v/>
      </c>
      <c r="F1280" s="21" t="str">
        <f aca="false">IF(OR(B1280="",N(N1280)=0,N1280=1000),"",INDEX(Rules!$C:$C,N1280))</f>
        <v/>
      </c>
      <c r="G1280" s="24"/>
      <c r="H1280" s="24"/>
      <c r="I1280" s="20" t="str">
        <f aca="false">IF(B1280="","",IF(G1280&lt;&gt;"",G1280,E1280))</f>
        <v/>
      </c>
      <c r="J1280" s="21" t="str">
        <f aca="false">IF(B1280="","",IF(H1280&lt;&gt;"",H1280,F1280))</f>
        <v/>
      </c>
      <c r="K1280" s="26" t="str">
        <f aca="false">IF(A1280="","",DATE(YEAR(A1280),MONTH(A1280),1))</f>
        <v/>
      </c>
      <c r="L1280" s="21" t="str">
        <f aca="false">IF(J1280="",IF(B1280="","",IF(N(C1280)&gt;=0,"Income","Expense")),IFERROR(INDEX(Lists!$B$2:$B$30,MATCH(J1280,Lists!$A$2:$A$30,0)),""))</f>
        <v/>
      </c>
      <c r="M1280" s="24"/>
      <c r="N1280" s="27" t="str">
        <f aca="false">IF(B1280="","",IFERROR(1000-SUMPRODUCT(MAX(ISNUMBER(SEARCH(Rules!$A$5:$A$204,B1280))*(Rules!$A$5:$A$204&lt;&gt;"")*(1000-ROW(Rules!$A$5:$A$204)))),""))</f>
        <v/>
      </c>
    </row>
    <row r="1281" customFormat="false" ht="15" hidden="false" customHeight="false" outlineLevel="0" collapsed="false">
      <c r="A1281" s="23"/>
      <c r="B1281" s="24"/>
      <c r="C1281" s="25"/>
      <c r="D1281" s="24"/>
      <c r="E1281" s="21" t="str">
        <f aca="false">IF(OR(B1281="",N(N1281)=0,N1281=1000),IF(B1281="","","Check"),INDEX(Rules!$B:$B,N1281))</f>
        <v/>
      </c>
      <c r="F1281" s="21" t="str">
        <f aca="false">IF(OR(B1281="",N(N1281)=0,N1281=1000),"",INDEX(Rules!$C:$C,N1281))</f>
        <v/>
      </c>
      <c r="G1281" s="24"/>
      <c r="H1281" s="24"/>
      <c r="I1281" s="20" t="str">
        <f aca="false">IF(B1281="","",IF(G1281&lt;&gt;"",G1281,E1281))</f>
        <v/>
      </c>
      <c r="J1281" s="21" t="str">
        <f aca="false">IF(B1281="","",IF(H1281&lt;&gt;"",H1281,F1281))</f>
        <v/>
      </c>
      <c r="K1281" s="26" t="str">
        <f aca="false">IF(A1281="","",DATE(YEAR(A1281),MONTH(A1281),1))</f>
        <v/>
      </c>
      <c r="L1281" s="21" t="str">
        <f aca="false">IF(J1281="",IF(B1281="","",IF(N(C1281)&gt;=0,"Income","Expense")),IFERROR(INDEX(Lists!$B$2:$B$30,MATCH(J1281,Lists!$A$2:$A$30,0)),""))</f>
        <v/>
      </c>
      <c r="M1281" s="24"/>
      <c r="N1281" s="27" t="str">
        <f aca="false">IF(B1281="","",IFERROR(1000-SUMPRODUCT(MAX(ISNUMBER(SEARCH(Rules!$A$5:$A$204,B1281))*(Rules!$A$5:$A$204&lt;&gt;"")*(1000-ROW(Rules!$A$5:$A$204)))),""))</f>
        <v/>
      </c>
    </row>
    <row r="1282" customFormat="false" ht="15" hidden="false" customHeight="false" outlineLevel="0" collapsed="false">
      <c r="A1282" s="23"/>
      <c r="B1282" s="24"/>
      <c r="C1282" s="25"/>
      <c r="D1282" s="24"/>
      <c r="E1282" s="21" t="str">
        <f aca="false">IF(OR(B1282="",N(N1282)=0,N1282=1000),IF(B1282="","","Check"),INDEX(Rules!$B:$B,N1282))</f>
        <v/>
      </c>
      <c r="F1282" s="21" t="str">
        <f aca="false">IF(OR(B1282="",N(N1282)=0,N1282=1000),"",INDEX(Rules!$C:$C,N1282))</f>
        <v/>
      </c>
      <c r="G1282" s="24"/>
      <c r="H1282" s="24"/>
      <c r="I1282" s="20" t="str">
        <f aca="false">IF(B1282="","",IF(G1282&lt;&gt;"",G1282,E1282))</f>
        <v/>
      </c>
      <c r="J1282" s="21" t="str">
        <f aca="false">IF(B1282="","",IF(H1282&lt;&gt;"",H1282,F1282))</f>
        <v/>
      </c>
      <c r="K1282" s="26" t="str">
        <f aca="false">IF(A1282="","",DATE(YEAR(A1282),MONTH(A1282),1))</f>
        <v/>
      </c>
      <c r="L1282" s="21" t="str">
        <f aca="false">IF(J1282="",IF(B1282="","",IF(N(C1282)&gt;=0,"Income","Expense")),IFERROR(INDEX(Lists!$B$2:$B$30,MATCH(J1282,Lists!$A$2:$A$30,0)),""))</f>
        <v/>
      </c>
      <c r="M1282" s="24"/>
      <c r="N1282" s="27" t="str">
        <f aca="false">IF(B1282="","",IFERROR(1000-SUMPRODUCT(MAX(ISNUMBER(SEARCH(Rules!$A$5:$A$204,B1282))*(Rules!$A$5:$A$204&lt;&gt;"")*(1000-ROW(Rules!$A$5:$A$204)))),""))</f>
        <v/>
      </c>
    </row>
    <row r="1283" customFormat="false" ht="15" hidden="false" customHeight="false" outlineLevel="0" collapsed="false">
      <c r="A1283" s="23"/>
      <c r="B1283" s="24"/>
      <c r="C1283" s="25"/>
      <c r="D1283" s="24"/>
      <c r="E1283" s="21" t="str">
        <f aca="false">IF(OR(B1283="",N(N1283)=0,N1283=1000),IF(B1283="","","Check"),INDEX(Rules!$B:$B,N1283))</f>
        <v/>
      </c>
      <c r="F1283" s="21" t="str">
        <f aca="false">IF(OR(B1283="",N(N1283)=0,N1283=1000),"",INDEX(Rules!$C:$C,N1283))</f>
        <v/>
      </c>
      <c r="G1283" s="24"/>
      <c r="H1283" s="24"/>
      <c r="I1283" s="20" t="str">
        <f aca="false">IF(B1283="","",IF(G1283&lt;&gt;"",G1283,E1283))</f>
        <v/>
      </c>
      <c r="J1283" s="21" t="str">
        <f aca="false">IF(B1283="","",IF(H1283&lt;&gt;"",H1283,F1283))</f>
        <v/>
      </c>
      <c r="K1283" s="26" t="str">
        <f aca="false">IF(A1283="","",DATE(YEAR(A1283),MONTH(A1283),1))</f>
        <v/>
      </c>
      <c r="L1283" s="21" t="str">
        <f aca="false">IF(J1283="",IF(B1283="","",IF(N(C1283)&gt;=0,"Income","Expense")),IFERROR(INDEX(Lists!$B$2:$B$30,MATCH(J1283,Lists!$A$2:$A$30,0)),""))</f>
        <v/>
      </c>
      <c r="M1283" s="24"/>
      <c r="N1283" s="27" t="str">
        <f aca="false">IF(B1283="","",IFERROR(1000-SUMPRODUCT(MAX(ISNUMBER(SEARCH(Rules!$A$5:$A$204,B1283))*(Rules!$A$5:$A$204&lt;&gt;"")*(1000-ROW(Rules!$A$5:$A$204)))),""))</f>
        <v/>
      </c>
    </row>
    <row r="1284" customFormat="false" ht="15" hidden="false" customHeight="false" outlineLevel="0" collapsed="false">
      <c r="A1284" s="23"/>
      <c r="B1284" s="24"/>
      <c r="C1284" s="25"/>
      <c r="D1284" s="24"/>
      <c r="E1284" s="21" t="str">
        <f aca="false">IF(OR(B1284="",N(N1284)=0,N1284=1000),IF(B1284="","","Check"),INDEX(Rules!$B:$B,N1284))</f>
        <v/>
      </c>
      <c r="F1284" s="21" t="str">
        <f aca="false">IF(OR(B1284="",N(N1284)=0,N1284=1000),"",INDEX(Rules!$C:$C,N1284))</f>
        <v/>
      </c>
      <c r="G1284" s="24"/>
      <c r="H1284" s="24"/>
      <c r="I1284" s="20" t="str">
        <f aca="false">IF(B1284="","",IF(G1284&lt;&gt;"",G1284,E1284))</f>
        <v/>
      </c>
      <c r="J1284" s="21" t="str">
        <f aca="false">IF(B1284="","",IF(H1284&lt;&gt;"",H1284,F1284))</f>
        <v/>
      </c>
      <c r="K1284" s="26" t="str">
        <f aca="false">IF(A1284="","",DATE(YEAR(A1284),MONTH(A1284),1))</f>
        <v/>
      </c>
      <c r="L1284" s="21" t="str">
        <f aca="false">IF(J1284="",IF(B1284="","",IF(N(C1284)&gt;=0,"Income","Expense")),IFERROR(INDEX(Lists!$B$2:$B$30,MATCH(J1284,Lists!$A$2:$A$30,0)),""))</f>
        <v/>
      </c>
      <c r="M1284" s="24"/>
      <c r="N1284" s="27" t="str">
        <f aca="false">IF(B1284="","",IFERROR(1000-SUMPRODUCT(MAX(ISNUMBER(SEARCH(Rules!$A$5:$A$204,B1284))*(Rules!$A$5:$A$204&lt;&gt;"")*(1000-ROW(Rules!$A$5:$A$204)))),""))</f>
        <v/>
      </c>
    </row>
    <row r="1285" customFormat="false" ht="15" hidden="false" customHeight="false" outlineLevel="0" collapsed="false">
      <c r="A1285" s="23"/>
      <c r="B1285" s="24"/>
      <c r="C1285" s="25"/>
      <c r="D1285" s="24"/>
      <c r="E1285" s="21" t="str">
        <f aca="false">IF(OR(B1285="",N(N1285)=0,N1285=1000),IF(B1285="","","Check"),INDEX(Rules!$B:$B,N1285))</f>
        <v/>
      </c>
      <c r="F1285" s="21" t="str">
        <f aca="false">IF(OR(B1285="",N(N1285)=0,N1285=1000),"",INDEX(Rules!$C:$C,N1285))</f>
        <v/>
      </c>
      <c r="G1285" s="24"/>
      <c r="H1285" s="24"/>
      <c r="I1285" s="20" t="str">
        <f aca="false">IF(B1285="","",IF(G1285&lt;&gt;"",G1285,E1285))</f>
        <v/>
      </c>
      <c r="J1285" s="21" t="str">
        <f aca="false">IF(B1285="","",IF(H1285&lt;&gt;"",H1285,F1285))</f>
        <v/>
      </c>
      <c r="K1285" s="26" t="str">
        <f aca="false">IF(A1285="","",DATE(YEAR(A1285),MONTH(A1285),1))</f>
        <v/>
      </c>
      <c r="L1285" s="21" t="str">
        <f aca="false">IF(J1285="",IF(B1285="","",IF(N(C1285)&gt;=0,"Income","Expense")),IFERROR(INDEX(Lists!$B$2:$B$30,MATCH(J1285,Lists!$A$2:$A$30,0)),""))</f>
        <v/>
      </c>
      <c r="M1285" s="24"/>
      <c r="N1285" s="27" t="str">
        <f aca="false">IF(B1285="","",IFERROR(1000-SUMPRODUCT(MAX(ISNUMBER(SEARCH(Rules!$A$5:$A$204,B1285))*(Rules!$A$5:$A$204&lt;&gt;"")*(1000-ROW(Rules!$A$5:$A$204)))),""))</f>
        <v/>
      </c>
    </row>
    <row r="1286" customFormat="false" ht="15" hidden="false" customHeight="false" outlineLevel="0" collapsed="false">
      <c r="A1286" s="23"/>
      <c r="B1286" s="24"/>
      <c r="C1286" s="25"/>
      <c r="D1286" s="24"/>
      <c r="E1286" s="21" t="str">
        <f aca="false">IF(OR(B1286="",N(N1286)=0,N1286=1000),IF(B1286="","","Check"),INDEX(Rules!$B:$B,N1286))</f>
        <v/>
      </c>
      <c r="F1286" s="21" t="str">
        <f aca="false">IF(OR(B1286="",N(N1286)=0,N1286=1000),"",INDEX(Rules!$C:$C,N1286))</f>
        <v/>
      </c>
      <c r="G1286" s="24"/>
      <c r="H1286" s="24"/>
      <c r="I1286" s="20" t="str">
        <f aca="false">IF(B1286="","",IF(G1286&lt;&gt;"",G1286,E1286))</f>
        <v/>
      </c>
      <c r="J1286" s="21" t="str">
        <f aca="false">IF(B1286="","",IF(H1286&lt;&gt;"",H1286,F1286))</f>
        <v/>
      </c>
      <c r="K1286" s="26" t="str">
        <f aca="false">IF(A1286="","",DATE(YEAR(A1286),MONTH(A1286),1))</f>
        <v/>
      </c>
      <c r="L1286" s="21" t="str">
        <f aca="false">IF(J1286="",IF(B1286="","",IF(N(C1286)&gt;=0,"Income","Expense")),IFERROR(INDEX(Lists!$B$2:$B$30,MATCH(J1286,Lists!$A$2:$A$30,0)),""))</f>
        <v/>
      </c>
      <c r="M1286" s="24"/>
      <c r="N1286" s="27" t="str">
        <f aca="false">IF(B1286="","",IFERROR(1000-SUMPRODUCT(MAX(ISNUMBER(SEARCH(Rules!$A$5:$A$204,B1286))*(Rules!$A$5:$A$204&lt;&gt;"")*(1000-ROW(Rules!$A$5:$A$204)))),""))</f>
        <v/>
      </c>
    </row>
    <row r="1287" customFormat="false" ht="15" hidden="false" customHeight="false" outlineLevel="0" collapsed="false">
      <c r="A1287" s="23"/>
      <c r="B1287" s="24"/>
      <c r="C1287" s="25"/>
      <c r="D1287" s="24"/>
      <c r="E1287" s="21" t="str">
        <f aca="false">IF(OR(B1287="",N(N1287)=0,N1287=1000),IF(B1287="","","Check"),INDEX(Rules!$B:$B,N1287))</f>
        <v/>
      </c>
      <c r="F1287" s="21" t="str">
        <f aca="false">IF(OR(B1287="",N(N1287)=0,N1287=1000),"",INDEX(Rules!$C:$C,N1287))</f>
        <v/>
      </c>
      <c r="G1287" s="24"/>
      <c r="H1287" s="24"/>
      <c r="I1287" s="20" t="str">
        <f aca="false">IF(B1287="","",IF(G1287&lt;&gt;"",G1287,E1287))</f>
        <v/>
      </c>
      <c r="J1287" s="21" t="str">
        <f aca="false">IF(B1287="","",IF(H1287&lt;&gt;"",H1287,F1287))</f>
        <v/>
      </c>
      <c r="K1287" s="26" t="str">
        <f aca="false">IF(A1287="","",DATE(YEAR(A1287),MONTH(A1287),1))</f>
        <v/>
      </c>
      <c r="L1287" s="21" t="str">
        <f aca="false">IF(J1287="",IF(B1287="","",IF(N(C1287)&gt;=0,"Income","Expense")),IFERROR(INDEX(Lists!$B$2:$B$30,MATCH(J1287,Lists!$A$2:$A$30,0)),""))</f>
        <v/>
      </c>
      <c r="M1287" s="24"/>
      <c r="N1287" s="27" t="str">
        <f aca="false">IF(B1287="","",IFERROR(1000-SUMPRODUCT(MAX(ISNUMBER(SEARCH(Rules!$A$5:$A$204,B1287))*(Rules!$A$5:$A$204&lt;&gt;"")*(1000-ROW(Rules!$A$5:$A$204)))),""))</f>
        <v/>
      </c>
    </row>
    <row r="1288" customFormat="false" ht="15" hidden="false" customHeight="false" outlineLevel="0" collapsed="false">
      <c r="A1288" s="23"/>
      <c r="B1288" s="24"/>
      <c r="C1288" s="25"/>
      <c r="D1288" s="24"/>
      <c r="E1288" s="21" t="str">
        <f aca="false">IF(OR(B1288="",N(N1288)=0,N1288=1000),IF(B1288="","","Check"),INDEX(Rules!$B:$B,N1288))</f>
        <v/>
      </c>
      <c r="F1288" s="21" t="str">
        <f aca="false">IF(OR(B1288="",N(N1288)=0,N1288=1000),"",INDEX(Rules!$C:$C,N1288))</f>
        <v/>
      </c>
      <c r="G1288" s="24"/>
      <c r="H1288" s="24"/>
      <c r="I1288" s="20" t="str">
        <f aca="false">IF(B1288="","",IF(G1288&lt;&gt;"",G1288,E1288))</f>
        <v/>
      </c>
      <c r="J1288" s="21" t="str">
        <f aca="false">IF(B1288="","",IF(H1288&lt;&gt;"",H1288,F1288))</f>
        <v/>
      </c>
      <c r="K1288" s="26" t="str">
        <f aca="false">IF(A1288="","",DATE(YEAR(A1288),MONTH(A1288),1))</f>
        <v/>
      </c>
      <c r="L1288" s="21" t="str">
        <f aca="false">IF(J1288="",IF(B1288="","",IF(N(C1288)&gt;=0,"Income","Expense")),IFERROR(INDEX(Lists!$B$2:$B$30,MATCH(J1288,Lists!$A$2:$A$30,0)),""))</f>
        <v/>
      </c>
      <c r="M1288" s="24"/>
      <c r="N1288" s="27" t="str">
        <f aca="false">IF(B1288="","",IFERROR(1000-SUMPRODUCT(MAX(ISNUMBER(SEARCH(Rules!$A$5:$A$204,B1288))*(Rules!$A$5:$A$204&lt;&gt;"")*(1000-ROW(Rules!$A$5:$A$204)))),""))</f>
        <v/>
      </c>
    </row>
    <row r="1289" customFormat="false" ht="15" hidden="false" customHeight="false" outlineLevel="0" collapsed="false">
      <c r="A1289" s="23"/>
      <c r="B1289" s="24"/>
      <c r="C1289" s="25"/>
      <c r="D1289" s="24"/>
      <c r="E1289" s="21" t="str">
        <f aca="false">IF(OR(B1289="",N(N1289)=0,N1289=1000),IF(B1289="","","Check"),INDEX(Rules!$B:$B,N1289))</f>
        <v/>
      </c>
      <c r="F1289" s="21" t="str">
        <f aca="false">IF(OR(B1289="",N(N1289)=0,N1289=1000),"",INDEX(Rules!$C:$C,N1289))</f>
        <v/>
      </c>
      <c r="G1289" s="24"/>
      <c r="H1289" s="24"/>
      <c r="I1289" s="20" t="str">
        <f aca="false">IF(B1289="","",IF(G1289&lt;&gt;"",G1289,E1289))</f>
        <v/>
      </c>
      <c r="J1289" s="21" t="str">
        <f aca="false">IF(B1289="","",IF(H1289&lt;&gt;"",H1289,F1289))</f>
        <v/>
      </c>
      <c r="K1289" s="26" t="str">
        <f aca="false">IF(A1289="","",DATE(YEAR(A1289),MONTH(A1289),1))</f>
        <v/>
      </c>
      <c r="L1289" s="21" t="str">
        <f aca="false">IF(J1289="",IF(B1289="","",IF(N(C1289)&gt;=0,"Income","Expense")),IFERROR(INDEX(Lists!$B$2:$B$30,MATCH(J1289,Lists!$A$2:$A$30,0)),""))</f>
        <v/>
      </c>
      <c r="M1289" s="24"/>
      <c r="N1289" s="27" t="str">
        <f aca="false">IF(B1289="","",IFERROR(1000-SUMPRODUCT(MAX(ISNUMBER(SEARCH(Rules!$A$5:$A$204,B1289))*(Rules!$A$5:$A$204&lt;&gt;"")*(1000-ROW(Rules!$A$5:$A$204)))),""))</f>
        <v/>
      </c>
    </row>
    <row r="1290" customFormat="false" ht="15" hidden="false" customHeight="false" outlineLevel="0" collapsed="false">
      <c r="A1290" s="23"/>
      <c r="B1290" s="24"/>
      <c r="C1290" s="25"/>
      <c r="D1290" s="24"/>
      <c r="E1290" s="21" t="str">
        <f aca="false">IF(OR(B1290="",N(N1290)=0,N1290=1000),IF(B1290="","","Check"),INDEX(Rules!$B:$B,N1290))</f>
        <v/>
      </c>
      <c r="F1290" s="21" t="str">
        <f aca="false">IF(OR(B1290="",N(N1290)=0,N1290=1000),"",INDEX(Rules!$C:$C,N1290))</f>
        <v/>
      </c>
      <c r="G1290" s="24"/>
      <c r="H1290" s="24"/>
      <c r="I1290" s="20" t="str">
        <f aca="false">IF(B1290="","",IF(G1290&lt;&gt;"",G1290,E1290))</f>
        <v/>
      </c>
      <c r="J1290" s="21" t="str">
        <f aca="false">IF(B1290="","",IF(H1290&lt;&gt;"",H1290,F1290))</f>
        <v/>
      </c>
      <c r="K1290" s="26" t="str">
        <f aca="false">IF(A1290="","",DATE(YEAR(A1290),MONTH(A1290),1))</f>
        <v/>
      </c>
      <c r="L1290" s="21" t="str">
        <f aca="false">IF(J1290="",IF(B1290="","",IF(N(C1290)&gt;=0,"Income","Expense")),IFERROR(INDEX(Lists!$B$2:$B$30,MATCH(J1290,Lists!$A$2:$A$30,0)),""))</f>
        <v/>
      </c>
      <c r="M1290" s="24"/>
      <c r="N1290" s="27" t="str">
        <f aca="false">IF(B1290="","",IFERROR(1000-SUMPRODUCT(MAX(ISNUMBER(SEARCH(Rules!$A$5:$A$204,B1290))*(Rules!$A$5:$A$204&lt;&gt;"")*(1000-ROW(Rules!$A$5:$A$204)))),""))</f>
        <v/>
      </c>
    </row>
    <row r="1291" customFormat="false" ht="15" hidden="false" customHeight="false" outlineLevel="0" collapsed="false">
      <c r="A1291" s="23"/>
      <c r="B1291" s="24"/>
      <c r="C1291" s="25"/>
      <c r="D1291" s="24"/>
      <c r="E1291" s="21" t="str">
        <f aca="false">IF(OR(B1291="",N(N1291)=0,N1291=1000),IF(B1291="","","Check"),INDEX(Rules!$B:$B,N1291))</f>
        <v/>
      </c>
      <c r="F1291" s="21" t="str">
        <f aca="false">IF(OR(B1291="",N(N1291)=0,N1291=1000),"",INDEX(Rules!$C:$C,N1291))</f>
        <v/>
      </c>
      <c r="G1291" s="24"/>
      <c r="H1291" s="24"/>
      <c r="I1291" s="20" t="str">
        <f aca="false">IF(B1291="","",IF(G1291&lt;&gt;"",G1291,E1291))</f>
        <v/>
      </c>
      <c r="J1291" s="21" t="str">
        <f aca="false">IF(B1291="","",IF(H1291&lt;&gt;"",H1291,F1291))</f>
        <v/>
      </c>
      <c r="K1291" s="26" t="str">
        <f aca="false">IF(A1291="","",DATE(YEAR(A1291),MONTH(A1291),1))</f>
        <v/>
      </c>
      <c r="L1291" s="21" t="str">
        <f aca="false">IF(J1291="",IF(B1291="","",IF(N(C1291)&gt;=0,"Income","Expense")),IFERROR(INDEX(Lists!$B$2:$B$30,MATCH(J1291,Lists!$A$2:$A$30,0)),""))</f>
        <v/>
      </c>
      <c r="M1291" s="24"/>
      <c r="N1291" s="27" t="str">
        <f aca="false">IF(B1291="","",IFERROR(1000-SUMPRODUCT(MAX(ISNUMBER(SEARCH(Rules!$A$5:$A$204,B1291))*(Rules!$A$5:$A$204&lt;&gt;"")*(1000-ROW(Rules!$A$5:$A$204)))),""))</f>
        <v/>
      </c>
    </row>
    <row r="1292" customFormat="false" ht="15" hidden="false" customHeight="false" outlineLevel="0" collapsed="false">
      <c r="A1292" s="23"/>
      <c r="B1292" s="24"/>
      <c r="C1292" s="25"/>
      <c r="D1292" s="24"/>
      <c r="E1292" s="21" t="str">
        <f aca="false">IF(OR(B1292="",N(N1292)=0,N1292=1000),IF(B1292="","","Check"),INDEX(Rules!$B:$B,N1292))</f>
        <v/>
      </c>
      <c r="F1292" s="21" t="str">
        <f aca="false">IF(OR(B1292="",N(N1292)=0,N1292=1000),"",INDEX(Rules!$C:$C,N1292))</f>
        <v/>
      </c>
      <c r="G1292" s="24"/>
      <c r="H1292" s="24"/>
      <c r="I1292" s="20" t="str">
        <f aca="false">IF(B1292="","",IF(G1292&lt;&gt;"",G1292,E1292))</f>
        <v/>
      </c>
      <c r="J1292" s="21" t="str">
        <f aca="false">IF(B1292="","",IF(H1292&lt;&gt;"",H1292,F1292))</f>
        <v/>
      </c>
      <c r="K1292" s="26" t="str">
        <f aca="false">IF(A1292="","",DATE(YEAR(A1292),MONTH(A1292),1))</f>
        <v/>
      </c>
      <c r="L1292" s="21" t="str">
        <f aca="false">IF(J1292="",IF(B1292="","",IF(N(C1292)&gt;=0,"Income","Expense")),IFERROR(INDEX(Lists!$B$2:$B$30,MATCH(J1292,Lists!$A$2:$A$30,0)),""))</f>
        <v/>
      </c>
      <c r="M1292" s="24"/>
      <c r="N1292" s="27" t="str">
        <f aca="false">IF(B1292="","",IFERROR(1000-SUMPRODUCT(MAX(ISNUMBER(SEARCH(Rules!$A$5:$A$204,B1292))*(Rules!$A$5:$A$204&lt;&gt;"")*(1000-ROW(Rules!$A$5:$A$204)))),""))</f>
        <v/>
      </c>
    </row>
    <row r="1293" customFormat="false" ht="15" hidden="false" customHeight="false" outlineLevel="0" collapsed="false">
      <c r="A1293" s="23"/>
      <c r="B1293" s="24"/>
      <c r="C1293" s="25"/>
      <c r="D1293" s="24"/>
      <c r="E1293" s="21" t="str">
        <f aca="false">IF(OR(B1293="",N(N1293)=0,N1293=1000),IF(B1293="","","Check"),INDEX(Rules!$B:$B,N1293))</f>
        <v/>
      </c>
      <c r="F1293" s="21" t="str">
        <f aca="false">IF(OR(B1293="",N(N1293)=0,N1293=1000),"",INDEX(Rules!$C:$C,N1293))</f>
        <v/>
      </c>
      <c r="G1293" s="24"/>
      <c r="H1293" s="24"/>
      <c r="I1293" s="20" t="str">
        <f aca="false">IF(B1293="","",IF(G1293&lt;&gt;"",G1293,E1293))</f>
        <v/>
      </c>
      <c r="J1293" s="21" t="str">
        <f aca="false">IF(B1293="","",IF(H1293&lt;&gt;"",H1293,F1293))</f>
        <v/>
      </c>
      <c r="K1293" s="26" t="str">
        <f aca="false">IF(A1293="","",DATE(YEAR(A1293),MONTH(A1293),1))</f>
        <v/>
      </c>
      <c r="L1293" s="21" t="str">
        <f aca="false">IF(J1293="",IF(B1293="","",IF(N(C1293)&gt;=0,"Income","Expense")),IFERROR(INDEX(Lists!$B$2:$B$30,MATCH(J1293,Lists!$A$2:$A$30,0)),""))</f>
        <v/>
      </c>
      <c r="M1293" s="24"/>
      <c r="N1293" s="27" t="str">
        <f aca="false">IF(B1293="","",IFERROR(1000-SUMPRODUCT(MAX(ISNUMBER(SEARCH(Rules!$A$5:$A$204,B1293))*(Rules!$A$5:$A$204&lt;&gt;"")*(1000-ROW(Rules!$A$5:$A$204)))),""))</f>
        <v/>
      </c>
    </row>
    <row r="1294" customFormat="false" ht="15" hidden="false" customHeight="false" outlineLevel="0" collapsed="false">
      <c r="A1294" s="23"/>
      <c r="B1294" s="24"/>
      <c r="C1294" s="25"/>
      <c r="D1294" s="24"/>
      <c r="E1294" s="21" t="str">
        <f aca="false">IF(OR(B1294="",N(N1294)=0,N1294=1000),IF(B1294="","","Check"),INDEX(Rules!$B:$B,N1294))</f>
        <v/>
      </c>
      <c r="F1294" s="21" t="str">
        <f aca="false">IF(OR(B1294="",N(N1294)=0,N1294=1000),"",INDEX(Rules!$C:$C,N1294))</f>
        <v/>
      </c>
      <c r="G1294" s="24"/>
      <c r="H1294" s="24"/>
      <c r="I1294" s="20" t="str">
        <f aca="false">IF(B1294="","",IF(G1294&lt;&gt;"",G1294,E1294))</f>
        <v/>
      </c>
      <c r="J1294" s="21" t="str">
        <f aca="false">IF(B1294="","",IF(H1294&lt;&gt;"",H1294,F1294))</f>
        <v/>
      </c>
      <c r="K1294" s="26" t="str">
        <f aca="false">IF(A1294="","",DATE(YEAR(A1294),MONTH(A1294),1))</f>
        <v/>
      </c>
      <c r="L1294" s="21" t="str">
        <f aca="false">IF(J1294="",IF(B1294="","",IF(N(C1294)&gt;=0,"Income","Expense")),IFERROR(INDEX(Lists!$B$2:$B$30,MATCH(J1294,Lists!$A$2:$A$30,0)),""))</f>
        <v/>
      </c>
      <c r="M1294" s="24"/>
      <c r="N1294" s="27" t="str">
        <f aca="false">IF(B1294="","",IFERROR(1000-SUMPRODUCT(MAX(ISNUMBER(SEARCH(Rules!$A$5:$A$204,B1294))*(Rules!$A$5:$A$204&lt;&gt;"")*(1000-ROW(Rules!$A$5:$A$204)))),""))</f>
        <v/>
      </c>
    </row>
    <row r="1295" customFormat="false" ht="15" hidden="false" customHeight="false" outlineLevel="0" collapsed="false">
      <c r="A1295" s="23"/>
      <c r="B1295" s="24"/>
      <c r="C1295" s="25"/>
      <c r="D1295" s="24"/>
      <c r="E1295" s="21" t="str">
        <f aca="false">IF(OR(B1295="",N(N1295)=0,N1295=1000),IF(B1295="","","Check"),INDEX(Rules!$B:$B,N1295))</f>
        <v/>
      </c>
      <c r="F1295" s="21" t="str">
        <f aca="false">IF(OR(B1295="",N(N1295)=0,N1295=1000),"",INDEX(Rules!$C:$C,N1295))</f>
        <v/>
      </c>
      <c r="G1295" s="24"/>
      <c r="H1295" s="24"/>
      <c r="I1295" s="20" t="str">
        <f aca="false">IF(B1295="","",IF(G1295&lt;&gt;"",G1295,E1295))</f>
        <v/>
      </c>
      <c r="J1295" s="21" t="str">
        <f aca="false">IF(B1295="","",IF(H1295&lt;&gt;"",H1295,F1295))</f>
        <v/>
      </c>
      <c r="K1295" s="26" t="str">
        <f aca="false">IF(A1295="","",DATE(YEAR(A1295),MONTH(A1295),1))</f>
        <v/>
      </c>
      <c r="L1295" s="21" t="str">
        <f aca="false">IF(J1295="",IF(B1295="","",IF(N(C1295)&gt;=0,"Income","Expense")),IFERROR(INDEX(Lists!$B$2:$B$30,MATCH(J1295,Lists!$A$2:$A$30,0)),""))</f>
        <v/>
      </c>
      <c r="M1295" s="24"/>
      <c r="N1295" s="27" t="str">
        <f aca="false">IF(B1295="","",IFERROR(1000-SUMPRODUCT(MAX(ISNUMBER(SEARCH(Rules!$A$5:$A$204,B1295))*(Rules!$A$5:$A$204&lt;&gt;"")*(1000-ROW(Rules!$A$5:$A$204)))),""))</f>
        <v/>
      </c>
    </row>
    <row r="1296" customFormat="false" ht="15" hidden="false" customHeight="false" outlineLevel="0" collapsed="false">
      <c r="A1296" s="23"/>
      <c r="B1296" s="24"/>
      <c r="C1296" s="25"/>
      <c r="D1296" s="24"/>
      <c r="E1296" s="21" t="str">
        <f aca="false">IF(OR(B1296="",N(N1296)=0,N1296=1000),IF(B1296="","","Check"),INDEX(Rules!$B:$B,N1296))</f>
        <v/>
      </c>
      <c r="F1296" s="21" t="str">
        <f aca="false">IF(OR(B1296="",N(N1296)=0,N1296=1000),"",INDEX(Rules!$C:$C,N1296))</f>
        <v/>
      </c>
      <c r="G1296" s="24"/>
      <c r="H1296" s="24"/>
      <c r="I1296" s="20" t="str">
        <f aca="false">IF(B1296="","",IF(G1296&lt;&gt;"",G1296,E1296))</f>
        <v/>
      </c>
      <c r="J1296" s="21" t="str">
        <f aca="false">IF(B1296="","",IF(H1296&lt;&gt;"",H1296,F1296))</f>
        <v/>
      </c>
      <c r="K1296" s="26" t="str">
        <f aca="false">IF(A1296="","",DATE(YEAR(A1296),MONTH(A1296),1))</f>
        <v/>
      </c>
      <c r="L1296" s="21" t="str">
        <f aca="false">IF(J1296="",IF(B1296="","",IF(N(C1296)&gt;=0,"Income","Expense")),IFERROR(INDEX(Lists!$B$2:$B$30,MATCH(J1296,Lists!$A$2:$A$30,0)),""))</f>
        <v/>
      </c>
      <c r="M1296" s="24"/>
      <c r="N1296" s="27" t="str">
        <f aca="false">IF(B1296="","",IFERROR(1000-SUMPRODUCT(MAX(ISNUMBER(SEARCH(Rules!$A$5:$A$204,B1296))*(Rules!$A$5:$A$204&lt;&gt;"")*(1000-ROW(Rules!$A$5:$A$204)))),""))</f>
        <v/>
      </c>
    </row>
    <row r="1297" customFormat="false" ht="15" hidden="false" customHeight="false" outlineLevel="0" collapsed="false">
      <c r="A1297" s="23"/>
      <c r="B1297" s="24"/>
      <c r="C1297" s="25"/>
      <c r="D1297" s="24"/>
      <c r="E1297" s="21" t="str">
        <f aca="false">IF(OR(B1297="",N(N1297)=0,N1297=1000),IF(B1297="","","Check"),INDEX(Rules!$B:$B,N1297))</f>
        <v/>
      </c>
      <c r="F1297" s="21" t="str">
        <f aca="false">IF(OR(B1297="",N(N1297)=0,N1297=1000),"",INDEX(Rules!$C:$C,N1297))</f>
        <v/>
      </c>
      <c r="G1297" s="24"/>
      <c r="H1297" s="24"/>
      <c r="I1297" s="20" t="str">
        <f aca="false">IF(B1297="","",IF(G1297&lt;&gt;"",G1297,E1297))</f>
        <v/>
      </c>
      <c r="J1297" s="21" t="str">
        <f aca="false">IF(B1297="","",IF(H1297&lt;&gt;"",H1297,F1297))</f>
        <v/>
      </c>
      <c r="K1297" s="26" t="str">
        <f aca="false">IF(A1297="","",DATE(YEAR(A1297),MONTH(A1297),1))</f>
        <v/>
      </c>
      <c r="L1297" s="21" t="str">
        <f aca="false">IF(J1297="",IF(B1297="","",IF(N(C1297)&gt;=0,"Income","Expense")),IFERROR(INDEX(Lists!$B$2:$B$30,MATCH(J1297,Lists!$A$2:$A$30,0)),""))</f>
        <v/>
      </c>
      <c r="M1297" s="24"/>
      <c r="N1297" s="27" t="str">
        <f aca="false">IF(B1297="","",IFERROR(1000-SUMPRODUCT(MAX(ISNUMBER(SEARCH(Rules!$A$5:$A$204,B1297))*(Rules!$A$5:$A$204&lt;&gt;"")*(1000-ROW(Rules!$A$5:$A$204)))),""))</f>
        <v/>
      </c>
    </row>
    <row r="1298" customFormat="false" ht="15" hidden="false" customHeight="false" outlineLevel="0" collapsed="false">
      <c r="A1298" s="23"/>
      <c r="B1298" s="24"/>
      <c r="C1298" s="25"/>
      <c r="D1298" s="24"/>
      <c r="E1298" s="21" t="str">
        <f aca="false">IF(OR(B1298="",N(N1298)=0,N1298=1000),IF(B1298="","","Check"),INDEX(Rules!$B:$B,N1298))</f>
        <v/>
      </c>
      <c r="F1298" s="21" t="str">
        <f aca="false">IF(OR(B1298="",N(N1298)=0,N1298=1000),"",INDEX(Rules!$C:$C,N1298))</f>
        <v/>
      </c>
      <c r="G1298" s="24"/>
      <c r="H1298" s="24"/>
      <c r="I1298" s="20" t="str">
        <f aca="false">IF(B1298="","",IF(G1298&lt;&gt;"",G1298,E1298))</f>
        <v/>
      </c>
      <c r="J1298" s="21" t="str">
        <f aca="false">IF(B1298="","",IF(H1298&lt;&gt;"",H1298,F1298))</f>
        <v/>
      </c>
      <c r="K1298" s="26" t="str">
        <f aca="false">IF(A1298="","",DATE(YEAR(A1298),MONTH(A1298),1))</f>
        <v/>
      </c>
      <c r="L1298" s="21" t="str">
        <f aca="false">IF(J1298="",IF(B1298="","",IF(N(C1298)&gt;=0,"Income","Expense")),IFERROR(INDEX(Lists!$B$2:$B$30,MATCH(J1298,Lists!$A$2:$A$30,0)),""))</f>
        <v/>
      </c>
      <c r="M1298" s="24"/>
      <c r="N1298" s="27" t="str">
        <f aca="false">IF(B1298="","",IFERROR(1000-SUMPRODUCT(MAX(ISNUMBER(SEARCH(Rules!$A$5:$A$204,B1298))*(Rules!$A$5:$A$204&lt;&gt;"")*(1000-ROW(Rules!$A$5:$A$204)))),""))</f>
        <v/>
      </c>
    </row>
    <row r="1299" customFormat="false" ht="15" hidden="false" customHeight="false" outlineLevel="0" collapsed="false">
      <c r="A1299" s="23"/>
      <c r="B1299" s="24"/>
      <c r="C1299" s="25"/>
      <c r="D1299" s="24"/>
      <c r="E1299" s="21" t="str">
        <f aca="false">IF(OR(B1299="",N(N1299)=0,N1299=1000),IF(B1299="","","Check"),INDEX(Rules!$B:$B,N1299))</f>
        <v/>
      </c>
      <c r="F1299" s="21" t="str">
        <f aca="false">IF(OR(B1299="",N(N1299)=0,N1299=1000),"",INDEX(Rules!$C:$C,N1299))</f>
        <v/>
      </c>
      <c r="G1299" s="24"/>
      <c r="H1299" s="24"/>
      <c r="I1299" s="20" t="str">
        <f aca="false">IF(B1299="","",IF(G1299&lt;&gt;"",G1299,E1299))</f>
        <v/>
      </c>
      <c r="J1299" s="21" t="str">
        <f aca="false">IF(B1299="","",IF(H1299&lt;&gt;"",H1299,F1299))</f>
        <v/>
      </c>
      <c r="K1299" s="26" t="str">
        <f aca="false">IF(A1299="","",DATE(YEAR(A1299),MONTH(A1299),1))</f>
        <v/>
      </c>
      <c r="L1299" s="21" t="str">
        <f aca="false">IF(J1299="",IF(B1299="","",IF(N(C1299)&gt;=0,"Income","Expense")),IFERROR(INDEX(Lists!$B$2:$B$30,MATCH(J1299,Lists!$A$2:$A$30,0)),""))</f>
        <v/>
      </c>
      <c r="M1299" s="24"/>
      <c r="N1299" s="27" t="str">
        <f aca="false">IF(B1299="","",IFERROR(1000-SUMPRODUCT(MAX(ISNUMBER(SEARCH(Rules!$A$5:$A$204,B1299))*(Rules!$A$5:$A$204&lt;&gt;"")*(1000-ROW(Rules!$A$5:$A$204)))),""))</f>
        <v/>
      </c>
    </row>
    <row r="1300" customFormat="false" ht="15" hidden="false" customHeight="false" outlineLevel="0" collapsed="false">
      <c r="A1300" s="23"/>
      <c r="B1300" s="24"/>
      <c r="C1300" s="25"/>
      <c r="D1300" s="24"/>
      <c r="E1300" s="21" t="str">
        <f aca="false">IF(OR(B1300="",N(N1300)=0,N1300=1000),IF(B1300="","","Check"),INDEX(Rules!$B:$B,N1300))</f>
        <v/>
      </c>
      <c r="F1300" s="21" t="str">
        <f aca="false">IF(OR(B1300="",N(N1300)=0,N1300=1000),"",INDEX(Rules!$C:$C,N1300))</f>
        <v/>
      </c>
      <c r="G1300" s="24"/>
      <c r="H1300" s="24"/>
      <c r="I1300" s="20" t="str">
        <f aca="false">IF(B1300="","",IF(G1300&lt;&gt;"",G1300,E1300))</f>
        <v/>
      </c>
      <c r="J1300" s="21" t="str">
        <f aca="false">IF(B1300="","",IF(H1300&lt;&gt;"",H1300,F1300))</f>
        <v/>
      </c>
      <c r="K1300" s="26" t="str">
        <f aca="false">IF(A1300="","",DATE(YEAR(A1300),MONTH(A1300),1))</f>
        <v/>
      </c>
      <c r="L1300" s="21" t="str">
        <f aca="false">IF(J1300="",IF(B1300="","",IF(N(C1300)&gt;=0,"Income","Expense")),IFERROR(INDEX(Lists!$B$2:$B$30,MATCH(J1300,Lists!$A$2:$A$30,0)),""))</f>
        <v/>
      </c>
      <c r="M1300" s="24"/>
      <c r="N1300" s="27" t="str">
        <f aca="false">IF(B1300="","",IFERROR(1000-SUMPRODUCT(MAX(ISNUMBER(SEARCH(Rules!$A$5:$A$204,B1300))*(Rules!$A$5:$A$204&lt;&gt;"")*(1000-ROW(Rules!$A$5:$A$204)))),""))</f>
        <v/>
      </c>
    </row>
    <row r="1301" customFormat="false" ht="15" hidden="false" customHeight="false" outlineLevel="0" collapsed="false">
      <c r="A1301" s="23"/>
      <c r="B1301" s="24"/>
      <c r="C1301" s="25"/>
      <c r="D1301" s="24"/>
      <c r="E1301" s="21" t="str">
        <f aca="false">IF(OR(B1301="",N(N1301)=0,N1301=1000),IF(B1301="","","Check"),INDEX(Rules!$B:$B,N1301))</f>
        <v/>
      </c>
      <c r="F1301" s="21" t="str">
        <f aca="false">IF(OR(B1301="",N(N1301)=0,N1301=1000),"",INDEX(Rules!$C:$C,N1301))</f>
        <v/>
      </c>
      <c r="G1301" s="24"/>
      <c r="H1301" s="24"/>
      <c r="I1301" s="20" t="str">
        <f aca="false">IF(B1301="","",IF(G1301&lt;&gt;"",G1301,E1301))</f>
        <v/>
      </c>
      <c r="J1301" s="21" t="str">
        <f aca="false">IF(B1301="","",IF(H1301&lt;&gt;"",H1301,F1301))</f>
        <v/>
      </c>
      <c r="K1301" s="26" t="str">
        <f aca="false">IF(A1301="","",DATE(YEAR(A1301),MONTH(A1301),1))</f>
        <v/>
      </c>
      <c r="L1301" s="21" t="str">
        <f aca="false">IF(J1301="",IF(B1301="","",IF(N(C1301)&gt;=0,"Income","Expense")),IFERROR(INDEX(Lists!$B$2:$B$30,MATCH(J1301,Lists!$A$2:$A$30,0)),""))</f>
        <v/>
      </c>
      <c r="M1301" s="24"/>
      <c r="N1301" s="27" t="str">
        <f aca="false">IF(B1301="","",IFERROR(1000-SUMPRODUCT(MAX(ISNUMBER(SEARCH(Rules!$A$5:$A$204,B1301))*(Rules!$A$5:$A$204&lt;&gt;"")*(1000-ROW(Rules!$A$5:$A$204)))),""))</f>
        <v/>
      </c>
    </row>
    <row r="1302" customFormat="false" ht="15" hidden="false" customHeight="false" outlineLevel="0" collapsed="false">
      <c r="A1302" s="23"/>
      <c r="B1302" s="24"/>
      <c r="C1302" s="25"/>
      <c r="D1302" s="24"/>
      <c r="E1302" s="21" t="str">
        <f aca="false">IF(OR(B1302="",N(N1302)=0,N1302=1000),IF(B1302="","","Check"),INDEX(Rules!$B:$B,N1302))</f>
        <v/>
      </c>
      <c r="F1302" s="21" t="str">
        <f aca="false">IF(OR(B1302="",N(N1302)=0,N1302=1000),"",INDEX(Rules!$C:$C,N1302))</f>
        <v/>
      </c>
      <c r="G1302" s="24"/>
      <c r="H1302" s="24"/>
      <c r="I1302" s="20" t="str">
        <f aca="false">IF(B1302="","",IF(G1302&lt;&gt;"",G1302,E1302))</f>
        <v/>
      </c>
      <c r="J1302" s="21" t="str">
        <f aca="false">IF(B1302="","",IF(H1302&lt;&gt;"",H1302,F1302))</f>
        <v/>
      </c>
      <c r="K1302" s="26" t="str">
        <f aca="false">IF(A1302="","",DATE(YEAR(A1302),MONTH(A1302),1))</f>
        <v/>
      </c>
      <c r="L1302" s="21" t="str">
        <f aca="false">IF(J1302="",IF(B1302="","",IF(N(C1302)&gt;=0,"Income","Expense")),IFERROR(INDEX(Lists!$B$2:$B$30,MATCH(J1302,Lists!$A$2:$A$30,0)),""))</f>
        <v/>
      </c>
      <c r="M1302" s="24"/>
      <c r="N1302" s="27" t="str">
        <f aca="false">IF(B1302="","",IFERROR(1000-SUMPRODUCT(MAX(ISNUMBER(SEARCH(Rules!$A$5:$A$204,B1302))*(Rules!$A$5:$A$204&lt;&gt;"")*(1000-ROW(Rules!$A$5:$A$204)))),""))</f>
        <v/>
      </c>
    </row>
    <row r="1303" customFormat="false" ht="15" hidden="false" customHeight="false" outlineLevel="0" collapsed="false">
      <c r="A1303" s="23"/>
      <c r="B1303" s="24"/>
      <c r="C1303" s="25"/>
      <c r="D1303" s="24"/>
      <c r="E1303" s="21" t="str">
        <f aca="false">IF(OR(B1303="",N(N1303)=0,N1303=1000),IF(B1303="","","Check"),INDEX(Rules!$B:$B,N1303))</f>
        <v/>
      </c>
      <c r="F1303" s="21" t="str">
        <f aca="false">IF(OR(B1303="",N(N1303)=0,N1303=1000),"",INDEX(Rules!$C:$C,N1303))</f>
        <v/>
      </c>
      <c r="G1303" s="24"/>
      <c r="H1303" s="24"/>
      <c r="I1303" s="20" t="str">
        <f aca="false">IF(B1303="","",IF(G1303&lt;&gt;"",G1303,E1303))</f>
        <v/>
      </c>
      <c r="J1303" s="21" t="str">
        <f aca="false">IF(B1303="","",IF(H1303&lt;&gt;"",H1303,F1303))</f>
        <v/>
      </c>
      <c r="K1303" s="26" t="str">
        <f aca="false">IF(A1303="","",DATE(YEAR(A1303),MONTH(A1303),1))</f>
        <v/>
      </c>
      <c r="L1303" s="21" t="str">
        <f aca="false">IF(J1303="",IF(B1303="","",IF(N(C1303)&gt;=0,"Income","Expense")),IFERROR(INDEX(Lists!$B$2:$B$30,MATCH(J1303,Lists!$A$2:$A$30,0)),""))</f>
        <v/>
      </c>
      <c r="M1303" s="24"/>
      <c r="N1303" s="27" t="str">
        <f aca="false">IF(B1303="","",IFERROR(1000-SUMPRODUCT(MAX(ISNUMBER(SEARCH(Rules!$A$5:$A$204,B1303))*(Rules!$A$5:$A$204&lt;&gt;"")*(1000-ROW(Rules!$A$5:$A$204)))),""))</f>
        <v/>
      </c>
    </row>
    <row r="1304" customFormat="false" ht="15" hidden="false" customHeight="false" outlineLevel="0" collapsed="false">
      <c r="A1304" s="23"/>
      <c r="B1304" s="24"/>
      <c r="C1304" s="25"/>
      <c r="D1304" s="24"/>
      <c r="E1304" s="21" t="str">
        <f aca="false">IF(OR(B1304="",N(N1304)=0,N1304=1000),IF(B1304="","","Check"),INDEX(Rules!$B:$B,N1304))</f>
        <v/>
      </c>
      <c r="F1304" s="21" t="str">
        <f aca="false">IF(OR(B1304="",N(N1304)=0,N1304=1000),"",INDEX(Rules!$C:$C,N1304))</f>
        <v/>
      </c>
      <c r="G1304" s="24"/>
      <c r="H1304" s="24"/>
      <c r="I1304" s="20" t="str">
        <f aca="false">IF(B1304="","",IF(G1304&lt;&gt;"",G1304,E1304))</f>
        <v/>
      </c>
      <c r="J1304" s="21" t="str">
        <f aca="false">IF(B1304="","",IF(H1304&lt;&gt;"",H1304,F1304))</f>
        <v/>
      </c>
      <c r="K1304" s="26" t="str">
        <f aca="false">IF(A1304="","",DATE(YEAR(A1304),MONTH(A1304),1))</f>
        <v/>
      </c>
      <c r="L1304" s="21" t="str">
        <f aca="false">IF(J1304="",IF(B1304="","",IF(N(C1304)&gt;=0,"Income","Expense")),IFERROR(INDEX(Lists!$B$2:$B$30,MATCH(J1304,Lists!$A$2:$A$30,0)),""))</f>
        <v/>
      </c>
      <c r="M1304" s="24"/>
      <c r="N1304" s="27" t="str">
        <f aca="false">IF(B1304="","",IFERROR(1000-SUMPRODUCT(MAX(ISNUMBER(SEARCH(Rules!$A$5:$A$204,B1304))*(Rules!$A$5:$A$204&lt;&gt;"")*(1000-ROW(Rules!$A$5:$A$204)))),""))</f>
        <v/>
      </c>
    </row>
    <row r="1305" customFormat="false" ht="15" hidden="false" customHeight="false" outlineLevel="0" collapsed="false">
      <c r="A1305" s="23"/>
      <c r="B1305" s="24"/>
      <c r="C1305" s="25"/>
      <c r="D1305" s="24"/>
      <c r="E1305" s="21" t="str">
        <f aca="false">IF(OR(B1305="",N(N1305)=0,N1305=1000),IF(B1305="","","Check"),INDEX(Rules!$B:$B,N1305))</f>
        <v/>
      </c>
      <c r="F1305" s="21" t="str">
        <f aca="false">IF(OR(B1305="",N(N1305)=0,N1305=1000),"",INDEX(Rules!$C:$C,N1305))</f>
        <v/>
      </c>
      <c r="G1305" s="24"/>
      <c r="H1305" s="24"/>
      <c r="I1305" s="20" t="str">
        <f aca="false">IF(B1305="","",IF(G1305&lt;&gt;"",G1305,E1305))</f>
        <v/>
      </c>
      <c r="J1305" s="21" t="str">
        <f aca="false">IF(B1305="","",IF(H1305&lt;&gt;"",H1305,F1305))</f>
        <v/>
      </c>
      <c r="K1305" s="26" t="str">
        <f aca="false">IF(A1305="","",DATE(YEAR(A1305),MONTH(A1305),1))</f>
        <v/>
      </c>
      <c r="L1305" s="21" t="str">
        <f aca="false">IF(J1305="",IF(B1305="","",IF(N(C1305)&gt;=0,"Income","Expense")),IFERROR(INDEX(Lists!$B$2:$B$30,MATCH(J1305,Lists!$A$2:$A$30,0)),""))</f>
        <v/>
      </c>
      <c r="M1305" s="24"/>
      <c r="N1305" s="27" t="str">
        <f aca="false">IF(B1305="","",IFERROR(1000-SUMPRODUCT(MAX(ISNUMBER(SEARCH(Rules!$A$5:$A$204,B1305))*(Rules!$A$5:$A$204&lt;&gt;"")*(1000-ROW(Rules!$A$5:$A$204)))),""))</f>
        <v/>
      </c>
    </row>
    <row r="1306" customFormat="false" ht="15" hidden="false" customHeight="false" outlineLevel="0" collapsed="false">
      <c r="A1306" s="23"/>
      <c r="B1306" s="24"/>
      <c r="C1306" s="25"/>
      <c r="D1306" s="24"/>
      <c r="E1306" s="21" t="str">
        <f aca="false">IF(OR(B1306="",N(N1306)=0,N1306=1000),IF(B1306="","","Check"),INDEX(Rules!$B:$B,N1306))</f>
        <v/>
      </c>
      <c r="F1306" s="21" t="str">
        <f aca="false">IF(OR(B1306="",N(N1306)=0,N1306=1000),"",INDEX(Rules!$C:$C,N1306))</f>
        <v/>
      </c>
      <c r="G1306" s="24"/>
      <c r="H1306" s="24"/>
      <c r="I1306" s="20" t="str">
        <f aca="false">IF(B1306="","",IF(G1306&lt;&gt;"",G1306,E1306))</f>
        <v/>
      </c>
      <c r="J1306" s="21" t="str">
        <f aca="false">IF(B1306="","",IF(H1306&lt;&gt;"",H1306,F1306))</f>
        <v/>
      </c>
      <c r="K1306" s="26" t="str">
        <f aca="false">IF(A1306="","",DATE(YEAR(A1306),MONTH(A1306),1))</f>
        <v/>
      </c>
      <c r="L1306" s="21" t="str">
        <f aca="false">IF(J1306="",IF(B1306="","",IF(N(C1306)&gt;=0,"Income","Expense")),IFERROR(INDEX(Lists!$B$2:$B$30,MATCH(J1306,Lists!$A$2:$A$30,0)),""))</f>
        <v/>
      </c>
      <c r="M1306" s="24"/>
      <c r="N1306" s="27" t="str">
        <f aca="false">IF(B1306="","",IFERROR(1000-SUMPRODUCT(MAX(ISNUMBER(SEARCH(Rules!$A$5:$A$204,B1306))*(Rules!$A$5:$A$204&lt;&gt;"")*(1000-ROW(Rules!$A$5:$A$204)))),""))</f>
        <v/>
      </c>
    </row>
    <row r="1307" customFormat="false" ht="15" hidden="false" customHeight="false" outlineLevel="0" collapsed="false">
      <c r="A1307" s="23"/>
      <c r="B1307" s="24"/>
      <c r="C1307" s="25"/>
      <c r="D1307" s="24"/>
      <c r="E1307" s="21" t="str">
        <f aca="false">IF(OR(B1307="",N(N1307)=0,N1307=1000),IF(B1307="","","Check"),INDEX(Rules!$B:$B,N1307))</f>
        <v/>
      </c>
      <c r="F1307" s="21" t="str">
        <f aca="false">IF(OR(B1307="",N(N1307)=0,N1307=1000),"",INDEX(Rules!$C:$C,N1307))</f>
        <v/>
      </c>
      <c r="G1307" s="24"/>
      <c r="H1307" s="24"/>
      <c r="I1307" s="20" t="str">
        <f aca="false">IF(B1307="","",IF(G1307&lt;&gt;"",G1307,E1307))</f>
        <v/>
      </c>
      <c r="J1307" s="21" t="str">
        <f aca="false">IF(B1307="","",IF(H1307&lt;&gt;"",H1307,F1307))</f>
        <v/>
      </c>
      <c r="K1307" s="26" t="str">
        <f aca="false">IF(A1307="","",DATE(YEAR(A1307),MONTH(A1307),1))</f>
        <v/>
      </c>
      <c r="L1307" s="21" t="str">
        <f aca="false">IF(J1307="",IF(B1307="","",IF(N(C1307)&gt;=0,"Income","Expense")),IFERROR(INDEX(Lists!$B$2:$B$30,MATCH(J1307,Lists!$A$2:$A$30,0)),""))</f>
        <v/>
      </c>
      <c r="M1307" s="24"/>
      <c r="N1307" s="27" t="str">
        <f aca="false">IF(B1307="","",IFERROR(1000-SUMPRODUCT(MAX(ISNUMBER(SEARCH(Rules!$A$5:$A$204,B1307))*(Rules!$A$5:$A$204&lt;&gt;"")*(1000-ROW(Rules!$A$5:$A$204)))),""))</f>
        <v/>
      </c>
    </row>
    <row r="1308" customFormat="false" ht="15" hidden="false" customHeight="false" outlineLevel="0" collapsed="false">
      <c r="A1308" s="23"/>
      <c r="B1308" s="24"/>
      <c r="C1308" s="25"/>
      <c r="D1308" s="24"/>
      <c r="E1308" s="21" t="str">
        <f aca="false">IF(OR(B1308="",N(N1308)=0,N1308=1000),IF(B1308="","","Check"),INDEX(Rules!$B:$B,N1308))</f>
        <v/>
      </c>
      <c r="F1308" s="21" t="str">
        <f aca="false">IF(OR(B1308="",N(N1308)=0,N1308=1000),"",INDEX(Rules!$C:$C,N1308))</f>
        <v/>
      </c>
      <c r="G1308" s="24"/>
      <c r="H1308" s="24"/>
      <c r="I1308" s="20" t="str">
        <f aca="false">IF(B1308="","",IF(G1308&lt;&gt;"",G1308,E1308))</f>
        <v/>
      </c>
      <c r="J1308" s="21" t="str">
        <f aca="false">IF(B1308="","",IF(H1308&lt;&gt;"",H1308,F1308))</f>
        <v/>
      </c>
      <c r="K1308" s="26" t="str">
        <f aca="false">IF(A1308="","",DATE(YEAR(A1308),MONTH(A1308),1))</f>
        <v/>
      </c>
      <c r="L1308" s="21" t="str">
        <f aca="false">IF(J1308="",IF(B1308="","",IF(N(C1308)&gt;=0,"Income","Expense")),IFERROR(INDEX(Lists!$B$2:$B$30,MATCH(J1308,Lists!$A$2:$A$30,0)),""))</f>
        <v/>
      </c>
      <c r="M1308" s="24"/>
      <c r="N1308" s="27" t="str">
        <f aca="false">IF(B1308="","",IFERROR(1000-SUMPRODUCT(MAX(ISNUMBER(SEARCH(Rules!$A$5:$A$204,B1308))*(Rules!$A$5:$A$204&lt;&gt;"")*(1000-ROW(Rules!$A$5:$A$204)))),""))</f>
        <v/>
      </c>
    </row>
    <row r="1309" customFormat="false" ht="15" hidden="false" customHeight="false" outlineLevel="0" collapsed="false">
      <c r="A1309" s="23"/>
      <c r="B1309" s="24"/>
      <c r="C1309" s="25"/>
      <c r="D1309" s="24"/>
      <c r="E1309" s="21" t="str">
        <f aca="false">IF(OR(B1309="",N(N1309)=0,N1309=1000),IF(B1309="","","Check"),INDEX(Rules!$B:$B,N1309))</f>
        <v/>
      </c>
      <c r="F1309" s="21" t="str">
        <f aca="false">IF(OR(B1309="",N(N1309)=0,N1309=1000),"",INDEX(Rules!$C:$C,N1309))</f>
        <v/>
      </c>
      <c r="G1309" s="24"/>
      <c r="H1309" s="24"/>
      <c r="I1309" s="20" t="str">
        <f aca="false">IF(B1309="","",IF(G1309&lt;&gt;"",G1309,E1309))</f>
        <v/>
      </c>
      <c r="J1309" s="21" t="str">
        <f aca="false">IF(B1309="","",IF(H1309&lt;&gt;"",H1309,F1309))</f>
        <v/>
      </c>
      <c r="K1309" s="26" t="str">
        <f aca="false">IF(A1309="","",DATE(YEAR(A1309),MONTH(A1309),1))</f>
        <v/>
      </c>
      <c r="L1309" s="21" t="str">
        <f aca="false">IF(J1309="",IF(B1309="","",IF(N(C1309)&gt;=0,"Income","Expense")),IFERROR(INDEX(Lists!$B$2:$B$30,MATCH(J1309,Lists!$A$2:$A$30,0)),""))</f>
        <v/>
      </c>
      <c r="M1309" s="24"/>
      <c r="N1309" s="27" t="str">
        <f aca="false">IF(B1309="","",IFERROR(1000-SUMPRODUCT(MAX(ISNUMBER(SEARCH(Rules!$A$5:$A$204,B1309))*(Rules!$A$5:$A$204&lt;&gt;"")*(1000-ROW(Rules!$A$5:$A$204)))),""))</f>
        <v/>
      </c>
    </row>
    <row r="1310" customFormat="false" ht="15" hidden="false" customHeight="false" outlineLevel="0" collapsed="false">
      <c r="A1310" s="23"/>
      <c r="B1310" s="24"/>
      <c r="C1310" s="25"/>
      <c r="D1310" s="24"/>
      <c r="E1310" s="21" t="str">
        <f aca="false">IF(OR(B1310="",N(N1310)=0,N1310=1000),IF(B1310="","","Check"),INDEX(Rules!$B:$B,N1310))</f>
        <v/>
      </c>
      <c r="F1310" s="21" t="str">
        <f aca="false">IF(OR(B1310="",N(N1310)=0,N1310=1000),"",INDEX(Rules!$C:$C,N1310))</f>
        <v/>
      </c>
      <c r="G1310" s="24"/>
      <c r="H1310" s="24"/>
      <c r="I1310" s="20" t="str">
        <f aca="false">IF(B1310="","",IF(G1310&lt;&gt;"",G1310,E1310))</f>
        <v/>
      </c>
      <c r="J1310" s="21" t="str">
        <f aca="false">IF(B1310="","",IF(H1310&lt;&gt;"",H1310,F1310))</f>
        <v/>
      </c>
      <c r="K1310" s="26" t="str">
        <f aca="false">IF(A1310="","",DATE(YEAR(A1310),MONTH(A1310),1))</f>
        <v/>
      </c>
      <c r="L1310" s="21" t="str">
        <f aca="false">IF(J1310="",IF(B1310="","",IF(N(C1310)&gt;=0,"Income","Expense")),IFERROR(INDEX(Lists!$B$2:$B$30,MATCH(J1310,Lists!$A$2:$A$30,0)),""))</f>
        <v/>
      </c>
      <c r="M1310" s="24"/>
      <c r="N1310" s="27" t="str">
        <f aca="false">IF(B1310="","",IFERROR(1000-SUMPRODUCT(MAX(ISNUMBER(SEARCH(Rules!$A$5:$A$204,B1310))*(Rules!$A$5:$A$204&lt;&gt;"")*(1000-ROW(Rules!$A$5:$A$204)))),""))</f>
        <v/>
      </c>
    </row>
    <row r="1311" customFormat="false" ht="15" hidden="false" customHeight="false" outlineLevel="0" collapsed="false">
      <c r="A1311" s="23"/>
      <c r="B1311" s="24"/>
      <c r="C1311" s="25"/>
      <c r="D1311" s="24"/>
      <c r="E1311" s="21" t="str">
        <f aca="false">IF(OR(B1311="",N(N1311)=0,N1311=1000),IF(B1311="","","Check"),INDEX(Rules!$B:$B,N1311))</f>
        <v/>
      </c>
      <c r="F1311" s="21" t="str">
        <f aca="false">IF(OR(B1311="",N(N1311)=0,N1311=1000),"",INDEX(Rules!$C:$C,N1311))</f>
        <v/>
      </c>
      <c r="G1311" s="24"/>
      <c r="H1311" s="24"/>
      <c r="I1311" s="20" t="str">
        <f aca="false">IF(B1311="","",IF(G1311&lt;&gt;"",G1311,E1311))</f>
        <v/>
      </c>
      <c r="J1311" s="21" t="str">
        <f aca="false">IF(B1311="","",IF(H1311&lt;&gt;"",H1311,F1311))</f>
        <v/>
      </c>
      <c r="K1311" s="26" t="str">
        <f aca="false">IF(A1311="","",DATE(YEAR(A1311),MONTH(A1311),1))</f>
        <v/>
      </c>
      <c r="L1311" s="21" t="str">
        <f aca="false">IF(J1311="",IF(B1311="","",IF(N(C1311)&gt;=0,"Income","Expense")),IFERROR(INDEX(Lists!$B$2:$B$30,MATCH(J1311,Lists!$A$2:$A$30,0)),""))</f>
        <v/>
      </c>
      <c r="M1311" s="24"/>
      <c r="N1311" s="27" t="str">
        <f aca="false">IF(B1311="","",IFERROR(1000-SUMPRODUCT(MAX(ISNUMBER(SEARCH(Rules!$A$5:$A$204,B1311))*(Rules!$A$5:$A$204&lt;&gt;"")*(1000-ROW(Rules!$A$5:$A$204)))),""))</f>
        <v/>
      </c>
    </row>
    <row r="1312" customFormat="false" ht="15" hidden="false" customHeight="false" outlineLevel="0" collapsed="false">
      <c r="A1312" s="23"/>
      <c r="B1312" s="24"/>
      <c r="C1312" s="25"/>
      <c r="D1312" s="24"/>
      <c r="E1312" s="21" t="str">
        <f aca="false">IF(OR(B1312="",N(N1312)=0,N1312=1000),IF(B1312="","","Check"),INDEX(Rules!$B:$B,N1312))</f>
        <v/>
      </c>
      <c r="F1312" s="21" t="str">
        <f aca="false">IF(OR(B1312="",N(N1312)=0,N1312=1000),"",INDEX(Rules!$C:$C,N1312))</f>
        <v/>
      </c>
      <c r="G1312" s="24"/>
      <c r="H1312" s="24"/>
      <c r="I1312" s="20" t="str">
        <f aca="false">IF(B1312="","",IF(G1312&lt;&gt;"",G1312,E1312))</f>
        <v/>
      </c>
      <c r="J1312" s="21" t="str">
        <f aca="false">IF(B1312="","",IF(H1312&lt;&gt;"",H1312,F1312))</f>
        <v/>
      </c>
      <c r="K1312" s="26" t="str">
        <f aca="false">IF(A1312="","",DATE(YEAR(A1312),MONTH(A1312),1))</f>
        <v/>
      </c>
      <c r="L1312" s="21" t="str">
        <f aca="false">IF(J1312="",IF(B1312="","",IF(N(C1312)&gt;=0,"Income","Expense")),IFERROR(INDEX(Lists!$B$2:$B$30,MATCH(J1312,Lists!$A$2:$A$30,0)),""))</f>
        <v/>
      </c>
      <c r="M1312" s="24"/>
      <c r="N1312" s="27" t="str">
        <f aca="false">IF(B1312="","",IFERROR(1000-SUMPRODUCT(MAX(ISNUMBER(SEARCH(Rules!$A$5:$A$204,B1312))*(Rules!$A$5:$A$204&lt;&gt;"")*(1000-ROW(Rules!$A$5:$A$204)))),""))</f>
        <v/>
      </c>
    </row>
    <row r="1313" customFormat="false" ht="15" hidden="false" customHeight="false" outlineLevel="0" collapsed="false">
      <c r="A1313" s="23"/>
      <c r="B1313" s="24"/>
      <c r="C1313" s="25"/>
      <c r="D1313" s="24"/>
      <c r="E1313" s="21" t="str">
        <f aca="false">IF(OR(B1313="",N(N1313)=0,N1313=1000),IF(B1313="","","Check"),INDEX(Rules!$B:$B,N1313))</f>
        <v/>
      </c>
      <c r="F1313" s="21" t="str">
        <f aca="false">IF(OR(B1313="",N(N1313)=0,N1313=1000),"",INDEX(Rules!$C:$C,N1313))</f>
        <v/>
      </c>
      <c r="G1313" s="24"/>
      <c r="H1313" s="24"/>
      <c r="I1313" s="20" t="str">
        <f aca="false">IF(B1313="","",IF(G1313&lt;&gt;"",G1313,E1313))</f>
        <v/>
      </c>
      <c r="J1313" s="21" t="str">
        <f aca="false">IF(B1313="","",IF(H1313&lt;&gt;"",H1313,F1313))</f>
        <v/>
      </c>
      <c r="K1313" s="26" t="str">
        <f aca="false">IF(A1313="","",DATE(YEAR(A1313),MONTH(A1313),1))</f>
        <v/>
      </c>
      <c r="L1313" s="21" t="str">
        <f aca="false">IF(J1313="",IF(B1313="","",IF(N(C1313)&gt;=0,"Income","Expense")),IFERROR(INDEX(Lists!$B$2:$B$30,MATCH(J1313,Lists!$A$2:$A$30,0)),""))</f>
        <v/>
      </c>
      <c r="M1313" s="24"/>
      <c r="N1313" s="27" t="str">
        <f aca="false">IF(B1313="","",IFERROR(1000-SUMPRODUCT(MAX(ISNUMBER(SEARCH(Rules!$A$5:$A$204,B1313))*(Rules!$A$5:$A$204&lt;&gt;"")*(1000-ROW(Rules!$A$5:$A$204)))),""))</f>
        <v/>
      </c>
    </row>
    <row r="1314" customFormat="false" ht="15" hidden="false" customHeight="false" outlineLevel="0" collapsed="false">
      <c r="A1314" s="23"/>
      <c r="B1314" s="24"/>
      <c r="C1314" s="25"/>
      <c r="D1314" s="24"/>
      <c r="E1314" s="21" t="str">
        <f aca="false">IF(OR(B1314="",N(N1314)=0,N1314=1000),IF(B1314="","","Check"),INDEX(Rules!$B:$B,N1314))</f>
        <v/>
      </c>
      <c r="F1314" s="21" t="str">
        <f aca="false">IF(OR(B1314="",N(N1314)=0,N1314=1000),"",INDEX(Rules!$C:$C,N1314))</f>
        <v/>
      </c>
      <c r="G1314" s="24"/>
      <c r="H1314" s="24"/>
      <c r="I1314" s="20" t="str">
        <f aca="false">IF(B1314="","",IF(G1314&lt;&gt;"",G1314,E1314))</f>
        <v/>
      </c>
      <c r="J1314" s="21" t="str">
        <f aca="false">IF(B1314="","",IF(H1314&lt;&gt;"",H1314,F1314))</f>
        <v/>
      </c>
      <c r="K1314" s="26" t="str">
        <f aca="false">IF(A1314="","",DATE(YEAR(A1314),MONTH(A1314),1))</f>
        <v/>
      </c>
      <c r="L1314" s="21" t="str">
        <f aca="false">IF(J1314="",IF(B1314="","",IF(N(C1314)&gt;=0,"Income","Expense")),IFERROR(INDEX(Lists!$B$2:$B$30,MATCH(J1314,Lists!$A$2:$A$30,0)),""))</f>
        <v/>
      </c>
      <c r="M1314" s="24"/>
      <c r="N1314" s="27" t="str">
        <f aca="false">IF(B1314="","",IFERROR(1000-SUMPRODUCT(MAX(ISNUMBER(SEARCH(Rules!$A$5:$A$204,B1314))*(Rules!$A$5:$A$204&lt;&gt;"")*(1000-ROW(Rules!$A$5:$A$204)))),""))</f>
        <v/>
      </c>
    </row>
    <row r="1315" customFormat="false" ht="15" hidden="false" customHeight="false" outlineLevel="0" collapsed="false">
      <c r="A1315" s="23"/>
      <c r="B1315" s="24"/>
      <c r="C1315" s="25"/>
      <c r="D1315" s="24"/>
      <c r="E1315" s="21" t="str">
        <f aca="false">IF(OR(B1315="",N(N1315)=0,N1315=1000),IF(B1315="","","Check"),INDEX(Rules!$B:$B,N1315))</f>
        <v/>
      </c>
      <c r="F1315" s="21" t="str">
        <f aca="false">IF(OR(B1315="",N(N1315)=0,N1315=1000),"",INDEX(Rules!$C:$C,N1315))</f>
        <v/>
      </c>
      <c r="G1315" s="24"/>
      <c r="H1315" s="24"/>
      <c r="I1315" s="20" t="str">
        <f aca="false">IF(B1315="","",IF(G1315&lt;&gt;"",G1315,E1315))</f>
        <v/>
      </c>
      <c r="J1315" s="21" t="str">
        <f aca="false">IF(B1315="","",IF(H1315&lt;&gt;"",H1315,F1315))</f>
        <v/>
      </c>
      <c r="K1315" s="26" t="str">
        <f aca="false">IF(A1315="","",DATE(YEAR(A1315),MONTH(A1315),1))</f>
        <v/>
      </c>
      <c r="L1315" s="21" t="str">
        <f aca="false">IF(J1315="",IF(B1315="","",IF(N(C1315)&gt;=0,"Income","Expense")),IFERROR(INDEX(Lists!$B$2:$B$30,MATCH(J1315,Lists!$A$2:$A$30,0)),""))</f>
        <v/>
      </c>
      <c r="M1315" s="24"/>
      <c r="N1315" s="27" t="str">
        <f aca="false">IF(B1315="","",IFERROR(1000-SUMPRODUCT(MAX(ISNUMBER(SEARCH(Rules!$A$5:$A$204,B1315))*(Rules!$A$5:$A$204&lt;&gt;"")*(1000-ROW(Rules!$A$5:$A$204)))),""))</f>
        <v/>
      </c>
    </row>
    <row r="1316" customFormat="false" ht="15" hidden="false" customHeight="false" outlineLevel="0" collapsed="false">
      <c r="A1316" s="23"/>
      <c r="B1316" s="24"/>
      <c r="C1316" s="25"/>
      <c r="D1316" s="24"/>
      <c r="E1316" s="21" t="str">
        <f aca="false">IF(OR(B1316="",N(N1316)=0,N1316=1000),IF(B1316="","","Check"),INDEX(Rules!$B:$B,N1316))</f>
        <v/>
      </c>
      <c r="F1316" s="21" t="str">
        <f aca="false">IF(OR(B1316="",N(N1316)=0,N1316=1000),"",INDEX(Rules!$C:$C,N1316))</f>
        <v/>
      </c>
      <c r="G1316" s="24"/>
      <c r="H1316" s="24"/>
      <c r="I1316" s="20" t="str">
        <f aca="false">IF(B1316="","",IF(G1316&lt;&gt;"",G1316,E1316))</f>
        <v/>
      </c>
      <c r="J1316" s="21" t="str">
        <f aca="false">IF(B1316="","",IF(H1316&lt;&gt;"",H1316,F1316))</f>
        <v/>
      </c>
      <c r="K1316" s="26" t="str">
        <f aca="false">IF(A1316="","",DATE(YEAR(A1316),MONTH(A1316),1))</f>
        <v/>
      </c>
      <c r="L1316" s="21" t="str">
        <f aca="false">IF(J1316="",IF(B1316="","",IF(N(C1316)&gt;=0,"Income","Expense")),IFERROR(INDEX(Lists!$B$2:$B$30,MATCH(J1316,Lists!$A$2:$A$30,0)),""))</f>
        <v/>
      </c>
      <c r="M1316" s="24"/>
      <c r="N1316" s="27" t="str">
        <f aca="false">IF(B1316="","",IFERROR(1000-SUMPRODUCT(MAX(ISNUMBER(SEARCH(Rules!$A$5:$A$204,B1316))*(Rules!$A$5:$A$204&lt;&gt;"")*(1000-ROW(Rules!$A$5:$A$204)))),""))</f>
        <v/>
      </c>
    </row>
    <row r="1317" customFormat="false" ht="15" hidden="false" customHeight="false" outlineLevel="0" collapsed="false">
      <c r="A1317" s="23"/>
      <c r="B1317" s="24"/>
      <c r="C1317" s="25"/>
      <c r="D1317" s="24"/>
      <c r="E1317" s="21" t="str">
        <f aca="false">IF(OR(B1317="",N(N1317)=0,N1317=1000),IF(B1317="","","Check"),INDEX(Rules!$B:$B,N1317))</f>
        <v/>
      </c>
      <c r="F1317" s="21" t="str">
        <f aca="false">IF(OR(B1317="",N(N1317)=0,N1317=1000),"",INDEX(Rules!$C:$C,N1317))</f>
        <v/>
      </c>
      <c r="G1317" s="24"/>
      <c r="H1317" s="24"/>
      <c r="I1317" s="20" t="str">
        <f aca="false">IF(B1317="","",IF(G1317&lt;&gt;"",G1317,E1317))</f>
        <v/>
      </c>
      <c r="J1317" s="21" t="str">
        <f aca="false">IF(B1317="","",IF(H1317&lt;&gt;"",H1317,F1317))</f>
        <v/>
      </c>
      <c r="K1317" s="26" t="str">
        <f aca="false">IF(A1317="","",DATE(YEAR(A1317),MONTH(A1317),1))</f>
        <v/>
      </c>
      <c r="L1317" s="21" t="str">
        <f aca="false">IF(J1317="",IF(B1317="","",IF(N(C1317)&gt;=0,"Income","Expense")),IFERROR(INDEX(Lists!$B$2:$B$30,MATCH(J1317,Lists!$A$2:$A$30,0)),""))</f>
        <v/>
      </c>
      <c r="M1317" s="24"/>
      <c r="N1317" s="27" t="str">
        <f aca="false">IF(B1317="","",IFERROR(1000-SUMPRODUCT(MAX(ISNUMBER(SEARCH(Rules!$A$5:$A$204,B1317))*(Rules!$A$5:$A$204&lt;&gt;"")*(1000-ROW(Rules!$A$5:$A$204)))),""))</f>
        <v/>
      </c>
    </row>
    <row r="1318" customFormat="false" ht="15" hidden="false" customHeight="false" outlineLevel="0" collapsed="false">
      <c r="A1318" s="23"/>
      <c r="B1318" s="24"/>
      <c r="C1318" s="25"/>
      <c r="D1318" s="24"/>
      <c r="E1318" s="21" t="str">
        <f aca="false">IF(OR(B1318="",N(N1318)=0,N1318=1000),IF(B1318="","","Check"),INDEX(Rules!$B:$B,N1318))</f>
        <v/>
      </c>
      <c r="F1318" s="21" t="str">
        <f aca="false">IF(OR(B1318="",N(N1318)=0,N1318=1000),"",INDEX(Rules!$C:$C,N1318))</f>
        <v/>
      </c>
      <c r="G1318" s="24"/>
      <c r="H1318" s="24"/>
      <c r="I1318" s="20" t="str">
        <f aca="false">IF(B1318="","",IF(G1318&lt;&gt;"",G1318,E1318))</f>
        <v/>
      </c>
      <c r="J1318" s="21" t="str">
        <f aca="false">IF(B1318="","",IF(H1318&lt;&gt;"",H1318,F1318))</f>
        <v/>
      </c>
      <c r="K1318" s="26" t="str">
        <f aca="false">IF(A1318="","",DATE(YEAR(A1318),MONTH(A1318),1))</f>
        <v/>
      </c>
      <c r="L1318" s="21" t="str">
        <f aca="false">IF(J1318="",IF(B1318="","",IF(N(C1318)&gt;=0,"Income","Expense")),IFERROR(INDEX(Lists!$B$2:$B$30,MATCH(J1318,Lists!$A$2:$A$30,0)),""))</f>
        <v/>
      </c>
      <c r="M1318" s="24"/>
      <c r="N1318" s="27" t="str">
        <f aca="false">IF(B1318="","",IFERROR(1000-SUMPRODUCT(MAX(ISNUMBER(SEARCH(Rules!$A$5:$A$204,B1318))*(Rules!$A$5:$A$204&lt;&gt;"")*(1000-ROW(Rules!$A$5:$A$204)))),""))</f>
        <v/>
      </c>
    </row>
    <row r="1319" customFormat="false" ht="15" hidden="false" customHeight="false" outlineLevel="0" collapsed="false">
      <c r="A1319" s="23"/>
      <c r="B1319" s="24"/>
      <c r="C1319" s="25"/>
      <c r="D1319" s="24"/>
      <c r="E1319" s="21" t="str">
        <f aca="false">IF(OR(B1319="",N(N1319)=0,N1319=1000),IF(B1319="","","Check"),INDEX(Rules!$B:$B,N1319))</f>
        <v/>
      </c>
      <c r="F1319" s="21" t="str">
        <f aca="false">IF(OR(B1319="",N(N1319)=0,N1319=1000),"",INDEX(Rules!$C:$C,N1319))</f>
        <v/>
      </c>
      <c r="G1319" s="24"/>
      <c r="H1319" s="24"/>
      <c r="I1319" s="20" t="str">
        <f aca="false">IF(B1319="","",IF(G1319&lt;&gt;"",G1319,E1319))</f>
        <v/>
      </c>
      <c r="J1319" s="21" t="str">
        <f aca="false">IF(B1319="","",IF(H1319&lt;&gt;"",H1319,F1319))</f>
        <v/>
      </c>
      <c r="K1319" s="26" t="str">
        <f aca="false">IF(A1319="","",DATE(YEAR(A1319),MONTH(A1319),1))</f>
        <v/>
      </c>
      <c r="L1319" s="21" t="str">
        <f aca="false">IF(J1319="",IF(B1319="","",IF(N(C1319)&gt;=0,"Income","Expense")),IFERROR(INDEX(Lists!$B$2:$B$30,MATCH(J1319,Lists!$A$2:$A$30,0)),""))</f>
        <v/>
      </c>
      <c r="M1319" s="24"/>
      <c r="N1319" s="27" t="str">
        <f aca="false">IF(B1319="","",IFERROR(1000-SUMPRODUCT(MAX(ISNUMBER(SEARCH(Rules!$A$5:$A$204,B1319))*(Rules!$A$5:$A$204&lt;&gt;"")*(1000-ROW(Rules!$A$5:$A$204)))),""))</f>
        <v/>
      </c>
    </row>
    <row r="1320" customFormat="false" ht="15" hidden="false" customHeight="false" outlineLevel="0" collapsed="false">
      <c r="A1320" s="23"/>
      <c r="B1320" s="24"/>
      <c r="C1320" s="25"/>
      <c r="D1320" s="24"/>
      <c r="E1320" s="21" t="str">
        <f aca="false">IF(OR(B1320="",N(N1320)=0,N1320=1000),IF(B1320="","","Check"),INDEX(Rules!$B:$B,N1320))</f>
        <v/>
      </c>
      <c r="F1320" s="21" t="str">
        <f aca="false">IF(OR(B1320="",N(N1320)=0,N1320=1000),"",INDEX(Rules!$C:$C,N1320))</f>
        <v/>
      </c>
      <c r="G1320" s="24"/>
      <c r="H1320" s="24"/>
      <c r="I1320" s="20" t="str">
        <f aca="false">IF(B1320="","",IF(G1320&lt;&gt;"",G1320,E1320))</f>
        <v/>
      </c>
      <c r="J1320" s="21" t="str">
        <f aca="false">IF(B1320="","",IF(H1320&lt;&gt;"",H1320,F1320))</f>
        <v/>
      </c>
      <c r="K1320" s="26" t="str">
        <f aca="false">IF(A1320="","",DATE(YEAR(A1320),MONTH(A1320),1))</f>
        <v/>
      </c>
      <c r="L1320" s="21" t="str">
        <f aca="false">IF(J1320="",IF(B1320="","",IF(N(C1320)&gt;=0,"Income","Expense")),IFERROR(INDEX(Lists!$B$2:$B$30,MATCH(J1320,Lists!$A$2:$A$30,0)),""))</f>
        <v/>
      </c>
      <c r="M1320" s="24"/>
      <c r="N1320" s="27" t="str">
        <f aca="false">IF(B1320="","",IFERROR(1000-SUMPRODUCT(MAX(ISNUMBER(SEARCH(Rules!$A$5:$A$204,B1320))*(Rules!$A$5:$A$204&lt;&gt;"")*(1000-ROW(Rules!$A$5:$A$204)))),""))</f>
        <v/>
      </c>
    </row>
    <row r="1321" customFormat="false" ht="15" hidden="false" customHeight="false" outlineLevel="0" collapsed="false">
      <c r="A1321" s="23"/>
      <c r="B1321" s="24"/>
      <c r="C1321" s="25"/>
      <c r="D1321" s="24"/>
      <c r="E1321" s="21" t="str">
        <f aca="false">IF(OR(B1321="",N(N1321)=0,N1321=1000),IF(B1321="","","Check"),INDEX(Rules!$B:$B,N1321))</f>
        <v/>
      </c>
      <c r="F1321" s="21" t="str">
        <f aca="false">IF(OR(B1321="",N(N1321)=0,N1321=1000),"",INDEX(Rules!$C:$C,N1321))</f>
        <v/>
      </c>
      <c r="G1321" s="24"/>
      <c r="H1321" s="24"/>
      <c r="I1321" s="20" t="str">
        <f aca="false">IF(B1321="","",IF(G1321&lt;&gt;"",G1321,E1321))</f>
        <v/>
      </c>
      <c r="J1321" s="21" t="str">
        <f aca="false">IF(B1321="","",IF(H1321&lt;&gt;"",H1321,F1321))</f>
        <v/>
      </c>
      <c r="K1321" s="26" t="str">
        <f aca="false">IF(A1321="","",DATE(YEAR(A1321),MONTH(A1321),1))</f>
        <v/>
      </c>
      <c r="L1321" s="21" t="str">
        <f aca="false">IF(J1321="",IF(B1321="","",IF(N(C1321)&gt;=0,"Income","Expense")),IFERROR(INDEX(Lists!$B$2:$B$30,MATCH(J1321,Lists!$A$2:$A$30,0)),""))</f>
        <v/>
      </c>
      <c r="M1321" s="24"/>
      <c r="N1321" s="27" t="str">
        <f aca="false">IF(B1321="","",IFERROR(1000-SUMPRODUCT(MAX(ISNUMBER(SEARCH(Rules!$A$5:$A$204,B1321))*(Rules!$A$5:$A$204&lt;&gt;"")*(1000-ROW(Rules!$A$5:$A$204)))),""))</f>
        <v/>
      </c>
    </row>
    <row r="1322" customFormat="false" ht="15" hidden="false" customHeight="false" outlineLevel="0" collapsed="false">
      <c r="A1322" s="23"/>
      <c r="B1322" s="24"/>
      <c r="C1322" s="25"/>
      <c r="D1322" s="24"/>
      <c r="E1322" s="21" t="str">
        <f aca="false">IF(OR(B1322="",N(N1322)=0,N1322=1000),IF(B1322="","","Check"),INDEX(Rules!$B:$B,N1322))</f>
        <v/>
      </c>
      <c r="F1322" s="21" t="str">
        <f aca="false">IF(OR(B1322="",N(N1322)=0,N1322=1000),"",INDEX(Rules!$C:$C,N1322))</f>
        <v/>
      </c>
      <c r="G1322" s="24"/>
      <c r="H1322" s="24"/>
      <c r="I1322" s="20" t="str">
        <f aca="false">IF(B1322="","",IF(G1322&lt;&gt;"",G1322,E1322))</f>
        <v/>
      </c>
      <c r="J1322" s="21" t="str">
        <f aca="false">IF(B1322="","",IF(H1322&lt;&gt;"",H1322,F1322))</f>
        <v/>
      </c>
      <c r="K1322" s="26" t="str">
        <f aca="false">IF(A1322="","",DATE(YEAR(A1322),MONTH(A1322),1))</f>
        <v/>
      </c>
      <c r="L1322" s="21" t="str">
        <f aca="false">IF(J1322="",IF(B1322="","",IF(N(C1322)&gt;=0,"Income","Expense")),IFERROR(INDEX(Lists!$B$2:$B$30,MATCH(J1322,Lists!$A$2:$A$30,0)),""))</f>
        <v/>
      </c>
      <c r="M1322" s="24"/>
      <c r="N1322" s="27" t="str">
        <f aca="false">IF(B1322="","",IFERROR(1000-SUMPRODUCT(MAX(ISNUMBER(SEARCH(Rules!$A$5:$A$204,B1322))*(Rules!$A$5:$A$204&lt;&gt;"")*(1000-ROW(Rules!$A$5:$A$204)))),""))</f>
        <v/>
      </c>
    </row>
    <row r="1323" customFormat="false" ht="15" hidden="false" customHeight="false" outlineLevel="0" collapsed="false">
      <c r="A1323" s="23"/>
      <c r="B1323" s="24"/>
      <c r="C1323" s="25"/>
      <c r="D1323" s="24"/>
      <c r="E1323" s="21" t="str">
        <f aca="false">IF(OR(B1323="",N(N1323)=0,N1323=1000),IF(B1323="","","Check"),INDEX(Rules!$B:$B,N1323))</f>
        <v/>
      </c>
      <c r="F1323" s="21" t="str">
        <f aca="false">IF(OR(B1323="",N(N1323)=0,N1323=1000),"",INDEX(Rules!$C:$C,N1323))</f>
        <v/>
      </c>
      <c r="G1323" s="24"/>
      <c r="H1323" s="24"/>
      <c r="I1323" s="20" t="str">
        <f aca="false">IF(B1323="","",IF(G1323&lt;&gt;"",G1323,E1323))</f>
        <v/>
      </c>
      <c r="J1323" s="21" t="str">
        <f aca="false">IF(B1323="","",IF(H1323&lt;&gt;"",H1323,F1323))</f>
        <v/>
      </c>
      <c r="K1323" s="26" t="str">
        <f aca="false">IF(A1323="","",DATE(YEAR(A1323),MONTH(A1323),1))</f>
        <v/>
      </c>
      <c r="L1323" s="21" t="str">
        <f aca="false">IF(J1323="",IF(B1323="","",IF(N(C1323)&gt;=0,"Income","Expense")),IFERROR(INDEX(Lists!$B$2:$B$30,MATCH(J1323,Lists!$A$2:$A$30,0)),""))</f>
        <v/>
      </c>
      <c r="M1323" s="24"/>
      <c r="N1323" s="27" t="str">
        <f aca="false">IF(B1323="","",IFERROR(1000-SUMPRODUCT(MAX(ISNUMBER(SEARCH(Rules!$A$5:$A$204,B1323))*(Rules!$A$5:$A$204&lt;&gt;"")*(1000-ROW(Rules!$A$5:$A$204)))),""))</f>
        <v/>
      </c>
    </row>
    <row r="1324" customFormat="false" ht="15" hidden="false" customHeight="false" outlineLevel="0" collapsed="false">
      <c r="A1324" s="23"/>
      <c r="B1324" s="24"/>
      <c r="C1324" s="25"/>
      <c r="D1324" s="24"/>
      <c r="E1324" s="21" t="str">
        <f aca="false">IF(OR(B1324="",N(N1324)=0,N1324=1000),IF(B1324="","","Check"),INDEX(Rules!$B:$B,N1324))</f>
        <v/>
      </c>
      <c r="F1324" s="21" t="str">
        <f aca="false">IF(OR(B1324="",N(N1324)=0,N1324=1000),"",INDEX(Rules!$C:$C,N1324))</f>
        <v/>
      </c>
      <c r="G1324" s="24"/>
      <c r="H1324" s="24"/>
      <c r="I1324" s="20" t="str">
        <f aca="false">IF(B1324="","",IF(G1324&lt;&gt;"",G1324,E1324))</f>
        <v/>
      </c>
      <c r="J1324" s="21" t="str">
        <f aca="false">IF(B1324="","",IF(H1324&lt;&gt;"",H1324,F1324))</f>
        <v/>
      </c>
      <c r="K1324" s="26" t="str">
        <f aca="false">IF(A1324="","",DATE(YEAR(A1324),MONTH(A1324),1))</f>
        <v/>
      </c>
      <c r="L1324" s="21" t="str">
        <f aca="false">IF(J1324="",IF(B1324="","",IF(N(C1324)&gt;=0,"Income","Expense")),IFERROR(INDEX(Lists!$B$2:$B$30,MATCH(J1324,Lists!$A$2:$A$30,0)),""))</f>
        <v/>
      </c>
      <c r="M1324" s="24"/>
      <c r="N1324" s="27" t="str">
        <f aca="false">IF(B1324="","",IFERROR(1000-SUMPRODUCT(MAX(ISNUMBER(SEARCH(Rules!$A$5:$A$204,B1324))*(Rules!$A$5:$A$204&lt;&gt;"")*(1000-ROW(Rules!$A$5:$A$204)))),""))</f>
        <v/>
      </c>
    </row>
    <row r="1325" customFormat="false" ht="15" hidden="false" customHeight="false" outlineLevel="0" collapsed="false">
      <c r="A1325" s="23"/>
      <c r="B1325" s="24"/>
      <c r="C1325" s="25"/>
      <c r="D1325" s="24"/>
      <c r="E1325" s="21" t="str">
        <f aca="false">IF(OR(B1325="",N(N1325)=0,N1325=1000),IF(B1325="","","Check"),INDEX(Rules!$B:$B,N1325))</f>
        <v/>
      </c>
      <c r="F1325" s="21" t="str">
        <f aca="false">IF(OR(B1325="",N(N1325)=0,N1325=1000),"",INDEX(Rules!$C:$C,N1325))</f>
        <v/>
      </c>
      <c r="G1325" s="24"/>
      <c r="H1325" s="24"/>
      <c r="I1325" s="20" t="str">
        <f aca="false">IF(B1325="","",IF(G1325&lt;&gt;"",G1325,E1325))</f>
        <v/>
      </c>
      <c r="J1325" s="21" t="str">
        <f aca="false">IF(B1325="","",IF(H1325&lt;&gt;"",H1325,F1325))</f>
        <v/>
      </c>
      <c r="K1325" s="26" t="str">
        <f aca="false">IF(A1325="","",DATE(YEAR(A1325),MONTH(A1325),1))</f>
        <v/>
      </c>
      <c r="L1325" s="21" t="str">
        <f aca="false">IF(J1325="",IF(B1325="","",IF(N(C1325)&gt;=0,"Income","Expense")),IFERROR(INDEX(Lists!$B$2:$B$30,MATCH(J1325,Lists!$A$2:$A$30,0)),""))</f>
        <v/>
      </c>
      <c r="M1325" s="24"/>
      <c r="N1325" s="27" t="str">
        <f aca="false">IF(B1325="","",IFERROR(1000-SUMPRODUCT(MAX(ISNUMBER(SEARCH(Rules!$A$5:$A$204,B1325))*(Rules!$A$5:$A$204&lt;&gt;"")*(1000-ROW(Rules!$A$5:$A$204)))),""))</f>
        <v/>
      </c>
    </row>
    <row r="1326" customFormat="false" ht="15" hidden="false" customHeight="false" outlineLevel="0" collapsed="false">
      <c r="A1326" s="23"/>
      <c r="B1326" s="24"/>
      <c r="C1326" s="25"/>
      <c r="D1326" s="24"/>
      <c r="E1326" s="21" t="str">
        <f aca="false">IF(OR(B1326="",N(N1326)=0,N1326=1000),IF(B1326="","","Check"),INDEX(Rules!$B:$B,N1326))</f>
        <v/>
      </c>
      <c r="F1326" s="21" t="str">
        <f aca="false">IF(OR(B1326="",N(N1326)=0,N1326=1000),"",INDEX(Rules!$C:$C,N1326))</f>
        <v/>
      </c>
      <c r="G1326" s="24"/>
      <c r="H1326" s="24"/>
      <c r="I1326" s="20" t="str">
        <f aca="false">IF(B1326="","",IF(G1326&lt;&gt;"",G1326,E1326))</f>
        <v/>
      </c>
      <c r="J1326" s="21" t="str">
        <f aca="false">IF(B1326="","",IF(H1326&lt;&gt;"",H1326,F1326))</f>
        <v/>
      </c>
      <c r="K1326" s="26" t="str">
        <f aca="false">IF(A1326="","",DATE(YEAR(A1326),MONTH(A1326),1))</f>
        <v/>
      </c>
      <c r="L1326" s="21" t="str">
        <f aca="false">IF(J1326="",IF(B1326="","",IF(N(C1326)&gt;=0,"Income","Expense")),IFERROR(INDEX(Lists!$B$2:$B$30,MATCH(J1326,Lists!$A$2:$A$30,0)),""))</f>
        <v/>
      </c>
      <c r="M1326" s="24"/>
      <c r="N1326" s="27" t="str">
        <f aca="false">IF(B1326="","",IFERROR(1000-SUMPRODUCT(MAX(ISNUMBER(SEARCH(Rules!$A$5:$A$204,B1326))*(Rules!$A$5:$A$204&lt;&gt;"")*(1000-ROW(Rules!$A$5:$A$204)))),""))</f>
        <v/>
      </c>
    </row>
    <row r="1327" customFormat="false" ht="15" hidden="false" customHeight="false" outlineLevel="0" collapsed="false">
      <c r="A1327" s="23"/>
      <c r="B1327" s="24"/>
      <c r="C1327" s="25"/>
      <c r="D1327" s="24"/>
      <c r="E1327" s="21" t="str">
        <f aca="false">IF(OR(B1327="",N(N1327)=0,N1327=1000),IF(B1327="","","Check"),INDEX(Rules!$B:$B,N1327))</f>
        <v/>
      </c>
      <c r="F1327" s="21" t="str">
        <f aca="false">IF(OR(B1327="",N(N1327)=0,N1327=1000),"",INDEX(Rules!$C:$C,N1327))</f>
        <v/>
      </c>
      <c r="G1327" s="24"/>
      <c r="H1327" s="24"/>
      <c r="I1327" s="20" t="str">
        <f aca="false">IF(B1327="","",IF(G1327&lt;&gt;"",G1327,E1327))</f>
        <v/>
      </c>
      <c r="J1327" s="21" t="str">
        <f aca="false">IF(B1327="","",IF(H1327&lt;&gt;"",H1327,F1327))</f>
        <v/>
      </c>
      <c r="K1327" s="26" t="str">
        <f aca="false">IF(A1327="","",DATE(YEAR(A1327),MONTH(A1327),1))</f>
        <v/>
      </c>
      <c r="L1327" s="21" t="str">
        <f aca="false">IF(J1327="",IF(B1327="","",IF(N(C1327)&gt;=0,"Income","Expense")),IFERROR(INDEX(Lists!$B$2:$B$30,MATCH(J1327,Lists!$A$2:$A$30,0)),""))</f>
        <v/>
      </c>
      <c r="M1327" s="24"/>
      <c r="N1327" s="27" t="str">
        <f aca="false">IF(B1327="","",IFERROR(1000-SUMPRODUCT(MAX(ISNUMBER(SEARCH(Rules!$A$5:$A$204,B1327))*(Rules!$A$5:$A$204&lt;&gt;"")*(1000-ROW(Rules!$A$5:$A$204)))),""))</f>
        <v/>
      </c>
    </row>
    <row r="1328" customFormat="false" ht="15" hidden="false" customHeight="false" outlineLevel="0" collapsed="false">
      <c r="A1328" s="23"/>
      <c r="B1328" s="24"/>
      <c r="C1328" s="25"/>
      <c r="D1328" s="24"/>
      <c r="E1328" s="21" t="str">
        <f aca="false">IF(OR(B1328="",N(N1328)=0,N1328=1000),IF(B1328="","","Check"),INDEX(Rules!$B:$B,N1328))</f>
        <v/>
      </c>
      <c r="F1328" s="21" t="str">
        <f aca="false">IF(OR(B1328="",N(N1328)=0,N1328=1000),"",INDEX(Rules!$C:$C,N1328))</f>
        <v/>
      </c>
      <c r="G1328" s="24"/>
      <c r="H1328" s="24"/>
      <c r="I1328" s="20" t="str">
        <f aca="false">IF(B1328="","",IF(G1328&lt;&gt;"",G1328,E1328))</f>
        <v/>
      </c>
      <c r="J1328" s="21" t="str">
        <f aca="false">IF(B1328="","",IF(H1328&lt;&gt;"",H1328,F1328))</f>
        <v/>
      </c>
      <c r="K1328" s="26" t="str">
        <f aca="false">IF(A1328="","",DATE(YEAR(A1328),MONTH(A1328),1))</f>
        <v/>
      </c>
      <c r="L1328" s="21" t="str">
        <f aca="false">IF(J1328="",IF(B1328="","",IF(N(C1328)&gt;=0,"Income","Expense")),IFERROR(INDEX(Lists!$B$2:$B$30,MATCH(J1328,Lists!$A$2:$A$30,0)),""))</f>
        <v/>
      </c>
      <c r="M1328" s="24"/>
      <c r="N1328" s="27" t="str">
        <f aca="false">IF(B1328="","",IFERROR(1000-SUMPRODUCT(MAX(ISNUMBER(SEARCH(Rules!$A$5:$A$204,B1328))*(Rules!$A$5:$A$204&lt;&gt;"")*(1000-ROW(Rules!$A$5:$A$204)))),""))</f>
        <v/>
      </c>
    </row>
    <row r="1329" customFormat="false" ht="15" hidden="false" customHeight="false" outlineLevel="0" collapsed="false">
      <c r="A1329" s="23"/>
      <c r="B1329" s="24"/>
      <c r="C1329" s="25"/>
      <c r="D1329" s="24"/>
      <c r="E1329" s="21" t="str">
        <f aca="false">IF(OR(B1329="",N(N1329)=0,N1329=1000),IF(B1329="","","Check"),INDEX(Rules!$B:$B,N1329))</f>
        <v/>
      </c>
      <c r="F1329" s="21" t="str">
        <f aca="false">IF(OR(B1329="",N(N1329)=0,N1329=1000),"",INDEX(Rules!$C:$C,N1329))</f>
        <v/>
      </c>
      <c r="G1329" s="24"/>
      <c r="H1329" s="24"/>
      <c r="I1329" s="20" t="str">
        <f aca="false">IF(B1329="","",IF(G1329&lt;&gt;"",G1329,E1329))</f>
        <v/>
      </c>
      <c r="J1329" s="21" t="str">
        <f aca="false">IF(B1329="","",IF(H1329&lt;&gt;"",H1329,F1329))</f>
        <v/>
      </c>
      <c r="K1329" s="26" t="str">
        <f aca="false">IF(A1329="","",DATE(YEAR(A1329),MONTH(A1329),1))</f>
        <v/>
      </c>
      <c r="L1329" s="21" t="str">
        <f aca="false">IF(J1329="",IF(B1329="","",IF(N(C1329)&gt;=0,"Income","Expense")),IFERROR(INDEX(Lists!$B$2:$B$30,MATCH(J1329,Lists!$A$2:$A$30,0)),""))</f>
        <v/>
      </c>
      <c r="M1329" s="24"/>
      <c r="N1329" s="27" t="str">
        <f aca="false">IF(B1329="","",IFERROR(1000-SUMPRODUCT(MAX(ISNUMBER(SEARCH(Rules!$A$5:$A$204,B1329))*(Rules!$A$5:$A$204&lt;&gt;"")*(1000-ROW(Rules!$A$5:$A$204)))),""))</f>
        <v/>
      </c>
    </row>
    <row r="1330" customFormat="false" ht="15" hidden="false" customHeight="false" outlineLevel="0" collapsed="false">
      <c r="A1330" s="23"/>
      <c r="B1330" s="24"/>
      <c r="C1330" s="25"/>
      <c r="D1330" s="24"/>
      <c r="E1330" s="21" t="str">
        <f aca="false">IF(OR(B1330="",N(N1330)=0,N1330=1000),IF(B1330="","","Check"),INDEX(Rules!$B:$B,N1330))</f>
        <v/>
      </c>
      <c r="F1330" s="21" t="str">
        <f aca="false">IF(OR(B1330="",N(N1330)=0,N1330=1000),"",INDEX(Rules!$C:$C,N1330))</f>
        <v/>
      </c>
      <c r="G1330" s="24"/>
      <c r="H1330" s="24"/>
      <c r="I1330" s="20" t="str">
        <f aca="false">IF(B1330="","",IF(G1330&lt;&gt;"",G1330,E1330))</f>
        <v/>
      </c>
      <c r="J1330" s="21" t="str">
        <f aca="false">IF(B1330="","",IF(H1330&lt;&gt;"",H1330,F1330))</f>
        <v/>
      </c>
      <c r="K1330" s="26" t="str">
        <f aca="false">IF(A1330="","",DATE(YEAR(A1330),MONTH(A1330),1))</f>
        <v/>
      </c>
      <c r="L1330" s="21" t="str">
        <f aca="false">IF(J1330="",IF(B1330="","",IF(N(C1330)&gt;=0,"Income","Expense")),IFERROR(INDEX(Lists!$B$2:$B$30,MATCH(J1330,Lists!$A$2:$A$30,0)),""))</f>
        <v/>
      </c>
      <c r="M1330" s="24"/>
      <c r="N1330" s="27" t="str">
        <f aca="false">IF(B1330="","",IFERROR(1000-SUMPRODUCT(MAX(ISNUMBER(SEARCH(Rules!$A$5:$A$204,B1330))*(Rules!$A$5:$A$204&lt;&gt;"")*(1000-ROW(Rules!$A$5:$A$204)))),""))</f>
        <v/>
      </c>
    </row>
    <row r="1331" customFormat="false" ht="15" hidden="false" customHeight="false" outlineLevel="0" collapsed="false">
      <c r="A1331" s="23"/>
      <c r="B1331" s="24"/>
      <c r="C1331" s="25"/>
      <c r="D1331" s="24"/>
      <c r="E1331" s="21" t="str">
        <f aca="false">IF(OR(B1331="",N(N1331)=0,N1331=1000),IF(B1331="","","Check"),INDEX(Rules!$B:$B,N1331))</f>
        <v/>
      </c>
      <c r="F1331" s="21" t="str">
        <f aca="false">IF(OR(B1331="",N(N1331)=0,N1331=1000),"",INDEX(Rules!$C:$C,N1331))</f>
        <v/>
      </c>
      <c r="G1331" s="24"/>
      <c r="H1331" s="24"/>
      <c r="I1331" s="20" t="str">
        <f aca="false">IF(B1331="","",IF(G1331&lt;&gt;"",G1331,E1331))</f>
        <v/>
      </c>
      <c r="J1331" s="21" t="str">
        <f aca="false">IF(B1331="","",IF(H1331&lt;&gt;"",H1331,F1331))</f>
        <v/>
      </c>
      <c r="K1331" s="26" t="str">
        <f aca="false">IF(A1331="","",DATE(YEAR(A1331),MONTH(A1331),1))</f>
        <v/>
      </c>
      <c r="L1331" s="21" t="str">
        <f aca="false">IF(J1331="",IF(B1331="","",IF(N(C1331)&gt;=0,"Income","Expense")),IFERROR(INDEX(Lists!$B$2:$B$30,MATCH(J1331,Lists!$A$2:$A$30,0)),""))</f>
        <v/>
      </c>
      <c r="M1331" s="24"/>
      <c r="N1331" s="27" t="str">
        <f aca="false">IF(B1331="","",IFERROR(1000-SUMPRODUCT(MAX(ISNUMBER(SEARCH(Rules!$A$5:$A$204,B1331))*(Rules!$A$5:$A$204&lt;&gt;"")*(1000-ROW(Rules!$A$5:$A$204)))),""))</f>
        <v/>
      </c>
    </row>
    <row r="1332" customFormat="false" ht="15" hidden="false" customHeight="false" outlineLevel="0" collapsed="false">
      <c r="A1332" s="23"/>
      <c r="B1332" s="24"/>
      <c r="C1332" s="25"/>
      <c r="D1332" s="24"/>
      <c r="E1332" s="21" t="str">
        <f aca="false">IF(OR(B1332="",N(N1332)=0,N1332=1000),IF(B1332="","","Check"),INDEX(Rules!$B:$B,N1332))</f>
        <v/>
      </c>
      <c r="F1332" s="21" t="str">
        <f aca="false">IF(OR(B1332="",N(N1332)=0,N1332=1000),"",INDEX(Rules!$C:$C,N1332))</f>
        <v/>
      </c>
      <c r="G1332" s="24"/>
      <c r="H1332" s="24"/>
      <c r="I1332" s="20" t="str">
        <f aca="false">IF(B1332="","",IF(G1332&lt;&gt;"",G1332,E1332))</f>
        <v/>
      </c>
      <c r="J1332" s="21" t="str">
        <f aca="false">IF(B1332="","",IF(H1332&lt;&gt;"",H1332,F1332))</f>
        <v/>
      </c>
      <c r="K1332" s="26" t="str">
        <f aca="false">IF(A1332="","",DATE(YEAR(A1332),MONTH(A1332),1))</f>
        <v/>
      </c>
      <c r="L1332" s="21" t="str">
        <f aca="false">IF(J1332="",IF(B1332="","",IF(N(C1332)&gt;=0,"Income","Expense")),IFERROR(INDEX(Lists!$B$2:$B$30,MATCH(J1332,Lists!$A$2:$A$30,0)),""))</f>
        <v/>
      </c>
      <c r="M1332" s="24"/>
      <c r="N1332" s="27" t="str">
        <f aca="false">IF(B1332="","",IFERROR(1000-SUMPRODUCT(MAX(ISNUMBER(SEARCH(Rules!$A$5:$A$204,B1332))*(Rules!$A$5:$A$204&lt;&gt;"")*(1000-ROW(Rules!$A$5:$A$204)))),""))</f>
        <v/>
      </c>
    </row>
    <row r="1333" customFormat="false" ht="15" hidden="false" customHeight="false" outlineLevel="0" collapsed="false">
      <c r="A1333" s="23"/>
      <c r="B1333" s="24"/>
      <c r="C1333" s="25"/>
      <c r="D1333" s="24"/>
      <c r="E1333" s="21" t="str">
        <f aca="false">IF(OR(B1333="",N(N1333)=0,N1333=1000),IF(B1333="","","Check"),INDEX(Rules!$B:$B,N1333))</f>
        <v/>
      </c>
      <c r="F1333" s="21" t="str">
        <f aca="false">IF(OR(B1333="",N(N1333)=0,N1333=1000),"",INDEX(Rules!$C:$C,N1333))</f>
        <v/>
      </c>
      <c r="G1333" s="24"/>
      <c r="H1333" s="24"/>
      <c r="I1333" s="20" t="str">
        <f aca="false">IF(B1333="","",IF(G1333&lt;&gt;"",G1333,E1333))</f>
        <v/>
      </c>
      <c r="J1333" s="21" t="str">
        <f aca="false">IF(B1333="","",IF(H1333&lt;&gt;"",H1333,F1333))</f>
        <v/>
      </c>
      <c r="K1333" s="26" t="str">
        <f aca="false">IF(A1333="","",DATE(YEAR(A1333),MONTH(A1333),1))</f>
        <v/>
      </c>
      <c r="L1333" s="21" t="str">
        <f aca="false">IF(J1333="",IF(B1333="","",IF(N(C1333)&gt;=0,"Income","Expense")),IFERROR(INDEX(Lists!$B$2:$B$30,MATCH(J1333,Lists!$A$2:$A$30,0)),""))</f>
        <v/>
      </c>
      <c r="M1333" s="24"/>
      <c r="N1333" s="27" t="str">
        <f aca="false">IF(B1333="","",IFERROR(1000-SUMPRODUCT(MAX(ISNUMBER(SEARCH(Rules!$A$5:$A$204,B1333))*(Rules!$A$5:$A$204&lt;&gt;"")*(1000-ROW(Rules!$A$5:$A$204)))),""))</f>
        <v/>
      </c>
    </row>
    <row r="1334" customFormat="false" ht="15" hidden="false" customHeight="false" outlineLevel="0" collapsed="false">
      <c r="A1334" s="23"/>
      <c r="B1334" s="24"/>
      <c r="C1334" s="25"/>
      <c r="D1334" s="24"/>
      <c r="E1334" s="21" t="str">
        <f aca="false">IF(OR(B1334="",N(N1334)=0,N1334=1000),IF(B1334="","","Check"),INDEX(Rules!$B:$B,N1334))</f>
        <v/>
      </c>
      <c r="F1334" s="21" t="str">
        <f aca="false">IF(OR(B1334="",N(N1334)=0,N1334=1000),"",INDEX(Rules!$C:$C,N1334))</f>
        <v/>
      </c>
      <c r="G1334" s="24"/>
      <c r="H1334" s="24"/>
      <c r="I1334" s="20" t="str">
        <f aca="false">IF(B1334="","",IF(G1334&lt;&gt;"",G1334,E1334))</f>
        <v/>
      </c>
      <c r="J1334" s="21" t="str">
        <f aca="false">IF(B1334="","",IF(H1334&lt;&gt;"",H1334,F1334))</f>
        <v/>
      </c>
      <c r="K1334" s="26" t="str">
        <f aca="false">IF(A1334="","",DATE(YEAR(A1334),MONTH(A1334),1))</f>
        <v/>
      </c>
      <c r="L1334" s="21" t="str">
        <f aca="false">IF(J1334="",IF(B1334="","",IF(N(C1334)&gt;=0,"Income","Expense")),IFERROR(INDEX(Lists!$B$2:$B$30,MATCH(J1334,Lists!$A$2:$A$30,0)),""))</f>
        <v/>
      </c>
      <c r="M1334" s="24"/>
      <c r="N1334" s="27" t="str">
        <f aca="false">IF(B1334="","",IFERROR(1000-SUMPRODUCT(MAX(ISNUMBER(SEARCH(Rules!$A$5:$A$204,B1334))*(Rules!$A$5:$A$204&lt;&gt;"")*(1000-ROW(Rules!$A$5:$A$204)))),""))</f>
        <v/>
      </c>
    </row>
    <row r="1335" customFormat="false" ht="15" hidden="false" customHeight="false" outlineLevel="0" collapsed="false">
      <c r="A1335" s="23"/>
      <c r="B1335" s="24"/>
      <c r="C1335" s="25"/>
      <c r="D1335" s="24"/>
      <c r="E1335" s="21" t="str">
        <f aca="false">IF(OR(B1335="",N(N1335)=0,N1335=1000),IF(B1335="","","Check"),INDEX(Rules!$B:$B,N1335))</f>
        <v/>
      </c>
      <c r="F1335" s="21" t="str">
        <f aca="false">IF(OR(B1335="",N(N1335)=0,N1335=1000),"",INDEX(Rules!$C:$C,N1335))</f>
        <v/>
      </c>
      <c r="G1335" s="24"/>
      <c r="H1335" s="24"/>
      <c r="I1335" s="20" t="str">
        <f aca="false">IF(B1335="","",IF(G1335&lt;&gt;"",G1335,E1335))</f>
        <v/>
      </c>
      <c r="J1335" s="21" t="str">
        <f aca="false">IF(B1335="","",IF(H1335&lt;&gt;"",H1335,F1335))</f>
        <v/>
      </c>
      <c r="K1335" s="26" t="str">
        <f aca="false">IF(A1335="","",DATE(YEAR(A1335),MONTH(A1335),1))</f>
        <v/>
      </c>
      <c r="L1335" s="21" t="str">
        <f aca="false">IF(J1335="",IF(B1335="","",IF(N(C1335)&gt;=0,"Income","Expense")),IFERROR(INDEX(Lists!$B$2:$B$30,MATCH(J1335,Lists!$A$2:$A$30,0)),""))</f>
        <v/>
      </c>
      <c r="M1335" s="24"/>
      <c r="N1335" s="27" t="str">
        <f aca="false">IF(B1335="","",IFERROR(1000-SUMPRODUCT(MAX(ISNUMBER(SEARCH(Rules!$A$5:$A$204,B1335))*(Rules!$A$5:$A$204&lt;&gt;"")*(1000-ROW(Rules!$A$5:$A$204)))),""))</f>
        <v/>
      </c>
    </row>
    <row r="1336" customFormat="false" ht="15" hidden="false" customHeight="false" outlineLevel="0" collapsed="false">
      <c r="A1336" s="23"/>
      <c r="B1336" s="24"/>
      <c r="C1336" s="25"/>
      <c r="D1336" s="24"/>
      <c r="E1336" s="21" t="str">
        <f aca="false">IF(OR(B1336="",N(N1336)=0,N1336=1000),IF(B1336="","","Check"),INDEX(Rules!$B:$B,N1336))</f>
        <v/>
      </c>
      <c r="F1336" s="21" t="str">
        <f aca="false">IF(OR(B1336="",N(N1336)=0,N1336=1000),"",INDEX(Rules!$C:$C,N1336))</f>
        <v/>
      </c>
      <c r="G1336" s="24"/>
      <c r="H1336" s="24"/>
      <c r="I1336" s="20" t="str">
        <f aca="false">IF(B1336="","",IF(G1336&lt;&gt;"",G1336,E1336))</f>
        <v/>
      </c>
      <c r="J1336" s="21" t="str">
        <f aca="false">IF(B1336="","",IF(H1336&lt;&gt;"",H1336,F1336))</f>
        <v/>
      </c>
      <c r="K1336" s="26" t="str">
        <f aca="false">IF(A1336="","",DATE(YEAR(A1336),MONTH(A1336),1))</f>
        <v/>
      </c>
      <c r="L1336" s="21" t="str">
        <f aca="false">IF(J1336="",IF(B1336="","",IF(N(C1336)&gt;=0,"Income","Expense")),IFERROR(INDEX(Lists!$B$2:$B$30,MATCH(J1336,Lists!$A$2:$A$30,0)),""))</f>
        <v/>
      </c>
      <c r="M1336" s="24"/>
      <c r="N1336" s="27" t="str">
        <f aca="false">IF(B1336="","",IFERROR(1000-SUMPRODUCT(MAX(ISNUMBER(SEARCH(Rules!$A$5:$A$204,B1336))*(Rules!$A$5:$A$204&lt;&gt;"")*(1000-ROW(Rules!$A$5:$A$204)))),""))</f>
        <v/>
      </c>
    </row>
    <row r="1337" customFormat="false" ht="15" hidden="false" customHeight="false" outlineLevel="0" collapsed="false">
      <c r="A1337" s="23"/>
      <c r="B1337" s="24"/>
      <c r="C1337" s="25"/>
      <c r="D1337" s="24"/>
      <c r="E1337" s="21" t="str">
        <f aca="false">IF(OR(B1337="",N(N1337)=0,N1337=1000),IF(B1337="","","Check"),INDEX(Rules!$B:$B,N1337))</f>
        <v/>
      </c>
      <c r="F1337" s="21" t="str">
        <f aca="false">IF(OR(B1337="",N(N1337)=0,N1337=1000),"",INDEX(Rules!$C:$C,N1337))</f>
        <v/>
      </c>
      <c r="G1337" s="24"/>
      <c r="H1337" s="24"/>
      <c r="I1337" s="20" t="str">
        <f aca="false">IF(B1337="","",IF(G1337&lt;&gt;"",G1337,E1337))</f>
        <v/>
      </c>
      <c r="J1337" s="21" t="str">
        <f aca="false">IF(B1337="","",IF(H1337&lt;&gt;"",H1337,F1337))</f>
        <v/>
      </c>
      <c r="K1337" s="26" t="str">
        <f aca="false">IF(A1337="","",DATE(YEAR(A1337),MONTH(A1337),1))</f>
        <v/>
      </c>
      <c r="L1337" s="21" t="str">
        <f aca="false">IF(J1337="",IF(B1337="","",IF(N(C1337)&gt;=0,"Income","Expense")),IFERROR(INDEX(Lists!$B$2:$B$30,MATCH(J1337,Lists!$A$2:$A$30,0)),""))</f>
        <v/>
      </c>
      <c r="M1337" s="24"/>
      <c r="N1337" s="27" t="str">
        <f aca="false">IF(B1337="","",IFERROR(1000-SUMPRODUCT(MAX(ISNUMBER(SEARCH(Rules!$A$5:$A$204,B1337))*(Rules!$A$5:$A$204&lt;&gt;"")*(1000-ROW(Rules!$A$5:$A$204)))),""))</f>
        <v/>
      </c>
    </row>
    <row r="1338" customFormat="false" ht="15" hidden="false" customHeight="false" outlineLevel="0" collapsed="false">
      <c r="A1338" s="23"/>
      <c r="B1338" s="24"/>
      <c r="C1338" s="25"/>
      <c r="D1338" s="24"/>
      <c r="E1338" s="21" t="str">
        <f aca="false">IF(OR(B1338="",N(N1338)=0,N1338=1000),IF(B1338="","","Check"),INDEX(Rules!$B:$B,N1338))</f>
        <v/>
      </c>
      <c r="F1338" s="21" t="str">
        <f aca="false">IF(OR(B1338="",N(N1338)=0,N1338=1000),"",INDEX(Rules!$C:$C,N1338))</f>
        <v/>
      </c>
      <c r="G1338" s="24"/>
      <c r="H1338" s="24"/>
      <c r="I1338" s="20" t="str">
        <f aca="false">IF(B1338="","",IF(G1338&lt;&gt;"",G1338,E1338))</f>
        <v/>
      </c>
      <c r="J1338" s="21" t="str">
        <f aca="false">IF(B1338="","",IF(H1338&lt;&gt;"",H1338,F1338))</f>
        <v/>
      </c>
      <c r="K1338" s="26" t="str">
        <f aca="false">IF(A1338="","",DATE(YEAR(A1338),MONTH(A1338),1))</f>
        <v/>
      </c>
      <c r="L1338" s="21" t="str">
        <f aca="false">IF(J1338="",IF(B1338="","",IF(N(C1338)&gt;=0,"Income","Expense")),IFERROR(INDEX(Lists!$B$2:$B$30,MATCH(J1338,Lists!$A$2:$A$30,0)),""))</f>
        <v/>
      </c>
      <c r="M1338" s="24"/>
      <c r="N1338" s="27" t="str">
        <f aca="false">IF(B1338="","",IFERROR(1000-SUMPRODUCT(MAX(ISNUMBER(SEARCH(Rules!$A$5:$A$204,B1338))*(Rules!$A$5:$A$204&lt;&gt;"")*(1000-ROW(Rules!$A$5:$A$204)))),""))</f>
        <v/>
      </c>
    </row>
    <row r="1339" customFormat="false" ht="15" hidden="false" customHeight="false" outlineLevel="0" collapsed="false">
      <c r="A1339" s="23"/>
      <c r="B1339" s="24"/>
      <c r="C1339" s="25"/>
      <c r="D1339" s="24"/>
      <c r="E1339" s="21" t="str">
        <f aca="false">IF(OR(B1339="",N(N1339)=0,N1339=1000),IF(B1339="","","Check"),INDEX(Rules!$B:$B,N1339))</f>
        <v/>
      </c>
      <c r="F1339" s="21" t="str">
        <f aca="false">IF(OR(B1339="",N(N1339)=0,N1339=1000),"",INDEX(Rules!$C:$C,N1339))</f>
        <v/>
      </c>
      <c r="G1339" s="24"/>
      <c r="H1339" s="24"/>
      <c r="I1339" s="20" t="str">
        <f aca="false">IF(B1339="","",IF(G1339&lt;&gt;"",G1339,E1339))</f>
        <v/>
      </c>
      <c r="J1339" s="21" t="str">
        <f aca="false">IF(B1339="","",IF(H1339&lt;&gt;"",H1339,F1339))</f>
        <v/>
      </c>
      <c r="K1339" s="26" t="str">
        <f aca="false">IF(A1339="","",DATE(YEAR(A1339),MONTH(A1339),1))</f>
        <v/>
      </c>
      <c r="L1339" s="21" t="str">
        <f aca="false">IF(J1339="",IF(B1339="","",IF(N(C1339)&gt;=0,"Income","Expense")),IFERROR(INDEX(Lists!$B$2:$B$30,MATCH(J1339,Lists!$A$2:$A$30,0)),""))</f>
        <v/>
      </c>
      <c r="M1339" s="24"/>
      <c r="N1339" s="27" t="str">
        <f aca="false">IF(B1339="","",IFERROR(1000-SUMPRODUCT(MAX(ISNUMBER(SEARCH(Rules!$A$5:$A$204,B1339))*(Rules!$A$5:$A$204&lt;&gt;"")*(1000-ROW(Rules!$A$5:$A$204)))),""))</f>
        <v/>
      </c>
    </row>
    <row r="1340" customFormat="false" ht="15" hidden="false" customHeight="false" outlineLevel="0" collapsed="false">
      <c r="A1340" s="23"/>
      <c r="B1340" s="24"/>
      <c r="C1340" s="25"/>
      <c r="D1340" s="24"/>
      <c r="E1340" s="21" t="str">
        <f aca="false">IF(OR(B1340="",N(N1340)=0,N1340=1000),IF(B1340="","","Check"),INDEX(Rules!$B:$B,N1340))</f>
        <v/>
      </c>
      <c r="F1340" s="21" t="str">
        <f aca="false">IF(OR(B1340="",N(N1340)=0,N1340=1000),"",INDEX(Rules!$C:$C,N1340))</f>
        <v/>
      </c>
      <c r="G1340" s="24"/>
      <c r="H1340" s="24"/>
      <c r="I1340" s="20" t="str">
        <f aca="false">IF(B1340="","",IF(G1340&lt;&gt;"",G1340,E1340))</f>
        <v/>
      </c>
      <c r="J1340" s="21" t="str">
        <f aca="false">IF(B1340="","",IF(H1340&lt;&gt;"",H1340,F1340))</f>
        <v/>
      </c>
      <c r="K1340" s="26" t="str">
        <f aca="false">IF(A1340="","",DATE(YEAR(A1340),MONTH(A1340),1))</f>
        <v/>
      </c>
      <c r="L1340" s="21" t="str">
        <f aca="false">IF(J1340="",IF(B1340="","",IF(N(C1340)&gt;=0,"Income","Expense")),IFERROR(INDEX(Lists!$B$2:$B$30,MATCH(J1340,Lists!$A$2:$A$30,0)),""))</f>
        <v/>
      </c>
      <c r="M1340" s="24"/>
      <c r="N1340" s="27" t="str">
        <f aca="false">IF(B1340="","",IFERROR(1000-SUMPRODUCT(MAX(ISNUMBER(SEARCH(Rules!$A$5:$A$204,B1340))*(Rules!$A$5:$A$204&lt;&gt;"")*(1000-ROW(Rules!$A$5:$A$204)))),""))</f>
        <v/>
      </c>
    </row>
    <row r="1341" customFormat="false" ht="15" hidden="false" customHeight="false" outlineLevel="0" collapsed="false">
      <c r="A1341" s="23"/>
      <c r="B1341" s="24"/>
      <c r="C1341" s="25"/>
      <c r="D1341" s="24"/>
      <c r="E1341" s="21" t="str">
        <f aca="false">IF(OR(B1341="",N(N1341)=0,N1341=1000),IF(B1341="","","Check"),INDEX(Rules!$B:$B,N1341))</f>
        <v/>
      </c>
      <c r="F1341" s="21" t="str">
        <f aca="false">IF(OR(B1341="",N(N1341)=0,N1341=1000),"",INDEX(Rules!$C:$C,N1341))</f>
        <v/>
      </c>
      <c r="G1341" s="24"/>
      <c r="H1341" s="24"/>
      <c r="I1341" s="20" t="str">
        <f aca="false">IF(B1341="","",IF(G1341&lt;&gt;"",G1341,E1341))</f>
        <v/>
      </c>
      <c r="J1341" s="21" t="str">
        <f aca="false">IF(B1341="","",IF(H1341&lt;&gt;"",H1341,F1341))</f>
        <v/>
      </c>
      <c r="K1341" s="26" t="str">
        <f aca="false">IF(A1341="","",DATE(YEAR(A1341),MONTH(A1341),1))</f>
        <v/>
      </c>
      <c r="L1341" s="21" t="str">
        <f aca="false">IF(J1341="",IF(B1341="","",IF(N(C1341)&gt;=0,"Income","Expense")),IFERROR(INDEX(Lists!$B$2:$B$30,MATCH(J1341,Lists!$A$2:$A$30,0)),""))</f>
        <v/>
      </c>
      <c r="M1341" s="24"/>
      <c r="N1341" s="27" t="str">
        <f aca="false">IF(B1341="","",IFERROR(1000-SUMPRODUCT(MAX(ISNUMBER(SEARCH(Rules!$A$5:$A$204,B1341))*(Rules!$A$5:$A$204&lt;&gt;"")*(1000-ROW(Rules!$A$5:$A$204)))),""))</f>
        <v/>
      </c>
    </row>
    <row r="1342" customFormat="false" ht="15" hidden="false" customHeight="false" outlineLevel="0" collapsed="false">
      <c r="A1342" s="23"/>
      <c r="B1342" s="24"/>
      <c r="C1342" s="25"/>
      <c r="D1342" s="24"/>
      <c r="E1342" s="21" t="str">
        <f aca="false">IF(OR(B1342="",N(N1342)=0,N1342=1000),IF(B1342="","","Check"),INDEX(Rules!$B:$B,N1342))</f>
        <v/>
      </c>
      <c r="F1342" s="21" t="str">
        <f aca="false">IF(OR(B1342="",N(N1342)=0,N1342=1000),"",INDEX(Rules!$C:$C,N1342))</f>
        <v/>
      </c>
      <c r="G1342" s="24"/>
      <c r="H1342" s="24"/>
      <c r="I1342" s="20" t="str">
        <f aca="false">IF(B1342="","",IF(G1342&lt;&gt;"",G1342,E1342))</f>
        <v/>
      </c>
      <c r="J1342" s="21" t="str">
        <f aca="false">IF(B1342="","",IF(H1342&lt;&gt;"",H1342,F1342))</f>
        <v/>
      </c>
      <c r="K1342" s="26" t="str">
        <f aca="false">IF(A1342="","",DATE(YEAR(A1342),MONTH(A1342),1))</f>
        <v/>
      </c>
      <c r="L1342" s="21" t="str">
        <f aca="false">IF(J1342="",IF(B1342="","",IF(N(C1342)&gt;=0,"Income","Expense")),IFERROR(INDEX(Lists!$B$2:$B$30,MATCH(J1342,Lists!$A$2:$A$30,0)),""))</f>
        <v/>
      </c>
      <c r="M1342" s="24"/>
      <c r="N1342" s="27" t="str">
        <f aca="false">IF(B1342="","",IFERROR(1000-SUMPRODUCT(MAX(ISNUMBER(SEARCH(Rules!$A$5:$A$204,B1342))*(Rules!$A$5:$A$204&lt;&gt;"")*(1000-ROW(Rules!$A$5:$A$204)))),""))</f>
        <v/>
      </c>
    </row>
    <row r="1343" customFormat="false" ht="15" hidden="false" customHeight="false" outlineLevel="0" collapsed="false">
      <c r="A1343" s="23"/>
      <c r="B1343" s="24"/>
      <c r="C1343" s="25"/>
      <c r="D1343" s="24"/>
      <c r="E1343" s="21" t="str">
        <f aca="false">IF(OR(B1343="",N(N1343)=0,N1343=1000),IF(B1343="","","Check"),INDEX(Rules!$B:$B,N1343))</f>
        <v/>
      </c>
      <c r="F1343" s="21" t="str">
        <f aca="false">IF(OR(B1343="",N(N1343)=0,N1343=1000),"",INDEX(Rules!$C:$C,N1343))</f>
        <v/>
      </c>
      <c r="G1343" s="24"/>
      <c r="H1343" s="24"/>
      <c r="I1343" s="20" t="str">
        <f aca="false">IF(B1343="","",IF(G1343&lt;&gt;"",G1343,E1343))</f>
        <v/>
      </c>
      <c r="J1343" s="21" t="str">
        <f aca="false">IF(B1343="","",IF(H1343&lt;&gt;"",H1343,F1343))</f>
        <v/>
      </c>
      <c r="K1343" s="26" t="str">
        <f aca="false">IF(A1343="","",DATE(YEAR(A1343),MONTH(A1343),1))</f>
        <v/>
      </c>
      <c r="L1343" s="21" t="str">
        <f aca="false">IF(J1343="",IF(B1343="","",IF(N(C1343)&gt;=0,"Income","Expense")),IFERROR(INDEX(Lists!$B$2:$B$30,MATCH(J1343,Lists!$A$2:$A$30,0)),""))</f>
        <v/>
      </c>
      <c r="M1343" s="24"/>
      <c r="N1343" s="27" t="str">
        <f aca="false">IF(B1343="","",IFERROR(1000-SUMPRODUCT(MAX(ISNUMBER(SEARCH(Rules!$A$5:$A$204,B1343))*(Rules!$A$5:$A$204&lt;&gt;"")*(1000-ROW(Rules!$A$5:$A$204)))),""))</f>
        <v/>
      </c>
    </row>
    <row r="1344" customFormat="false" ht="15" hidden="false" customHeight="false" outlineLevel="0" collapsed="false">
      <c r="A1344" s="23"/>
      <c r="B1344" s="24"/>
      <c r="C1344" s="25"/>
      <c r="D1344" s="24"/>
      <c r="E1344" s="21" t="str">
        <f aca="false">IF(OR(B1344="",N(N1344)=0,N1344=1000),IF(B1344="","","Check"),INDEX(Rules!$B:$B,N1344))</f>
        <v/>
      </c>
      <c r="F1344" s="21" t="str">
        <f aca="false">IF(OR(B1344="",N(N1344)=0,N1344=1000),"",INDEX(Rules!$C:$C,N1344))</f>
        <v/>
      </c>
      <c r="G1344" s="24"/>
      <c r="H1344" s="24"/>
      <c r="I1344" s="20" t="str">
        <f aca="false">IF(B1344="","",IF(G1344&lt;&gt;"",G1344,E1344))</f>
        <v/>
      </c>
      <c r="J1344" s="21" t="str">
        <f aca="false">IF(B1344="","",IF(H1344&lt;&gt;"",H1344,F1344))</f>
        <v/>
      </c>
      <c r="K1344" s="26" t="str">
        <f aca="false">IF(A1344="","",DATE(YEAR(A1344),MONTH(A1344),1))</f>
        <v/>
      </c>
      <c r="L1344" s="21" t="str">
        <f aca="false">IF(J1344="",IF(B1344="","",IF(N(C1344)&gt;=0,"Income","Expense")),IFERROR(INDEX(Lists!$B$2:$B$30,MATCH(J1344,Lists!$A$2:$A$30,0)),""))</f>
        <v/>
      </c>
      <c r="M1344" s="24"/>
      <c r="N1344" s="27" t="str">
        <f aca="false">IF(B1344="","",IFERROR(1000-SUMPRODUCT(MAX(ISNUMBER(SEARCH(Rules!$A$5:$A$204,B1344))*(Rules!$A$5:$A$204&lt;&gt;"")*(1000-ROW(Rules!$A$5:$A$204)))),""))</f>
        <v/>
      </c>
    </row>
    <row r="1345" customFormat="false" ht="15" hidden="false" customHeight="false" outlineLevel="0" collapsed="false">
      <c r="A1345" s="23"/>
      <c r="B1345" s="24"/>
      <c r="C1345" s="25"/>
      <c r="D1345" s="24"/>
      <c r="E1345" s="21" t="str">
        <f aca="false">IF(OR(B1345="",N(N1345)=0,N1345=1000),IF(B1345="","","Check"),INDEX(Rules!$B:$B,N1345))</f>
        <v/>
      </c>
      <c r="F1345" s="21" t="str">
        <f aca="false">IF(OR(B1345="",N(N1345)=0,N1345=1000),"",INDEX(Rules!$C:$C,N1345))</f>
        <v/>
      </c>
      <c r="G1345" s="24"/>
      <c r="H1345" s="24"/>
      <c r="I1345" s="20" t="str">
        <f aca="false">IF(B1345="","",IF(G1345&lt;&gt;"",G1345,E1345))</f>
        <v/>
      </c>
      <c r="J1345" s="21" t="str">
        <f aca="false">IF(B1345="","",IF(H1345&lt;&gt;"",H1345,F1345))</f>
        <v/>
      </c>
      <c r="K1345" s="26" t="str">
        <f aca="false">IF(A1345="","",DATE(YEAR(A1345),MONTH(A1345),1))</f>
        <v/>
      </c>
      <c r="L1345" s="21" t="str">
        <f aca="false">IF(J1345="",IF(B1345="","",IF(N(C1345)&gt;=0,"Income","Expense")),IFERROR(INDEX(Lists!$B$2:$B$30,MATCH(J1345,Lists!$A$2:$A$30,0)),""))</f>
        <v/>
      </c>
      <c r="M1345" s="24"/>
      <c r="N1345" s="27" t="str">
        <f aca="false">IF(B1345="","",IFERROR(1000-SUMPRODUCT(MAX(ISNUMBER(SEARCH(Rules!$A$5:$A$204,B1345))*(Rules!$A$5:$A$204&lt;&gt;"")*(1000-ROW(Rules!$A$5:$A$204)))),""))</f>
        <v/>
      </c>
    </row>
    <row r="1346" customFormat="false" ht="15" hidden="false" customHeight="false" outlineLevel="0" collapsed="false">
      <c r="A1346" s="23"/>
      <c r="B1346" s="24"/>
      <c r="C1346" s="25"/>
      <c r="D1346" s="24"/>
      <c r="E1346" s="21" t="str">
        <f aca="false">IF(OR(B1346="",N(N1346)=0,N1346=1000),IF(B1346="","","Check"),INDEX(Rules!$B:$B,N1346))</f>
        <v/>
      </c>
      <c r="F1346" s="21" t="str">
        <f aca="false">IF(OR(B1346="",N(N1346)=0,N1346=1000),"",INDEX(Rules!$C:$C,N1346))</f>
        <v/>
      </c>
      <c r="G1346" s="24"/>
      <c r="H1346" s="24"/>
      <c r="I1346" s="20" t="str">
        <f aca="false">IF(B1346="","",IF(G1346&lt;&gt;"",G1346,E1346))</f>
        <v/>
      </c>
      <c r="J1346" s="21" t="str">
        <f aca="false">IF(B1346="","",IF(H1346&lt;&gt;"",H1346,F1346))</f>
        <v/>
      </c>
      <c r="K1346" s="26" t="str">
        <f aca="false">IF(A1346="","",DATE(YEAR(A1346),MONTH(A1346),1))</f>
        <v/>
      </c>
      <c r="L1346" s="21" t="str">
        <f aca="false">IF(J1346="",IF(B1346="","",IF(N(C1346)&gt;=0,"Income","Expense")),IFERROR(INDEX(Lists!$B$2:$B$30,MATCH(J1346,Lists!$A$2:$A$30,0)),""))</f>
        <v/>
      </c>
      <c r="M1346" s="24"/>
      <c r="N1346" s="27" t="str">
        <f aca="false">IF(B1346="","",IFERROR(1000-SUMPRODUCT(MAX(ISNUMBER(SEARCH(Rules!$A$5:$A$204,B1346))*(Rules!$A$5:$A$204&lt;&gt;"")*(1000-ROW(Rules!$A$5:$A$204)))),""))</f>
        <v/>
      </c>
    </row>
    <row r="1347" customFormat="false" ht="15" hidden="false" customHeight="false" outlineLevel="0" collapsed="false">
      <c r="A1347" s="23"/>
      <c r="B1347" s="24"/>
      <c r="C1347" s="25"/>
      <c r="D1347" s="24"/>
      <c r="E1347" s="21" t="str">
        <f aca="false">IF(OR(B1347="",N(N1347)=0,N1347=1000),IF(B1347="","","Check"),INDEX(Rules!$B:$B,N1347))</f>
        <v/>
      </c>
      <c r="F1347" s="21" t="str">
        <f aca="false">IF(OR(B1347="",N(N1347)=0,N1347=1000),"",INDEX(Rules!$C:$C,N1347))</f>
        <v/>
      </c>
      <c r="G1347" s="24"/>
      <c r="H1347" s="24"/>
      <c r="I1347" s="20" t="str">
        <f aca="false">IF(B1347="","",IF(G1347&lt;&gt;"",G1347,E1347))</f>
        <v/>
      </c>
      <c r="J1347" s="21" t="str">
        <f aca="false">IF(B1347="","",IF(H1347&lt;&gt;"",H1347,F1347))</f>
        <v/>
      </c>
      <c r="K1347" s="26" t="str">
        <f aca="false">IF(A1347="","",DATE(YEAR(A1347),MONTH(A1347),1))</f>
        <v/>
      </c>
      <c r="L1347" s="21" t="str">
        <f aca="false">IF(J1347="",IF(B1347="","",IF(N(C1347)&gt;=0,"Income","Expense")),IFERROR(INDEX(Lists!$B$2:$B$30,MATCH(J1347,Lists!$A$2:$A$30,0)),""))</f>
        <v/>
      </c>
      <c r="M1347" s="24"/>
      <c r="N1347" s="27" t="str">
        <f aca="false">IF(B1347="","",IFERROR(1000-SUMPRODUCT(MAX(ISNUMBER(SEARCH(Rules!$A$5:$A$204,B1347))*(Rules!$A$5:$A$204&lt;&gt;"")*(1000-ROW(Rules!$A$5:$A$204)))),""))</f>
        <v/>
      </c>
    </row>
    <row r="1348" customFormat="false" ht="15" hidden="false" customHeight="false" outlineLevel="0" collapsed="false">
      <c r="A1348" s="23"/>
      <c r="B1348" s="24"/>
      <c r="C1348" s="25"/>
      <c r="D1348" s="24"/>
      <c r="E1348" s="21" t="str">
        <f aca="false">IF(OR(B1348="",N(N1348)=0,N1348=1000),IF(B1348="","","Check"),INDEX(Rules!$B:$B,N1348))</f>
        <v/>
      </c>
      <c r="F1348" s="21" t="str">
        <f aca="false">IF(OR(B1348="",N(N1348)=0,N1348=1000),"",INDEX(Rules!$C:$C,N1348))</f>
        <v/>
      </c>
      <c r="G1348" s="24"/>
      <c r="H1348" s="24"/>
      <c r="I1348" s="20" t="str">
        <f aca="false">IF(B1348="","",IF(G1348&lt;&gt;"",G1348,E1348))</f>
        <v/>
      </c>
      <c r="J1348" s="21" t="str">
        <f aca="false">IF(B1348="","",IF(H1348&lt;&gt;"",H1348,F1348))</f>
        <v/>
      </c>
      <c r="K1348" s="26" t="str">
        <f aca="false">IF(A1348="","",DATE(YEAR(A1348),MONTH(A1348),1))</f>
        <v/>
      </c>
      <c r="L1348" s="21" t="str">
        <f aca="false">IF(J1348="",IF(B1348="","",IF(N(C1348)&gt;=0,"Income","Expense")),IFERROR(INDEX(Lists!$B$2:$B$30,MATCH(J1348,Lists!$A$2:$A$30,0)),""))</f>
        <v/>
      </c>
      <c r="M1348" s="24"/>
      <c r="N1348" s="27" t="str">
        <f aca="false">IF(B1348="","",IFERROR(1000-SUMPRODUCT(MAX(ISNUMBER(SEARCH(Rules!$A$5:$A$204,B1348))*(Rules!$A$5:$A$204&lt;&gt;"")*(1000-ROW(Rules!$A$5:$A$204)))),""))</f>
        <v/>
      </c>
    </row>
    <row r="1349" customFormat="false" ht="15" hidden="false" customHeight="false" outlineLevel="0" collapsed="false">
      <c r="A1349" s="23"/>
      <c r="B1349" s="24"/>
      <c r="C1349" s="25"/>
      <c r="D1349" s="24"/>
      <c r="E1349" s="21" t="str">
        <f aca="false">IF(OR(B1349="",N(N1349)=0,N1349=1000),IF(B1349="","","Check"),INDEX(Rules!$B:$B,N1349))</f>
        <v/>
      </c>
      <c r="F1349" s="21" t="str">
        <f aca="false">IF(OR(B1349="",N(N1349)=0,N1349=1000),"",INDEX(Rules!$C:$C,N1349))</f>
        <v/>
      </c>
      <c r="G1349" s="24"/>
      <c r="H1349" s="24"/>
      <c r="I1349" s="20" t="str">
        <f aca="false">IF(B1349="","",IF(G1349&lt;&gt;"",G1349,E1349))</f>
        <v/>
      </c>
      <c r="J1349" s="21" t="str">
        <f aca="false">IF(B1349="","",IF(H1349&lt;&gt;"",H1349,F1349))</f>
        <v/>
      </c>
      <c r="K1349" s="26" t="str">
        <f aca="false">IF(A1349="","",DATE(YEAR(A1349),MONTH(A1349),1))</f>
        <v/>
      </c>
      <c r="L1349" s="21" t="str">
        <f aca="false">IF(J1349="",IF(B1349="","",IF(N(C1349)&gt;=0,"Income","Expense")),IFERROR(INDEX(Lists!$B$2:$B$30,MATCH(J1349,Lists!$A$2:$A$30,0)),""))</f>
        <v/>
      </c>
      <c r="M1349" s="24"/>
      <c r="N1349" s="27" t="str">
        <f aca="false">IF(B1349="","",IFERROR(1000-SUMPRODUCT(MAX(ISNUMBER(SEARCH(Rules!$A$5:$A$204,B1349))*(Rules!$A$5:$A$204&lt;&gt;"")*(1000-ROW(Rules!$A$5:$A$204)))),""))</f>
        <v/>
      </c>
    </row>
    <row r="1350" customFormat="false" ht="15" hidden="false" customHeight="false" outlineLevel="0" collapsed="false">
      <c r="A1350" s="23"/>
      <c r="B1350" s="24"/>
      <c r="C1350" s="25"/>
      <c r="D1350" s="24"/>
      <c r="E1350" s="21" t="str">
        <f aca="false">IF(OR(B1350="",N(N1350)=0,N1350=1000),IF(B1350="","","Check"),INDEX(Rules!$B:$B,N1350))</f>
        <v/>
      </c>
      <c r="F1350" s="21" t="str">
        <f aca="false">IF(OR(B1350="",N(N1350)=0,N1350=1000),"",INDEX(Rules!$C:$C,N1350))</f>
        <v/>
      </c>
      <c r="G1350" s="24"/>
      <c r="H1350" s="24"/>
      <c r="I1350" s="20" t="str">
        <f aca="false">IF(B1350="","",IF(G1350&lt;&gt;"",G1350,E1350))</f>
        <v/>
      </c>
      <c r="J1350" s="21" t="str">
        <f aca="false">IF(B1350="","",IF(H1350&lt;&gt;"",H1350,F1350))</f>
        <v/>
      </c>
      <c r="K1350" s="26" t="str">
        <f aca="false">IF(A1350="","",DATE(YEAR(A1350),MONTH(A1350),1))</f>
        <v/>
      </c>
      <c r="L1350" s="21" t="str">
        <f aca="false">IF(J1350="",IF(B1350="","",IF(N(C1350)&gt;=0,"Income","Expense")),IFERROR(INDEX(Lists!$B$2:$B$30,MATCH(J1350,Lists!$A$2:$A$30,0)),""))</f>
        <v/>
      </c>
      <c r="M1350" s="24"/>
      <c r="N1350" s="27" t="str">
        <f aca="false">IF(B1350="","",IFERROR(1000-SUMPRODUCT(MAX(ISNUMBER(SEARCH(Rules!$A$5:$A$204,B1350))*(Rules!$A$5:$A$204&lt;&gt;"")*(1000-ROW(Rules!$A$5:$A$204)))),""))</f>
        <v/>
      </c>
    </row>
    <row r="1351" customFormat="false" ht="15" hidden="false" customHeight="false" outlineLevel="0" collapsed="false">
      <c r="A1351" s="23"/>
      <c r="B1351" s="24"/>
      <c r="C1351" s="25"/>
      <c r="D1351" s="24"/>
      <c r="E1351" s="21" t="str">
        <f aca="false">IF(OR(B1351="",N(N1351)=0,N1351=1000),IF(B1351="","","Check"),INDEX(Rules!$B:$B,N1351))</f>
        <v/>
      </c>
      <c r="F1351" s="21" t="str">
        <f aca="false">IF(OR(B1351="",N(N1351)=0,N1351=1000),"",INDEX(Rules!$C:$C,N1351))</f>
        <v/>
      </c>
      <c r="G1351" s="24"/>
      <c r="H1351" s="24"/>
      <c r="I1351" s="20" t="str">
        <f aca="false">IF(B1351="","",IF(G1351&lt;&gt;"",G1351,E1351))</f>
        <v/>
      </c>
      <c r="J1351" s="21" t="str">
        <f aca="false">IF(B1351="","",IF(H1351&lt;&gt;"",H1351,F1351))</f>
        <v/>
      </c>
      <c r="K1351" s="26" t="str">
        <f aca="false">IF(A1351="","",DATE(YEAR(A1351),MONTH(A1351),1))</f>
        <v/>
      </c>
      <c r="L1351" s="21" t="str">
        <f aca="false">IF(J1351="",IF(B1351="","",IF(N(C1351)&gt;=0,"Income","Expense")),IFERROR(INDEX(Lists!$B$2:$B$30,MATCH(J1351,Lists!$A$2:$A$30,0)),""))</f>
        <v/>
      </c>
      <c r="M1351" s="24"/>
      <c r="N1351" s="27" t="str">
        <f aca="false">IF(B1351="","",IFERROR(1000-SUMPRODUCT(MAX(ISNUMBER(SEARCH(Rules!$A$5:$A$204,B1351))*(Rules!$A$5:$A$204&lt;&gt;"")*(1000-ROW(Rules!$A$5:$A$204)))),""))</f>
        <v/>
      </c>
    </row>
    <row r="1352" customFormat="false" ht="15" hidden="false" customHeight="false" outlineLevel="0" collapsed="false">
      <c r="A1352" s="23"/>
      <c r="B1352" s="24"/>
      <c r="C1352" s="25"/>
      <c r="D1352" s="24"/>
      <c r="E1352" s="21" t="str">
        <f aca="false">IF(OR(B1352="",N(N1352)=0,N1352=1000),IF(B1352="","","Check"),INDEX(Rules!$B:$B,N1352))</f>
        <v/>
      </c>
      <c r="F1352" s="21" t="str">
        <f aca="false">IF(OR(B1352="",N(N1352)=0,N1352=1000),"",INDEX(Rules!$C:$C,N1352))</f>
        <v/>
      </c>
      <c r="G1352" s="24"/>
      <c r="H1352" s="24"/>
      <c r="I1352" s="20" t="str">
        <f aca="false">IF(B1352="","",IF(G1352&lt;&gt;"",G1352,E1352))</f>
        <v/>
      </c>
      <c r="J1352" s="21" t="str">
        <f aca="false">IF(B1352="","",IF(H1352&lt;&gt;"",H1352,F1352))</f>
        <v/>
      </c>
      <c r="K1352" s="26" t="str">
        <f aca="false">IF(A1352="","",DATE(YEAR(A1352),MONTH(A1352),1))</f>
        <v/>
      </c>
      <c r="L1352" s="21" t="str">
        <f aca="false">IF(J1352="",IF(B1352="","",IF(N(C1352)&gt;=0,"Income","Expense")),IFERROR(INDEX(Lists!$B$2:$B$30,MATCH(J1352,Lists!$A$2:$A$30,0)),""))</f>
        <v/>
      </c>
      <c r="M1352" s="24"/>
      <c r="N1352" s="27" t="str">
        <f aca="false">IF(B1352="","",IFERROR(1000-SUMPRODUCT(MAX(ISNUMBER(SEARCH(Rules!$A$5:$A$204,B1352))*(Rules!$A$5:$A$204&lt;&gt;"")*(1000-ROW(Rules!$A$5:$A$204)))),""))</f>
        <v/>
      </c>
    </row>
    <row r="1353" customFormat="false" ht="15" hidden="false" customHeight="false" outlineLevel="0" collapsed="false">
      <c r="A1353" s="23"/>
      <c r="B1353" s="24"/>
      <c r="C1353" s="25"/>
      <c r="D1353" s="24"/>
      <c r="E1353" s="21" t="str">
        <f aca="false">IF(OR(B1353="",N(N1353)=0,N1353=1000),IF(B1353="","","Check"),INDEX(Rules!$B:$B,N1353))</f>
        <v/>
      </c>
      <c r="F1353" s="21" t="str">
        <f aca="false">IF(OR(B1353="",N(N1353)=0,N1353=1000),"",INDEX(Rules!$C:$C,N1353))</f>
        <v/>
      </c>
      <c r="G1353" s="24"/>
      <c r="H1353" s="24"/>
      <c r="I1353" s="20" t="str">
        <f aca="false">IF(B1353="","",IF(G1353&lt;&gt;"",G1353,E1353))</f>
        <v/>
      </c>
      <c r="J1353" s="21" t="str">
        <f aca="false">IF(B1353="","",IF(H1353&lt;&gt;"",H1353,F1353))</f>
        <v/>
      </c>
      <c r="K1353" s="26" t="str">
        <f aca="false">IF(A1353="","",DATE(YEAR(A1353),MONTH(A1353),1))</f>
        <v/>
      </c>
      <c r="L1353" s="21" t="str">
        <f aca="false">IF(J1353="",IF(B1353="","",IF(N(C1353)&gt;=0,"Income","Expense")),IFERROR(INDEX(Lists!$B$2:$B$30,MATCH(J1353,Lists!$A$2:$A$30,0)),""))</f>
        <v/>
      </c>
      <c r="M1353" s="24"/>
      <c r="N1353" s="27" t="str">
        <f aca="false">IF(B1353="","",IFERROR(1000-SUMPRODUCT(MAX(ISNUMBER(SEARCH(Rules!$A$5:$A$204,B1353))*(Rules!$A$5:$A$204&lt;&gt;"")*(1000-ROW(Rules!$A$5:$A$204)))),""))</f>
        <v/>
      </c>
    </row>
    <row r="1354" customFormat="false" ht="15" hidden="false" customHeight="false" outlineLevel="0" collapsed="false">
      <c r="A1354" s="23"/>
      <c r="B1354" s="24"/>
      <c r="C1354" s="25"/>
      <c r="D1354" s="24"/>
      <c r="E1354" s="21" t="str">
        <f aca="false">IF(OR(B1354="",N(N1354)=0,N1354=1000),IF(B1354="","","Check"),INDEX(Rules!$B:$B,N1354))</f>
        <v/>
      </c>
      <c r="F1354" s="21" t="str">
        <f aca="false">IF(OR(B1354="",N(N1354)=0,N1354=1000),"",INDEX(Rules!$C:$C,N1354))</f>
        <v/>
      </c>
      <c r="G1354" s="24"/>
      <c r="H1354" s="24"/>
      <c r="I1354" s="20" t="str">
        <f aca="false">IF(B1354="","",IF(G1354&lt;&gt;"",G1354,E1354))</f>
        <v/>
      </c>
      <c r="J1354" s="21" t="str">
        <f aca="false">IF(B1354="","",IF(H1354&lt;&gt;"",H1354,F1354))</f>
        <v/>
      </c>
      <c r="K1354" s="26" t="str">
        <f aca="false">IF(A1354="","",DATE(YEAR(A1354),MONTH(A1354),1))</f>
        <v/>
      </c>
      <c r="L1354" s="21" t="str">
        <f aca="false">IF(J1354="",IF(B1354="","",IF(N(C1354)&gt;=0,"Income","Expense")),IFERROR(INDEX(Lists!$B$2:$B$30,MATCH(J1354,Lists!$A$2:$A$30,0)),""))</f>
        <v/>
      </c>
      <c r="M1354" s="24"/>
      <c r="N1354" s="27" t="str">
        <f aca="false">IF(B1354="","",IFERROR(1000-SUMPRODUCT(MAX(ISNUMBER(SEARCH(Rules!$A$5:$A$204,B1354))*(Rules!$A$5:$A$204&lt;&gt;"")*(1000-ROW(Rules!$A$5:$A$204)))),""))</f>
        <v/>
      </c>
    </row>
    <row r="1355" customFormat="false" ht="15" hidden="false" customHeight="false" outlineLevel="0" collapsed="false">
      <c r="A1355" s="23"/>
      <c r="B1355" s="24"/>
      <c r="C1355" s="25"/>
      <c r="D1355" s="24"/>
      <c r="E1355" s="21" t="str">
        <f aca="false">IF(OR(B1355="",N(N1355)=0,N1355=1000),IF(B1355="","","Check"),INDEX(Rules!$B:$B,N1355))</f>
        <v/>
      </c>
      <c r="F1355" s="21" t="str">
        <f aca="false">IF(OR(B1355="",N(N1355)=0,N1355=1000),"",INDEX(Rules!$C:$C,N1355))</f>
        <v/>
      </c>
      <c r="G1355" s="24"/>
      <c r="H1355" s="24"/>
      <c r="I1355" s="20" t="str">
        <f aca="false">IF(B1355="","",IF(G1355&lt;&gt;"",G1355,E1355))</f>
        <v/>
      </c>
      <c r="J1355" s="21" t="str">
        <f aca="false">IF(B1355="","",IF(H1355&lt;&gt;"",H1355,F1355))</f>
        <v/>
      </c>
      <c r="K1355" s="26" t="str">
        <f aca="false">IF(A1355="","",DATE(YEAR(A1355),MONTH(A1355),1))</f>
        <v/>
      </c>
      <c r="L1355" s="21" t="str">
        <f aca="false">IF(J1355="",IF(B1355="","",IF(N(C1355)&gt;=0,"Income","Expense")),IFERROR(INDEX(Lists!$B$2:$B$30,MATCH(J1355,Lists!$A$2:$A$30,0)),""))</f>
        <v/>
      </c>
      <c r="M1355" s="24"/>
      <c r="N1355" s="27" t="str">
        <f aca="false">IF(B1355="","",IFERROR(1000-SUMPRODUCT(MAX(ISNUMBER(SEARCH(Rules!$A$5:$A$204,B1355))*(Rules!$A$5:$A$204&lt;&gt;"")*(1000-ROW(Rules!$A$5:$A$204)))),""))</f>
        <v/>
      </c>
    </row>
    <row r="1356" customFormat="false" ht="15" hidden="false" customHeight="false" outlineLevel="0" collapsed="false">
      <c r="A1356" s="23"/>
      <c r="B1356" s="24"/>
      <c r="C1356" s="25"/>
      <c r="D1356" s="24"/>
      <c r="E1356" s="21" t="str">
        <f aca="false">IF(OR(B1356="",N(N1356)=0,N1356=1000),IF(B1356="","","Check"),INDEX(Rules!$B:$B,N1356))</f>
        <v/>
      </c>
      <c r="F1356" s="21" t="str">
        <f aca="false">IF(OR(B1356="",N(N1356)=0,N1356=1000),"",INDEX(Rules!$C:$C,N1356))</f>
        <v/>
      </c>
      <c r="G1356" s="24"/>
      <c r="H1356" s="24"/>
      <c r="I1356" s="20" t="str">
        <f aca="false">IF(B1356="","",IF(G1356&lt;&gt;"",G1356,E1356))</f>
        <v/>
      </c>
      <c r="J1356" s="21" t="str">
        <f aca="false">IF(B1356="","",IF(H1356&lt;&gt;"",H1356,F1356))</f>
        <v/>
      </c>
      <c r="K1356" s="26" t="str">
        <f aca="false">IF(A1356="","",DATE(YEAR(A1356),MONTH(A1356),1))</f>
        <v/>
      </c>
      <c r="L1356" s="21" t="str">
        <f aca="false">IF(J1356="",IF(B1356="","",IF(N(C1356)&gt;=0,"Income","Expense")),IFERROR(INDEX(Lists!$B$2:$B$30,MATCH(J1356,Lists!$A$2:$A$30,0)),""))</f>
        <v/>
      </c>
      <c r="M1356" s="24"/>
      <c r="N1356" s="27" t="str">
        <f aca="false">IF(B1356="","",IFERROR(1000-SUMPRODUCT(MAX(ISNUMBER(SEARCH(Rules!$A$5:$A$204,B1356))*(Rules!$A$5:$A$204&lt;&gt;"")*(1000-ROW(Rules!$A$5:$A$204)))),""))</f>
        <v/>
      </c>
    </row>
    <row r="1357" customFormat="false" ht="15" hidden="false" customHeight="false" outlineLevel="0" collapsed="false">
      <c r="A1357" s="23"/>
      <c r="B1357" s="24"/>
      <c r="C1357" s="25"/>
      <c r="D1357" s="24"/>
      <c r="E1357" s="21" t="str">
        <f aca="false">IF(OR(B1357="",N(N1357)=0,N1357=1000),IF(B1357="","","Check"),INDEX(Rules!$B:$B,N1357))</f>
        <v/>
      </c>
      <c r="F1357" s="21" t="str">
        <f aca="false">IF(OR(B1357="",N(N1357)=0,N1357=1000),"",INDEX(Rules!$C:$C,N1357))</f>
        <v/>
      </c>
      <c r="G1357" s="24"/>
      <c r="H1357" s="24"/>
      <c r="I1357" s="20" t="str">
        <f aca="false">IF(B1357="","",IF(G1357&lt;&gt;"",G1357,E1357))</f>
        <v/>
      </c>
      <c r="J1357" s="21" t="str">
        <f aca="false">IF(B1357="","",IF(H1357&lt;&gt;"",H1357,F1357))</f>
        <v/>
      </c>
      <c r="K1357" s="26" t="str">
        <f aca="false">IF(A1357="","",DATE(YEAR(A1357),MONTH(A1357),1))</f>
        <v/>
      </c>
      <c r="L1357" s="21" t="str">
        <f aca="false">IF(J1357="",IF(B1357="","",IF(N(C1357)&gt;=0,"Income","Expense")),IFERROR(INDEX(Lists!$B$2:$B$30,MATCH(J1357,Lists!$A$2:$A$30,0)),""))</f>
        <v/>
      </c>
      <c r="M1357" s="24"/>
      <c r="N1357" s="27" t="str">
        <f aca="false">IF(B1357="","",IFERROR(1000-SUMPRODUCT(MAX(ISNUMBER(SEARCH(Rules!$A$5:$A$204,B1357))*(Rules!$A$5:$A$204&lt;&gt;"")*(1000-ROW(Rules!$A$5:$A$204)))),""))</f>
        <v/>
      </c>
    </row>
    <row r="1358" customFormat="false" ht="15" hidden="false" customHeight="false" outlineLevel="0" collapsed="false">
      <c r="A1358" s="23"/>
      <c r="B1358" s="24"/>
      <c r="C1358" s="25"/>
      <c r="D1358" s="24"/>
      <c r="E1358" s="21" t="str">
        <f aca="false">IF(OR(B1358="",N(N1358)=0,N1358=1000),IF(B1358="","","Check"),INDEX(Rules!$B:$B,N1358))</f>
        <v/>
      </c>
      <c r="F1358" s="21" t="str">
        <f aca="false">IF(OR(B1358="",N(N1358)=0,N1358=1000),"",INDEX(Rules!$C:$C,N1358))</f>
        <v/>
      </c>
      <c r="G1358" s="24"/>
      <c r="H1358" s="24"/>
      <c r="I1358" s="20" t="str">
        <f aca="false">IF(B1358="","",IF(G1358&lt;&gt;"",G1358,E1358))</f>
        <v/>
      </c>
      <c r="J1358" s="21" t="str">
        <f aca="false">IF(B1358="","",IF(H1358&lt;&gt;"",H1358,F1358))</f>
        <v/>
      </c>
      <c r="K1358" s="26" t="str">
        <f aca="false">IF(A1358="","",DATE(YEAR(A1358),MONTH(A1358),1))</f>
        <v/>
      </c>
      <c r="L1358" s="21" t="str">
        <f aca="false">IF(J1358="",IF(B1358="","",IF(N(C1358)&gt;=0,"Income","Expense")),IFERROR(INDEX(Lists!$B$2:$B$30,MATCH(J1358,Lists!$A$2:$A$30,0)),""))</f>
        <v/>
      </c>
      <c r="M1358" s="24"/>
      <c r="N1358" s="27" t="str">
        <f aca="false">IF(B1358="","",IFERROR(1000-SUMPRODUCT(MAX(ISNUMBER(SEARCH(Rules!$A$5:$A$204,B1358))*(Rules!$A$5:$A$204&lt;&gt;"")*(1000-ROW(Rules!$A$5:$A$204)))),""))</f>
        <v/>
      </c>
    </row>
    <row r="1359" customFormat="false" ht="15" hidden="false" customHeight="false" outlineLevel="0" collapsed="false">
      <c r="A1359" s="23"/>
      <c r="B1359" s="24"/>
      <c r="C1359" s="25"/>
      <c r="D1359" s="24"/>
      <c r="E1359" s="21" t="str">
        <f aca="false">IF(OR(B1359="",N(N1359)=0,N1359=1000),IF(B1359="","","Check"),INDEX(Rules!$B:$B,N1359))</f>
        <v/>
      </c>
      <c r="F1359" s="21" t="str">
        <f aca="false">IF(OR(B1359="",N(N1359)=0,N1359=1000),"",INDEX(Rules!$C:$C,N1359))</f>
        <v/>
      </c>
      <c r="G1359" s="24"/>
      <c r="H1359" s="24"/>
      <c r="I1359" s="20" t="str">
        <f aca="false">IF(B1359="","",IF(G1359&lt;&gt;"",G1359,E1359))</f>
        <v/>
      </c>
      <c r="J1359" s="21" t="str">
        <f aca="false">IF(B1359="","",IF(H1359&lt;&gt;"",H1359,F1359))</f>
        <v/>
      </c>
      <c r="K1359" s="26" t="str">
        <f aca="false">IF(A1359="","",DATE(YEAR(A1359),MONTH(A1359),1))</f>
        <v/>
      </c>
      <c r="L1359" s="21" t="str">
        <f aca="false">IF(J1359="",IF(B1359="","",IF(N(C1359)&gt;=0,"Income","Expense")),IFERROR(INDEX(Lists!$B$2:$B$30,MATCH(J1359,Lists!$A$2:$A$30,0)),""))</f>
        <v/>
      </c>
      <c r="M1359" s="24"/>
      <c r="N1359" s="27" t="str">
        <f aca="false">IF(B1359="","",IFERROR(1000-SUMPRODUCT(MAX(ISNUMBER(SEARCH(Rules!$A$5:$A$204,B1359))*(Rules!$A$5:$A$204&lt;&gt;"")*(1000-ROW(Rules!$A$5:$A$204)))),""))</f>
        <v/>
      </c>
    </row>
    <row r="1360" customFormat="false" ht="15" hidden="false" customHeight="false" outlineLevel="0" collapsed="false">
      <c r="A1360" s="23"/>
      <c r="B1360" s="24"/>
      <c r="C1360" s="25"/>
      <c r="D1360" s="24"/>
      <c r="E1360" s="21" t="str">
        <f aca="false">IF(OR(B1360="",N(N1360)=0,N1360=1000),IF(B1360="","","Check"),INDEX(Rules!$B:$B,N1360))</f>
        <v/>
      </c>
      <c r="F1360" s="21" t="str">
        <f aca="false">IF(OR(B1360="",N(N1360)=0,N1360=1000),"",INDEX(Rules!$C:$C,N1360))</f>
        <v/>
      </c>
      <c r="G1360" s="24"/>
      <c r="H1360" s="24"/>
      <c r="I1360" s="20" t="str">
        <f aca="false">IF(B1360="","",IF(G1360&lt;&gt;"",G1360,E1360))</f>
        <v/>
      </c>
      <c r="J1360" s="21" t="str">
        <f aca="false">IF(B1360="","",IF(H1360&lt;&gt;"",H1360,F1360))</f>
        <v/>
      </c>
      <c r="K1360" s="26" t="str">
        <f aca="false">IF(A1360="","",DATE(YEAR(A1360),MONTH(A1360),1))</f>
        <v/>
      </c>
      <c r="L1360" s="21" t="str">
        <f aca="false">IF(J1360="",IF(B1360="","",IF(N(C1360)&gt;=0,"Income","Expense")),IFERROR(INDEX(Lists!$B$2:$B$30,MATCH(J1360,Lists!$A$2:$A$30,0)),""))</f>
        <v/>
      </c>
      <c r="M1360" s="24"/>
      <c r="N1360" s="27" t="str">
        <f aca="false">IF(B1360="","",IFERROR(1000-SUMPRODUCT(MAX(ISNUMBER(SEARCH(Rules!$A$5:$A$204,B1360))*(Rules!$A$5:$A$204&lt;&gt;"")*(1000-ROW(Rules!$A$5:$A$204)))),""))</f>
        <v/>
      </c>
    </row>
    <row r="1361" customFormat="false" ht="15" hidden="false" customHeight="false" outlineLevel="0" collapsed="false">
      <c r="A1361" s="23"/>
      <c r="B1361" s="24"/>
      <c r="C1361" s="25"/>
      <c r="D1361" s="24"/>
      <c r="E1361" s="21" t="str">
        <f aca="false">IF(OR(B1361="",N(N1361)=0,N1361=1000),IF(B1361="","","Check"),INDEX(Rules!$B:$B,N1361))</f>
        <v/>
      </c>
      <c r="F1361" s="21" t="str">
        <f aca="false">IF(OR(B1361="",N(N1361)=0,N1361=1000),"",INDEX(Rules!$C:$C,N1361))</f>
        <v/>
      </c>
      <c r="G1361" s="24"/>
      <c r="H1361" s="24"/>
      <c r="I1361" s="20" t="str">
        <f aca="false">IF(B1361="","",IF(G1361&lt;&gt;"",G1361,E1361))</f>
        <v/>
      </c>
      <c r="J1361" s="21" t="str">
        <f aca="false">IF(B1361="","",IF(H1361&lt;&gt;"",H1361,F1361))</f>
        <v/>
      </c>
      <c r="K1361" s="26" t="str">
        <f aca="false">IF(A1361="","",DATE(YEAR(A1361),MONTH(A1361),1))</f>
        <v/>
      </c>
      <c r="L1361" s="21" t="str">
        <f aca="false">IF(J1361="",IF(B1361="","",IF(N(C1361)&gt;=0,"Income","Expense")),IFERROR(INDEX(Lists!$B$2:$B$30,MATCH(J1361,Lists!$A$2:$A$30,0)),""))</f>
        <v/>
      </c>
      <c r="M1361" s="24"/>
      <c r="N1361" s="27" t="str">
        <f aca="false">IF(B1361="","",IFERROR(1000-SUMPRODUCT(MAX(ISNUMBER(SEARCH(Rules!$A$5:$A$204,B1361))*(Rules!$A$5:$A$204&lt;&gt;"")*(1000-ROW(Rules!$A$5:$A$204)))),""))</f>
        <v/>
      </c>
    </row>
    <row r="1362" customFormat="false" ht="15" hidden="false" customHeight="false" outlineLevel="0" collapsed="false">
      <c r="A1362" s="23"/>
      <c r="B1362" s="24"/>
      <c r="C1362" s="25"/>
      <c r="D1362" s="24"/>
      <c r="E1362" s="21" t="str">
        <f aca="false">IF(OR(B1362="",N(N1362)=0,N1362=1000),IF(B1362="","","Check"),INDEX(Rules!$B:$B,N1362))</f>
        <v/>
      </c>
      <c r="F1362" s="21" t="str">
        <f aca="false">IF(OR(B1362="",N(N1362)=0,N1362=1000),"",INDEX(Rules!$C:$C,N1362))</f>
        <v/>
      </c>
      <c r="G1362" s="24"/>
      <c r="H1362" s="24"/>
      <c r="I1362" s="20" t="str">
        <f aca="false">IF(B1362="","",IF(G1362&lt;&gt;"",G1362,E1362))</f>
        <v/>
      </c>
      <c r="J1362" s="21" t="str">
        <f aca="false">IF(B1362="","",IF(H1362&lt;&gt;"",H1362,F1362))</f>
        <v/>
      </c>
      <c r="K1362" s="26" t="str">
        <f aca="false">IF(A1362="","",DATE(YEAR(A1362),MONTH(A1362),1))</f>
        <v/>
      </c>
      <c r="L1362" s="21" t="str">
        <f aca="false">IF(J1362="",IF(B1362="","",IF(N(C1362)&gt;=0,"Income","Expense")),IFERROR(INDEX(Lists!$B$2:$B$30,MATCH(J1362,Lists!$A$2:$A$30,0)),""))</f>
        <v/>
      </c>
      <c r="M1362" s="24"/>
      <c r="N1362" s="27" t="str">
        <f aca="false">IF(B1362="","",IFERROR(1000-SUMPRODUCT(MAX(ISNUMBER(SEARCH(Rules!$A$5:$A$204,B1362))*(Rules!$A$5:$A$204&lt;&gt;"")*(1000-ROW(Rules!$A$5:$A$204)))),""))</f>
        <v/>
      </c>
    </row>
    <row r="1363" customFormat="false" ht="15" hidden="false" customHeight="false" outlineLevel="0" collapsed="false">
      <c r="A1363" s="23"/>
      <c r="B1363" s="24"/>
      <c r="C1363" s="25"/>
      <c r="D1363" s="24"/>
      <c r="E1363" s="21" t="str">
        <f aca="false">IF(OR(B1363="",N(N1363)=0,N1363=1000),IF(B1363="","","Check"),INDEX(Rules!$B:$B,N1363))</f>
        <v/>
      </c>
      <c r="F1363" s="21" t="str">
        <f aca="false">IF(OR(B1363="",N(N1363)=0,N1363=1000),"",INDEX(Rules!$C:$C,N1363))</f>
        <v/>
      </c>
      <c r="G1363" s="24"/>
      <c r="H1363" s="24"/>
      <c r="I1363" s="20" t="str">
        <f aca="false">IF(B1363="","",IF(G1363&lt;&gt;"",G1363,E1363))</f>
        <v/>
      </c>
      <c r="J1363" s="21" t="str">
        <f aca="false">IF(B1363="","",IF(H1363&lt;&gt;"",H1363,F1363))</f>
        <v/>
      </c>
      <c r="K1363" s="26" t="str">
        <f aca="false">IF(A1363="","",DATE(YEAR(A1363),MONTH(A1363),1))</f>
        <v/>
      </c>
      <c r="L1363" s="21" t="str">
        <f aca="false">IF(J1363="",IF(B1363="","",IF(N(C1363)&gt;=0,"Income","Expense")),IFERROR(INDEX(Lists!$B$2:$B$30,MATCH(J1363,Lists!$A$2:$A$30,0)),""))</f>
        <v/>
      </c>
      <c r="M1363" s="24"/>
      <c r="N1363" s="27" t="str">
        <f aca="false">IF(B1363="","",IFERROR(1000-SUMPRODUCT(MAX(ISNUMBER(SEARCH(Rules!$A$5:$A$204,B1363))*(Rules!$A$5:$A$204&lt;&gt;"")*(1000-ROW(Rules!$A$5:$A$204)))),""))</f>
        <v/>
      </c>
    </row>
    <row r="1364" customFormat="false" ht="15" hidden="false" customHeight="false" outlineLevel="0" collapsed="false">
      <c r="A1364" s="23"/>
      <c r="B1364" s="24"/>
      <c r="C1364" s="25"/>
      <c r="D1364" s="24"/>
      <c r="E1364" s="21" t="str">
        <f aca="false">IF(OR(B1364="",N(N1364)=0,N1364=1000),IF(B1364="","","Check"),INDEX(Rules!$B:$B,N1364))</f>
        <v/>
      </c>
      <c r="F1364" s="21" t="str">
        <f aca="false">IF(OR(B1364="",N(N1364)=0,N1364=1000),"",INDEX(Rules!$C:$C,N1364))</f>
        <v/>
      </c>
      <c r="G1364" s="24"/>
      <c r="H1364" s="24"/>
      <c r="I1364" s="20" t="str">
        <f aca="false">IF(B1364="","",IF(G1364&lt;&gt;"",G1364,E1364))</f>
        <v/>
      </c>
      <c r="J1364" s="21" t="str">
        <f aca="false">IF(B1364="","",IF(H1364&lt;&gt;"",H1364,F1364))</f>
        <v/>
      </c>
      <c r="K1364" s="26" t="str">
        <f aca="false">IF(A1364="","",DATE(YEAR(A1364),MONTH(A1364),1))</f>
        <v/>
      </c>
      <c r="L1364" s="21" t="str">
        <f aca="false">IF(J1364="",IF(B1364="","",IF(N(C1364)&gt;=0,"Income","Expense")),IFERROR(INDEX(Lists!$B$2:$B$30,MATCH(J1364,Lists!$A$2:$A$30,0)),""))</f>
        <v/>
      </c>
      <c r="M1364" s="24"/>
      <c r="N1364" s="27" t="str">
        <f aca="false">IF(B1364="","",IFERROR(1000-SUMPRODUCT(MAX(ISNUMBER(SEARCH(Rules!$A$5:$A$204,B1364))*(Rules!$A$5:$A$204&lt;&gt;"")*(1000-ROW(Rules!$A$5:$A$204)))),""))</f>
        <v/>
      </c>
    </row>
    <row r="1365" customFormat="false" ht="15" hidden="false" customHeight="false" outlineLevel="0" collapsed="false">
      <c r="A1365" s="23"/>
      <c r="B1365" s="24"/>
      <c r="C1365" s="25"/>
      <c r="D1365" s="24"/>
      <c r="E1365" s="21" t="str">
        <f aca="false">IF(OR(B1365="",N(N1365)=0,N1365=1000),IF(B1365="","","Check"),INDEX(Rules!$B:$B,N1365))</f>
        <v/>
      </c>
      <c r="F1365" s="21" t="str">
        <f aca="false">IF(OR(B1365="",N(N1365)=0,N1365=1000),"",INDEX(Rules!$C:$C,N1365))</f>
        <v/>
      </c>
      <c r="G1365" s="24"/>
      <c r="H1365" s="24"/>
      <c r="I1365" s="20" t="str">
        <f aca="false">IF(B1365="","",IF(G1365&lt;&gt;"",G1365,E1365))</f>
        <v/>
      </c>
      <c r="J1365" s="21" t="str">
        <f aca="false">IF(B1365="","",IF(H1365&lt;&gt;"",H1365,F1365))</f>
        <v/>
      </c>
      <c r="K1365" s="26" t="str">
        <f aca="false">IF(A1365="","",DATE(YEAR(A1365),MONTH(A1365),1))</f>
        <v/>
      </c>
      <c r="L1365" s="21" t="str">
        <f aca="false">IF(J1365="",IF(B1365="","",IF(N(C1365)&gt;=0,"Income","Expense")),IFERROR(INDEX(Lists!$B$2:$B$30,MATCH(J1365,Lists!$A$2:$A$30,0)),""))</f>
        <v/>
      </c>
      <c r="M1365" s="24"/>
      <c r="N1365" s="27" t="str">
        <f aca="false">IF(B1365="","",IFERROR(1000-SUMPRODUCT(MAX(ISNUMBER(SEARCH(Rules!$A$5:$A$204,B1365))*(Rules!$A$5:$A$204&lt;&gt;"")*(1000-ROW(Rules!$A$5:$A$204)))),""))</f>
        <v/>
      </c>
    </row>
    <row r="1366" customFormat="false" ht="15" hidden="false" customHeight="false" outlineLevel="0" collapsed="false">
      <c r="A1366" s="23"/>
      <c r="B1366" s="24"/>
      <c r="C1366" s="25"/>
      <c r="D1366" s="24"/>
      <c r="E1366" s="21" t="str">
        <f aca="false">IF(OR(B1366="",N(N1366)=0,N1366=1000),IF(B1366="","","Check"),INDEX(Rules!$B:$B,N1366))</f>
        <v/>
      </c>
      <c r="F1366" s="21" t="str">
        <f aca="false">IF(OR(B1366="",N(N1366)=0,N1366=1000),"",INDEX(Rules!$C:$C,N1366))</f>
        <v/>
      </c>
      <c r="G1366" s="24"/>
      <c r="H1366" s="24"/>
      <c r="I1366" s="20" t="str">
        <f aca="false">IF(B1366="","",IF(G1366&lt;&gt;"",G1366,E1366))</f>
        <v/>
      </c>
      <c r="J1366" s="21" t="str">
        <f aca="false">IF(B1366="","",IF(H1366&lt;&gt;"",H1366,F1366))</f>
        <v/>
      </c>
      <c r="K1366" s="26" t="str">
        <f aca="false">IF(A1366="","",DATE(YEAR(A1366),MONTH(A1366),1))</f>
        <v/>
      </c>
      <c r="L1366" s="21" t="str">
        <f aca="false">IF(J1366="",IF(B1366="","",IF(N(C1366)&gt;=0,"Income","Expense")),IFERROR(INDEX(Lists!$B$2:$B$30,MATCH(J1366,Lists!$A$2:$A$30,0)),""))</f>
        <v/>
      </c>
      <c r="M1366" s="24"/>
      <c r="N1366" s="27" t="str">
        <f aca="false">IF(B1366="","",IFERROR(1000-SUMPRODUCT(MAX(ISNUMBER(SEARCH(Rules!$A$5:$A$204,B1366))*(Rules!$A$5:$A$204&lt;&gt;"")*(1000-ROW(Rules!$A$5:$A$204)))),""))</f>
        <v/>
      </c>
    </row>
    <row r="1367" customFormat="false" ht="15" hidden="false" customHeight="false" outlineLevel="0" collapsed="false">
      <c r="A1367" s="23"/>
      <c r="B1367" s="24"/>
      <c r="C1367" s="25"/>
      <c r="D1367" s="24"/>
      <c r="E1367" s="21" t="str">
        <f aca="false">IF(OR(B1367="",N(N1367)=0,N1367=1000),IF(B1367="","","Check"),INDEX(Rules!$B:$B,N1367))</f>
        <v/>
      </c>
      <c r="F1367" s="21" t="str">
        <f aca="false">IF(OR(B1367="",N(N1367)=0,N1367=1000),"",INDEX(Rules!$C:$C,N1367))</f>
        <v/>
      </c>
      <c r="G1367" s="24"/>
      <c r="H1367" s="24"/>
      <c r="I1367" s="20" t="str">
        <f aca="false">IF(B1367="","",IF(G1367&lt;&gt;"",G1367,E1367))</f>
        <v/>
      </c>
      <c r="J1367" s="21" t="str">
        <f aca="false">IF(B1367="","",IF(H1367&lt;&gt;"",H1367,F1367))</f>
        <v/>
      </c>
      <c r="K1367" s="26" t="str">
        <f aca="false">IF(A1367="","",DATE(YEAR(A1367),MONTH(A1367),1))</f>
        <v/>
      </c>
      <c r="L1367" s="21" t="str">
        <f aca="false">IF(J1367="",IF(B1367="","",IF(N(C1367)&gt;=0,"Income","Expense")),IFERROR(INDEX(Lists!$B$2:$B$30,MATCH(J1367,Lists!$A$2:$A$30,0)),""))</f>
        <v/>
      </c>
      <c r="M1367" s="24"/>
      <c r="N1367" s="27" t="str">
        <f aca="false">IF(B1367="","",IFERROR(1000-SUMPRODUCT(MAX(ISNUMBER(SEARCH(Rules!$A$5:$A$204,B1367))*(Rules!$A$5:$A$204&lt;&gt;"")*(1000-ROW(Rules!$A$5:$A$204)))),""))</f>
        <v/>
      </c>
    </row>
    <row r="1368" customFormat="false" ht="15" hidden="false" customHeight="false" outlineLevel="0" collapsed="false">
      <c r="A1368" s="23"/>
      <c r="B1368" s="24"/>
      <c r="C1368" s="25"/>
      <c r="D1368" s="24"/>
      <c r="E1368" s="21" t="str">
        <f aca="false">IF(OR(B1368="",N(N1368)=0,N1368=1000),IF(B1368="","","Check"),INDEX(Rules!$B:$B,N1368))</f>
        <v/>
      </c>
      <c r="F1368" s="21" t="str">
        <f aca="false">IF(OR(B1368="",N(N1368)=0,N1368=1000),"",INDEX(Rules!$C:$C,N1368))</f>
        <v/>
      </c>
      <c r="G1368" s="24"/>
      <c r="H1368" s="24"/>
      <c r="I1368" s="20" t="str">
        <f aca="false">IF(B1368="","",IF(G1368&lt;&gt;"",G1368,E1368))</f>
        <v/>
      </c>
      <c r="J1368" s="21" t="str">
        <f aca="false">IF(B1368="","",IF(H1368&lt;&gt;"",H1368,F1368))</f>
        <v/>
      </c>
      <c r="K1368" s="26" t="str">
        <f aca="false">IF(A1368="","",DATE(YEAR(A1368),MONTH(A1368),1))</f>
        <v/>
      </c>
      <c r="L1368" s="21" t="str">
        <f aca="false">IF(J1368="",IF(B1368="","",IF(N(C1368)&gt;=0,"Income","Expense")),IFERROR(INDEX(Lists!$B$2:$B$30,MATCH(J1368,Lists!$A$2:$A$30,0)),""))</f>
        <v/>
      </c>
      <c r="M1368" s="24"/>
      <c r="N1368" s="27" t="str">
        <f aca="false">IF(B1368="","",IFERROR(1000-SUMPRODUCT(MAX(ISNUMBER(SEARCH(Rules!$A$5:$A$204,B1368))*(Rules!$A$5:$A$204&lt;&gt;"")*(1000-ROW(Rules!$A$5:$A$204)))),""))</f>
        <v/>
      </c>
    </row>
    <row r="1369" customFormat="false" ht="15" hidden="false" customHeight="false" outlineLevel="0" collapsed="false">
      <c r="A1369" s="23"/>
      <c r="B1369" s="24"/>
      <c r="C1369" s="25"/>
      <c r="D1369" s="24"/>
      <c r="E1369" s="21" t="str">
        <f aca="false">IF(OR(B1369="",N(N1369)=0,N1369=1000),IF(B1369="","","Check"),INDEX(Rules!$B:$B,N1369))</f>
        <v/>
      </c>
      <c r="F1369" s="21" t="str">
        <f aca="false">IF(OR(B1369="",N(N1369)=0,N1369=1000),"",INDEX(Rules!$C:$C,N1369))</f>
        <v/>
      </c>
      <c r="G1369" s="24"/>
      <c r="H1369" s="24"/>
      <c r="I1369" s="20" t="str">
        <f aca="false">IF(B1369="","",IF(G1369&lt;&gt;"",G1369,E1369))</f>
        <v/>
      </c>
      <c r="J1369" s="21" t="str">
        <f aca="false">IF(B1369="","",IF(H1369&lt;&gt;"",H1369,F1369))</f>
        <v/>
      </c>
      <c r="K1369" s="26" t="str">
        <f aca="false">IF(A1369="","",DATE(YEAR(A1369),MONTH(A1369),1))</f>
        <v/>
      </c>
      <c r="L1369" s="21" t="str">
        <f aca="false">IF(J1369="",IF(B1369="","",IF(N(C1369)&gt;=0,"Income","Expense")),IFERROR(INDEX(Lists!$B$2:$B$30,MATCH(J1369,Lists!$A$2:$A$30,0)),""))</f>
        <v/>
      </c>
      <c r="M1369" s="24"/>
      <c r="N1369" s="27" t="str">
        <f aca="false">IF(B1369="","",IFERROR(1000-SUMPRODUCT(MAX(ISNUMBER(SEARCH(Rules!$A$5:$A$204,B1369))*(Rules!$A$5:$A$204&lt;&gt;"")*(1000-ROW(Rules!$A$5:$A$204)))),""))</f>
        <v/>
      </c>
    </row>
    <row r="1370" customFormat="false" ht="15" hidden="false" customHeight="false" outlineLevel="0" collapsed="false">
      <c r="A1370" s="23"/>
      <c r="B1370" s="24"/>
      <c r="C1370" s="25"/>
      <c r="D1370" s="24"/>
      <c r="E1370" s="21" t="str">
        <f aca="false">IF(OR(B1370="",N(N1370)=0,N1370=1000),IF(B1370="","","Check"),INDEX(Rules!$B:$B,N1370))</f>
        <v/>
      </c>
      <c r="F1370" s="21" t="str">
        <f aca="false">IF(OR(B1370="",N(N1370)=0,N1370=1000),"",INDEX(Rules!$C:$C,N1370))</f>
        <v/>
      </c>
      <c r="G1370" s="24"/>
      <c r="H1370" s="24"/>
      <c r="I1370" s="20" t="str">
        <f aca="false">IF(B1370="","",IF(G1370&lt;&gt;"",G1370,E1370))</f>
        <v/>
      </c>
      <c r="J1370" s="21" t="str">
        <f aca="false">IF(B1370="","",IF(H1370&lt;&gt;"",H1370,F1370))</f>
        <v/>
      </c>
      <c r="K1370" s="26" t="str">
        <f aca="false">IF(A1370="","",DATE(YEAR(A1370),MONTH(A1370),1))</f>
        <v/>
      </c>
      <c r="L1370" s="21" t="str">
        <f aca="false">IF(J1370="",IF(B1370="","",IF(N(C1370)&gt;=0,"Income","Expense")),IFERROR(INDEX(Lists!$B$2:$B$30,MATCH(J1370,Lists!$A$2:$A$30,0)),""))</f>
        <v/>
      </c>
      <c r="M1370" s="24"/>
      <c r="N1370" s="27" t="str">
        <f aca="false">IF(B1370="","",IFERROR(1000-SUMPRODUCT(MAX(ISNUMBER(SEARCH(Rules!$A$5:$A$204,B1370))*(Rules!$A$5:$A$204&lt;&gt;"")*(1000-ROW(Rules!$A$5:$A$204)))),""))</f>
        <v/>
      </c>
    </row>
    <row r="1371" customFormat="false" ht="15" hidden="false" customHeight="false" outlineLevel="0" collapsed="false">
      <c r="A1371" s="23"/>
      <c r="B1371" s="24"/>
      <c r="C1371" s="25"/>
      <c r="D1371" s="24"/>
      <c r="E1371" s="21" t="str">
        <f aca="false">IF(OR(B1371="",N(N1371)=0,N1371=1000),IF(B1371="","","Check"),INDEX(Rules!$B:$B,N1371))</f>
        <v/>
      </c>
      <c r="F1371" s="21" t="str">
        <f aca="false">IF(OR(B1371="",N(N1371)=0,N1371=1000),"",INDEX(Rules!$C:$C,N1371))</f>
        <v/>
      </c>
      <c r="G1371" s="24"/>
      <c r="H1371" s="24"/>
      <c r="I1371" s="20" t="str">
        <f aca="false">IF(B1371="","",IF(G1371&lt;&gt;"",G1371,E1371))</f>
        <v/>
      </c>
      <c r="J1371" s="21" t="str">
        <f aca="false">IF(B1371="","",IF(H1371&lt;&gt;"",H1371,F1371))</f>
        <v/>
      </c>
      <c r="K1371" s="26" t="str">
        <f aca="false">IF(A1371="","",DATE(YEAR(A1371),MONTH(A1371),1))</f>
        <v/>
      </c>
      <c r="L1371" s="21" t="str">
        <f aca="false">IF(J1371="",IF(B1371="","",IF(N(C1371)&gt;=0,"Income","Expense")),IFERROR(INDEX(Lists!$B$2:$B$30,MATCH(J1371,Lists!$A$2:$A$30,0)),""))</f>
        <v/>
      </c>
      <c r="M1371" s="24"/>
      <c r="N1371" s="27" t="str">
        <f aca="false">IF(B1371="","",IFERROR(1000-SUMPRODUCT(MAX(ISNUMBER(SEARCH(Rules!$A$5:$A$204,B1371))*(Rules!$A$5:$A$204&lt;&gt;"")*(1000-ROW(Rules!$A$5:$A$204)))),""))</f>
        <v/>
      </c>
    </row>
    <row r="1372" customFormat="false" ht="15" hidden="false" customHeight="false" outlineLevel="0" collapsed="false">
      <c r="A1372" s="23"/>
      <c r="B1372" s="24"/>
      <c r="C1372" s="25"/>
      <c r="D1372" s="24"/>
      <c r="E1372" s="21" t="str">
        <f aca="false">IF(OR(B1372="",N(N1372)=0,N1372=1000),IF(B1372="","","Check"),INDEX(Rules!$B:$B,N1372))</f>
        <v/>
      </c>
      <c r="F1372" s="21" t="str">
        <f aca="false">IF(OR(B1372="",N(N1372)=0,N1372=1000),"",INDEX(Rules!$C:$C,N1372))</f>
        <v/>
      </c>
      <c r="G1372" s="24"/>
      <c r="H1372" s="24"/>
      <c r="I1372" s="20" t="str">
        <f aca="false">IF(B1372="","",IF(G1372&lt;&gt;"",G1372,E1372))</f>
        <v/>
      </c>
      <c r="J1372" s="21" t="str">
        <f aca="false">IF(B1372="","",IF(H1372&lt;&gt;"",H1372,F1372))</f>
        <v/>
      </c>
      <c r="K1372" s="26" t="str">
        <f aca="false">IF(A1372="","",DATE(YEAR(A1372),MONTH(A1372),1))</f>
        <v/>
      </c>
      <c r="L1372" s="21" t="str">
        <f aca="false">IF(J1372="",IF(B1372="","",IF(N(C1372)&gt;=0,"Income","Expense")),IFERROR(INDEX(Lists!$B$2:$B$30,MATCH(J1372,Lists!$A$2:$A$30,0)),""))</f>
        <v/>
      </c>
      <c r="M1372" s="24"/>
      <c r="N1372" s="27" t="str">
        <f aca="false">IF(B1372="","",IFERROR(1000-SUMPRODUCT(MAX(ISNUMBER(SEARCH(Rules!$A$5:$A$204,B1372))*(Rules!$A$5:$A$204&lt;&gt;"")*(1000-ROW(Rules!$A$5:$A$204)))),""))</f>
        <v/>
      </c>
    </row>
    <row r="1373" customFormat="false" ht="15" hidden="false" customHeight="false" outlineLevel="0" collapsed="false">
      <c r="A1373" s="23"/>
      <c r="B1373" s="24"/>
      <c r="C1373" s="25"/>
      <c r="D1373" s="24"/>
      <c r="E1373" s="21" t="str">
        <f aca="false">IF(OR(B1373="",N(N1373)=0,N1373=1000),IF(B1373="","","Check"),INDEX(Rules!$B:$B,N1373))</f>
        <v/>
      </c>
      <c r="F1373" s="21" t="str">
        <f aca="false">IF(OR(B1373="",N(N1373)=0,N1373=1000),"",INDEX(Rules!$C:$C,N1373))</f>
        <v/>
      </c>
      <c r="G1373" s="24"/>
      <c r="H1373" s="24"/>
      <c r="I1373" s="20" t="str">
        <f aca="false">IF(B1373="","",IF(G1373&lt;&gt;"",G1373,E1373))</f>
        <v/>
      </c>
      <c r="J1373" s="21" t="str">
        <f aca="false">IF(B1373="","",IF(H1373&lt;&gt;"",H1373,F1373))</f>
        <v/>
      </c>
      <c r="K1373" s="26" t="str">
        <f aca="false">IF(A1373="","",DATE(YEAR(A1373),MONTH(A1373),1))</f>
        <v/>
      </c>
      <c r="L1373" s="21" t="str">
        <f aca="false">IF(J1373="",IF(B1373="","",IF(N(C1373)&gt;=0,"Income","Expense")),IFERROR(INDEX(Lists!$B$2:$B$30,MATCH(J1373,Lists!$A$2:$A$30,0)),""))</f>
        <v/>
      </c>
      <c r="M1373" s="24"/>
      <c r="N1373" s="27" t="str">
        <f aca="false">IF(B1373="","",IFERROR(1000-SUMPRODUCT(MAX(ISNUMBER(SEARCH(Rules!$A$5:$A$204,B1373))*(Rules!$A$5:$A$204&lt;&gt;"")*(1000-ROW(Rules!$A$5:$A$204)))),""))</f>
        <v/>
      </c>
    </row>
    <row r="1374" customFormat="false" ht="15" hidden="false" customHeight="false" outlineLevel="0" collapsed="false">
      <c r="A1374" s="23"/>
      <c r="B1374" s="24"/>
      <c r="C1374" s="25"/>
      <c r="D1374" s="24"/>
      <c r="E1374" s="21" t="str">
        <f aca="false">IF(OR(B1374="",N(N1374)=0,N1374=1000),IF(B1374="","","Check"),INDEX(Rules!$B:$B,N1374))</f>
        <v/>
      </c>
      <c r="F1374" s="21" t="str">
        <f aca="false">IF(OR(B1374="",N(N1374)=0,N1374=1000),"",INDEX(Rules!$C:$C,N1374))</f>
        <v/>
      </c>
      <c r="G1374" s="24"/>
      <c r="H1374" s="24"/>
      <c r="I1374" s="20" t="str">
        <f aca="false">IF(B1374="","",IF(G1374&lt;&gt;"",G1374,E1374))</f>
        <v/>
      </c>
      <c r="J1374" s="21" t="str">
        <f aca="false">IF(B1374="","",IF(H1374&lt;&gt;"",H1374,F1374))</f>
        <v/>
      </c>
      <c r="K1374" s="26" t="str">
        <f aca="false">IF(A1374="","",DATE(YEAR(A1374),MONTH(A1374),1))</f>
        <v/>
      </c>
      <c r="L1374" s="21" t="str">
        <f aca="false">IF(J1374="",IF(B1374="","",IF(N(C1374)&gt;=0,"Income","Expense")),IFERROR(INDEX(Lists!$B$2:$B$30,MATCH(J1374,Lists!$A$2:$A$30,0)),""))</f>
        <v/>
      </c>
      <c r="M1374" s="24"/>
      <c r="N1374" s="27" t="str">
        <f aca="false">IF(B1374="","",IFERROR(1000-SUMPRODUCT(MAX(ISNUMBER(SEARCH(Rules!$A$5:$A$204,B1374))*(Rules!$A$5:$A$204&lt;&gt;"")*(1000-ROW(Rules!$A$5:$A$204)))),""))</f>
        <v/>
      </c>
    </row>
    <row r="1375" customFormat="false" ht="15" hidden="false" customHeight="false" outlineLevel="0" collapsed="false">
      <c r="A1375" s="23"/>
      <c r="B1375" s="24"/>
      <c r="C1375" s="25"/>
      <c r="D1375" s="24"/>
      <c r="E1375" s="21" t="str">
        <f aca="false">IF(OR(B1375="",N(N1375)=0,N1375=1000),IF(B1375="","","Check"),INDEX(Rules!$B:$B,N1375))</f>
        <v/>
      </c>
      <c r="F1375" s="21" t="str">
        <f aca="false">IF(OR(B1375="",N(N1375)=0,N1375=1000),"",INDEX(Rules!$C:$C,N1375))</f>
        <v/>
      </c>
      <c r="G1375" s="24"/>
      <c r="H1375" s="24"/>
      <c r="I1375" s="20" t="str">
        <f aca="false">IF(B1375="","",IF(G1375&lt;&gt;"",G1375,E1375))</f>
        <v/>
      </c>
      <c r="J1375" s="21" t="str">
        <f aca="false">IF(B1375="","",IF(H1375&lt;&gt;"",H1375,F1375))</f>
        <v/>
      </c>
      <c r="K1375" s="26" t="str">
        <f aca="false">IF(A1375="","",DATE(YEAR(A1375),MONTH(A1375),1))</f>
        <v/>
      </c>
      <c r="L1375" s="21" t="str">
        <f aca="false">IF(J1375="",IF(B1375="","",IF(N(C1375)&gt;=0,"Income","Expense")),IFERROR(INDEX(Lists!$B$2:$B$30,MATCH(J1375,Lists!$A$2:$A$30,0)),""))</f>
        <v/>
      </c>
      <c r="M1375" s="24"/>
      <c r="N1375" s="27" t="str">
        <f aca="false">IF(B1375="","",IFERROR(1000-SUMPRODUCT(MAX(ISNUMBER(SEARCH(Rules!$A$5:$A$204,B1375))*(Rules!$A$5:$A$204&lt;&gt;"")*(1000-ROW(Rules!$A$5:$A$204)))),""))</f>
        <v/>
      </c>
    </row>
    <row r="1376" customFormat="false" ht="15" hidden="false" customHeight="false" outlineLevel="0" collapsed="false">
      <c r="A1376" s="23"/>
      <c r="B1376" s="24"/>
      <c r="C1376" s="25"/>
      <c r="D1376" s="24"/>
      <c r="E1376" s="21" t="str">
        <f aca="false">IF(OR(B1376="",N(N1376)=0,N1376=1000),IF(B1376="","","Check"),INDEX(Rules!$B:$B,N1376))</f>
        <v/>
      </c>
      <c r="F1376" s="21" t="str">
        <f aca="false">IF(OR(B1376="",N(N1376)=0,N1376=1000),"",INDEX(Rules!$C:$C,N1376))</f>
        <v/>
      </c>
      <c r="G1376" s="24"/>
      <c r="H1376" s="24"/>
      <c r="I1376" s="20" t="str">
        <f aca="false">IF(B1376="","",IF(G1376&lt;&gt;"",G1376,E1376))</f>
        <v/>
      </c>
      <c r="J1376" s="21" t="str">
        <f aca="false">IF(B1376="","",IF(H1376&lt;&gt;"",H1376,F1376))</f>
        <v/>
      </c>
      <c r="K1376" s="26" t="str">
        <f aca="false">IF(A1376="","",DATE(YEAR(A1376),MONTH(A1376),1))</f>
        <v/>
      </c>
      <c r="L1376" s="21" t="str">
        <f aca="false">IF(J1376="",IF(B1376="","",IF(N(C1376)&gt;=0,"Income","Expense")),IFERROR(INDEX(Lists!$B$2:$B$30,MATCH(J1376,Lists!$A$2:$A$30,0)),""))</f>
        <v/>
      </c>
      <c r="M1376" s="24"/>
      <c r="N1376" s="27" t="str">
        <f aca="false">IF(B1376="","",IFERROR(1000-SUMPRODUCT(MAX(ISNUMBER(SEARCH(Rules!$A$5:$A$204,B1376))*(Rules!$A$5:$A$204&lt;&gt;"")*(1000-ROW(Rules!$A$5:$A$204)))),""))</f>
        <v/>
      </c>
    </row>
    <row r="1377" customFormat="false" ht="15" hidden="false" customHeight="false" outlineLevel="0" collapsed="false">
      <c r="A1377" s="23"/>
      <c r="B1377" s="24"/>
      <c r="C1377" s="25"/>
      <c r="D1377" s="24"/>
      <c r="E1377" s="21" t="str">
        <f aca="false">IF(OR(B1377="",N(N1377)=0,N1377=1000),IF(B1377="","","Check"),INDEX(Rules!$B:$B,N1377))</f>
        <v/>
      </c>
      <c r="F1377" s="21" t="str">
        <f aca="false">IF(OR(B1377="",N(N1377)=0,N1377=1000),"",INDEX(Rules!$C:$C,N1377))</f>
        <v/>
      </c>
      <c r="G1377" s="24"/>
      <c r="H1377" s="24"/>
      <c r="I1377" s="20" t="str">
        <f aca="false">IF(B1377="","",IF(G1377&lt;&gt;"",G1377,E1377))</f>
        <v/>
      </c>
      <c r="J1377" s="21" t="str">
        <f aca="false">IF(B1377="","",IF(H1377&lt;&gt;"",H1377,F1377))</f>
        <v/>
      </c>
      <c r="K1377" s="26" t="str">
        <f aca="false">IF(A1377="","",DATE(YEAR(A1377),MONTH(A1377),1))</f>
        <v/>
      </c>
      <c r="L1377" s="21" t="str">
        <f aca="false">IF(J1377="",IF(B1377="","",IF(N(C1377)&gt;=0,"Income","Expense")),IFERROR(INDEX(Lists!$B$2:$B$30,MATCH(J1377,Lists!$A$2:$A$30,0)),""))</f>
        <v/>
      </c>
      <c r="M1377" s="24"/>
      <c r="N1377" s="27" t="str">
        <f aca="false">IF(B1377="","",IFERROR(1000-SUMPRODUCT(MAX(ISNUMBER(SEARCH(Rules!$A$5:$A$204,B1377))*(Rules!$A$5:$A$204&lt;&gt;"")*(1000-ROW(Rules!$A$5:$A$204)))),""))</f>
        <v/>
      </c>
    </row>
    <row r="1378" customFormat="false" ht="15" hidden="false" customHeight="false" outlineLevel="0" collapsed="false">
      <c r="A1378" s="23"/>
      <c r="B1378" s="24"/>
      <c r="C1378" s="25"/>
      <c r="D1378" s="24"/>
      <c r="E1378" s="21" t="str">
        <f aca="false">IF(OR(B1378="",N(N1378)=0,N1378=1000),IF(B1378="","","Check"),INDEX(Rules!$B:$B,N1378))</f>
        <v/>
      </c>
      <c r="F1378" s="21" t="str">
        <f aca="false">IF(OR(B1378="",N(N1378)=0,N1378=1000),"",INDEX(Rules!$C:$C,N1378))</f>
        <v/>
      </c>
      <c r="G1378" s="24"/>
      <c r="H1378" s="24"/>
      <c r="I1378" s="20" t="str">
        <f aca="false">IF(B1378="","",IF(G1378&lt;&gt;"",G1378,E1378))</f>
        <v/>
      </c>
      <c r="J1378" s="21" t="str">
        <f aca="false">IF(B1378="","",IF(H1378&lt;&gt;"",H1378,F1378))</f>
        <v/>
      </c>
      <c r="K1378" s="26" t="str">
        <f aca="false">IF(A1378="","",DATE(YEAR(A1378),MONTH(A1378),1))</f>
        <v/>
      </c>
      <c r="L1378" s="21" t="str">
        <f aca="false">IF(J1378="",IF(B1378="","",IF(N(C1378)&gt;=0,"Income","Expense")),IFERROR(INDEX(Lists!$B$2:$B$30,MATCH(J1378,Lists!$A$2:$A$30,0)),""))</f>
        <v/>
      </c>
      <c r="M1378" s="24"/>
      <c r="N1378" s="27" t="str">
        <f aca="false">IF(B1378="","",IFERROR(1000-SUMPRODUCT(MAX(ISNUMBER(SEARCH(Rules!$A$5:$A$204,B1378))*(Rules!$A$5:$A$204&lt;&gt;"")*(1000-ROW(Rules!$A$5:$A$204)))),""))</f>
        <v/>
      </c>
    </row>
    <row r="1379" customFormat="false" ht="15" hidden="false" customHeight="false" outlineLevel="0" collapsed="false">
      <c r="A1379" s="23"/>
      <c r="B1379" s="24"/>
      <c r="C1379" s="25"/>
      <c r="D1379" s="24"/>
      <c r="E1379" s="21" t="str">
        <f aca="false">IF(OR(B1379="",N(N1379)=0,N1379=1000),IF(B1379="","","Check"),INDEX(Rules!$B:$B,N1379))</f>
        <v/>
      </c>
      <c r="F1379" s="21" t="str">
        <f aca="false">IF(OR(B1379="",N(N1379)=0,N1379=1000),"",INDEX(Rules!$C:$C,N1379))</f>
        <v/>
      </c>
      <c r="G1379" s="24"/>
      <c r="H1379" s="24"/>
      <c r="I1379" s="20" t="str">
        <f aca="false">IF(B1379="","",IF(G1379&lt;&gt;"",G1379,E1379))</f>
        <v/>
      </c>
      <c r="J1379" s="21" t="str">
        <f aca="false">IF(B1379="","",IF(H1379&lt;&gt;"",H1379,F1379))</f>
        <v/>
      </c>
      <c r="K1379" s="26" t="str">
        <f aca="false">IF(A1379="","",DATE(YEAR(A1379),MONTH(A1379),1))</f>
        <v/>
      </c>
      <c r="L1379" s="21" t="str">
        <f aca="false">IF(J1379="",IF(B1379="","",IF(N(C1379)&gt;=0,"Income","Expense")),IFERROR(INDEX(Lists!$B$2:$B$30,MATCH(J1379,Lists!$A$2:$A$30,0)),""))</f>
        <v/>
      </c>
      <c r="M1379" s="24"/>
      <c r="N1379" s="27" t="str">
        <f aca="false">IF(B1379="","",IFERROR(1000-SUMPRODUCT(MAX(ISNUMBER(SEARCH(Rules!$A$5:$A$204,B1379))*(Rules!$A$5:$A$204&lt;&gt;"")*(1000-ROW(Rules!$A$5:$A$204)))),""))</f>
        <v/>
      </c>
    </row>
    <row r="1380" customFormat="false" ht="15" hidden="false" customHeight="false" outlineLevel="0" collapsed="false">
      <c r="A1380" s="23"/>
      <c r="B1380" s="24"/>
      <c r="C1380" s="25"/>
      <c r="D1380" s="24"/>
      <c r="E1380" s="21" t="str">
        <f aca="false">IF(OR(B1380="",N(N1380)=0,N1380=1000),IF(B1380="","","Check"),INDEX(Rules!$B:$B,N1380))</f>
        <v/>
      </c>
      <c r="F1380" s="21" t="str">
        <f aca="false">IF(OR(B1380="",N(N1380)=0,N1380=1000),"",INDEX(Rules!$C:$C,N1380))</f>
        <v/>
      </c>
      <c r="G1380" s="24"/>
      <c r="H1380" s="24"/>
      <c r="I1380" s="20" t="str">
        <f aca="false">IF(B1380="","",IF(G1380&lt;&gt;"",G1380,E1380))</f>
        <v/>
      </c>
      <c r="J1380" s="21" t="str">
        <f aca="false">IF(B1380="","",IF(H1380&lt;&gt;"",H1380,F1380))</f>
        <v/>
      </c>
      <c r="K1380" s="26" t="str">
        <f aca="false">IF(A1380="","",DATE(YEAR(A1380),MONTH(A1380),1))</f>
        <v/>
      </c>
      <c r="L1380" s="21" t="str">
        <f aca="false">IF(J1380="",IF(B1380="","",IF(N(C1380)&gt;=0,"Income","Expense")),IFERROR(INDEX(Lists!$B$2:$B$30,MATCH(J1380,Lists!$A$2:$A$30,0)),""))</f>
        <v/>
      </c>
      <c r="M1380" s="24"/>
      <c r="N1380" s="27" t="str">
        <f aca="false">IF(B1380="","",IFERROR(1000-SUMPRODUCT(MAX(ISNUMBER(SEARCH(Rules!$A$5:$A$204,B1380))*(Rules!$A$5:$A$204&lt;&gt;"")*(1000-ROW(Rules!$A$5:$A$204)))),""))</f>
        <v/>
      </c>
    </row>
    <row r="1381" customFormat="false" ht="15" hidden="false" customHeight="false" outlineLevel="0" collapsed="false">
      <c r="A1381" s="23"/>
      <c r="B1381" s="24"/>
      <c r="C1381" s="25"/>
      <c r="D1381" s="24"/>
      <c r="E1381" s="21" t="str">
        <f aca="false">IF(OR(B1381="",N(N1381)=0,N1381=1000),IF(B1381="","","Check"),INDEX(Rules!$B:$B,N1381))</f>
        <v/>
      </c>
      <c r="F1381" s="21" t="str">
        <f aca="false">IF(OR(B1381="",N(N1381)=0,N1381=1000),"",INDEX(Rules!$C:$C,N1381))</f>
        <v/>
      </c>
      <c r="G1381" s="24"/>
      <c r="H1381" s="24"/>
      <c r="I1381" s="20" t="str">
        <f aca="false">IF(B1381="","",IF(G1381&lt;&gt;"",G1381,E1381))</f>
        <v/>
      </c>
      <c r="J1381" s="21" t="str">
        <f aca="false">IF(B1381="","",IF(H1381&lt;&gt;"",H1381,F1381))</f>
        <v/>
      </c>
      <c r="K1381" s="26" t="str">
        <f aca="false">IF(A1381="","",DATE(YEAR(A1381),MONTH(A1381),1))</f>
        <v/>
      </c>
      <c r="L1381" s="21" t="str">
        <f aca="false">IF(J1381="",IF(B1381="","",IF(N(C1381)&gt;=0,"Income","Expense")),IFERROR(INDEX(Lists!$B$2:$B$30,MATCH(J1381,Lists!$A$2:$A$30,0)),""))</f>
        <v/>
      </c>
      <c r="M1381" s="24"/>
      <c r="N1381" s="27" t="str">
        <f aca="false">IF(B1381="","",IFERROR(1000-SUMPRODUCT(MAX(ISNUMBER(SEARCH(Rules!$A$5:$A$204,B1381))*(Rules!$A$5:$A$204&lt;&gt;"")*(1000-ROW(Rules!$A$5:$A$204)))),""))</f>
        <v/>
      </c>
    </row>
    <row r="1382" customFormat="false" ht="15" hidden="false" customHeight="false" outlineLevel="0" collapsed="false">
      <c r="A1382" s="23"/>
      <c r="B1382" s="24"/>
      <c r="C1382" s="25"/>
      <c r="D1382" s="24"/>
      <c r="E1382" s="21" t="str">
        <f aca="false">IF(OR(B1382="",N(N1382)=0,N1382=1000),IF(B1382="","","Check"),INDEX(Rules!$B:$B,N1382))</f>
        <v/>
      </c>
      <c r="F1382" s="21" t="str">
        <f aca="false">IF(OR(B1382="",N(N1382)=0,N1382=1000),"",INDEX(Rules!$C:$C,N1382))</f>
        <v/>
      </c>
      <c r="G1382" s="24"/>
      <c r="H1382" s="24"/>
      <c r="I1382" s="20" t="str">
        <f aca="false">IF(B1382="","",IF(G1382&lt;&gt;"",G1382,E1382))</f>
        <v/>
      </c>
      <c r="J1382" s="21" t="str">
        <f aca="false">IF(B1382="","",IF(H1382&lt;&gt;"",H1382,F1382))</f>
        <v/>
      </c>
      <c r="K1382" s="26" t="str">
        <f aca="false">IF(A1382="","",DATE(YEAR(A1382),MONTH(A1382),1))</f>
        <v/>
      </c>
      <c r="L1382" s="21" t="str">
        <f aca="false">IF(J1382="",IF(B1382="","",IF(N(C1382)&gt;=0,"Income","Expense")),IFERROR(INDEX(Lists!$B$2:$B$30,MATCH(J1382,Lists!$A$2:$A$30,0)),""))</f>
        <v/>
      </c>
      <c r="M1382" s="24"/>
      <c r="N1382" s="27" t="str">
        <f aca="false">IF(B1382="","",IFERROR(1000-SUMPRODUCT(MAX(ISNUMBER(SEARCH(Rules!$A$5:$A$204,B1382))*(Rules!$A$5:$A$204&lt;&gt;"")*(1000-ROW(Rules!$A$5:$A$204)))),""))</f>
        <v/>
      </c>
    </row>
    <row r="1383" customFormat="false" ht="15" hidden="false" customHeight="false" outlineLevel="0" collapsed="false">
      <c r="A1383" s="23"/>
      <c r="B1383" s="24"/>
      <c r="C1383" s="25"/>
      <c r="D1383" s="24"/>
      <c r="E1383" s="21" t="str">
        <f aca="false">IF(OR(B1383="",N(N1383)=0,N1383=1000),IF(B1383="","","Check"),INDEX(Rules!$B:$B,N1383))</f>
        <v/>
      </c>
      <c r="F1383" s="21" t="str">
        <f aca="false">IF(OR(B1383="",N(N1383)=0,N1383=1000),"",INDEX(Rules!$C:$C,N1383))</f>
        <v/>
      </c>
      <c r="G1383" s="24"/>
      <c r="H1383" s="24"/>
      <c r="I1383" s="20" t="str">
        <f aca="false">IF(B1383="","",IF(G1383&lt;&gt;"",G1383,E1383))</f>
        <v/>
      </c>
      <c r="J1383" s="21" t="str">
        <f aca="false">IF(B1383="","",IF(H1383&lt;&gt;"",H1383,F1383))</f>
        <v/>
      </c>
      <c r="K1383" s="26" t="str">
        <f aca="false">IF(A1383="","",DATE(YEAR(A1383),MONTH(A1383),1))</f>
        <v/>
      </c>
      <c r="L1383" s="21" t="str">
        <f aca="false">IF(J1383="",IF(B1383="","",IF(N(C1383)&gt;=0,"Income","Expense")),IFERROR(INDEX(Lists!$B$2:$B$30,MATCH(J1383,Lists!$A$2:$A$30,0)),""))</f>
        <v/>
      </c>
      <c r="M1383" s="24"/>
      <c r="N1383" s="27" t="str">
        <f aca="false">IF(B1383="","",IFERROR(1000-SUMPRODUCT(MAX(ISNUMBER(SEARCH(Rules!$A$5:$A$204,B1383))*(Rules!$A$5:$A$204&lt;&gt;"")*(1000-ROW(Rules!$A$5:$A$204)))),""))</f>
        <v/>
      </c>
    </row>
    <row r="1384" customFormat="false" ht="15" hidden="false" customHeight="false" outlineLevel="0" collapsed="false">
      <c r="A1384" s="23"/>
      <c r="B1384" s="24"/>
      <c r="C1384" s="25"/>
      <c r="D1384" s="24"/>
      <c r="E1384" s="21" t="str">
        <f aca="false">IF(OR(B1384="",N(N1384)=0,N1384=1000),IF(B1384="","","Check"),INDEX(Rules!$B:$B,N1384))</f>
        <v/>
      </c>
      <c r="F1384" s="21" t="str">
        <f aca="false">IF(OR(B1384="",N(N1384)=0,N1384=1000),"",INDEX(Rules!$C:$C,N1384))</f>
        <v/>
      </c>
      <c r="G1384" s="24"/>
      <c r="H1384" s="24"/>
      <c r="I1384" s="20" t="str">
        <f aca="false">IF(B1384="","",IF(G1384&lt;&gt;"",G1384,E1384))</f>
        <v/>
      </c>
      <c r="J1384" s="21" t="str">
        <f aca="false">IF(B1384="","",IF(H1384&lt;&gt;"",H1384,F1384))</f>
        <v/>
      </c>
      <c r="K1384" s="26" t="str">
        <f aca="false">IF(A1384="","",DATE(YEAR(A1384),MONTH(A1384),1))</f>
        <v/>
      </c>
      <c r="L1384" s="21" t="str">
        <f aca="false">IF(J1384="",IF(B1384="","",IF(N(C1384)&gt;=0,"Income","Expense")),IFERROR(INDEX(Lists!$B$2:$B$30,MATCH(J1384,Lists!$A$2:$A$30,0)),""))</f>
        <v/>
      </c>
      <c r="M1384" s="24"/>
      <c r="N1384" s="27" t="str">
        <f aca="false">IF(B1384="","",IFERROR(1000-SUMPRODUCT(MAX(ISNUMBER(SEARCH(Rules!$A$5:$A$204,B1384))*(Rules!$A$5:$A$204&lt;&gt;"")*(1000-ROW(Rules!$A$5:$A$204)))),""))</f>
        <v/>
      </c>
    </row>
    <row r="1385" customFormat="false" ht="15" hidden="false" customHeight="false" outlineLevel="0" collapsed="false">
      <c r="A1385" s="23"/>
      <c r="B1385" s="24"/>
      <c r="C1385" s="25"/>
      <c r="D1385" s="24"/>
      <c r="E1385" s="21" t="str">
        <f aca="false">IF(OR(B1385="",N(N1385)=0,N1385=1000),IF(B1385="","","Check"),INDEX(Rules!$B:$B,N1385))</f>
        <v/>
      </c>
      <c r="F1385" s="21" t="str">
        <f aca="false">IF(OR(B1385="",N(N1385)=0,N1385=1000),"",INDEX(Rules!$C:$C,N1385))</f>
        <v/>
      </c>
      <c r="G1385" s="24"/>
      <c r="H1385" s="24"/>
      <c r="I1385" s="20" t="str">
        <f aca="false">IF(B1385="","",IF(G1385&lt;&gt;"",G1385,E1385))</f>
        <v/>
      </c>
      <c r="J1385" s="21" t="str">
        <f aca="false">IF(B1385="","",IF(H1385&lt;&gt;"",H1385,F1385))</f>
        <v/>
      </c>
      <c r="K1385" s="26" t="str">
        <f aca="false">IF(A1385="","",DATE(YEAR(A1385),MONTH(A1385),1))</f>
        <v/>
      </c>
      <c r="L1385" s="21" t="str">
        <f aca="false">IF(J1385="",IF(B1385="","",IF(N(C1385)&gt;=0,"Income","Expense")),IFERROR(INDEX(Lists!$B$2:$B$30,MATCH(J1385,Lists!$A$2:$A$30,0)),""))</f>
        <v/>
      </c>
      <c r="M1385" s="24"/>
      <c r="N1385" s="27" t="str">
        <f aca="false">IF(B1385="","",IFERROR(1000-SUMPRODUCT(MAX(ISNUMBER(SEARCH(Rules!$A$5:$A$204,B1385))*(Rules!$A$5:$A$204&lt;&gt;"")*(1000-ROW(Rules!$A$5:$A$204)))),""))</f>
        <v/>
      </c>
    </row>
    <row r="1386" customFormat="false" ht="15" hidden="false" customHeight="false" outlineLevel="0" collapsed="false">
      <c r="A1386" s="23"/>
      <c r="B1386" s="24"/>
      <c r="C1386" s="25"/>
      <c r="D1386" s="24"/>
      <c r="E1386" s="21" t="str">
        <f aca="false">IF(OR(B1386="",N(N1386)=0,N1386=1000),IF(B1386="","","Check"),INDEX(Rules!$B:$B,N1386))</f>
        <v/>
      </c>
      <c r="F1386" s="21" t="str">
        <f aca="false">IF(OR(B1386="",N(N1386)=0,N1386=1000),"",INDEX(Rules!$C:$C,N1386))</f>
        <v/>
      </c>
      <c r="G1386" s="24"/>
      <c r="H1386" s="24"/>
      <c r="I1386" s="20" t="str">
        <f aca="false">IF(B1386="","",IF(G1386&lt;&gt;"",G1386,E1386))</f>
        <v/>
      </c>
      <c r="J1386" s="21" t="str">
        <f aca="false">IF(B1386="","",IF(H1386&lt;&gt;"",H1386,F1386))</f>
        <v/>
      </c>
      <c r="K1386" s="26" t="str">
        <f aca="false">IF(A1386="","",DATE(YEAR(A1386),MONTH(A1386),1))</f>
        <v/>
      </c>
      <c r="L1386" s="21" t="str">
        <f aca="false">IF(J1386="",IF(B1386="","",IF(N(C1386)&gt;=0,"Income","Expense")),IFERROR(INDEX(Lists!$B$2:$B$30,MATCH(J1386,Lists!$A$2:$A$30,0)),""))</f>
        <v/>
      </c>
      <c r="M1386" s="24"/>
      <c r="N1386" s="27" t="str">
        <f aca="false">IF(B1386="","",IFERROR(1000-SUMPRODUCT(MAX(ISNUMBER(SEARCH(Rules!$A$5:$A$204,B1386))*(Rules!$A$5:$A$204&lt;&gt;"")*(1000-ROW(Rules!$A$5:$A$204)))),""))</f>
        <v/>
      </c>
    </row>
    <row r="1387" customFormat="false" ht="15" hidden="false" customHeight="false" outlineLevel="0" collapsed="false">
      <c r="A1387" s="23"/>
      <c r="B1387" s="24"/>
      <c r="C1387" s="25"/>
      <c r="D1387" s="24"/>
      <c r="E1387" s="21" t="str">
        <f aca="false">IF(OR(B1387="",N(N1387)=0,N1387=1000),IF(B1387="","","Check"),INDEX(Rules!$B:$B,N1387))</f>
        <v/>
      </c>
      <c r="F1387" s="21" t="str">
        <f aca="false">IF(OR(B1387="",N(N1387)=0,N1387=1000),"",INDEX(Rules!$C:$C,N1387))</f>
        <v/>
      </c>
      <c r="G1387" s="24"/>
      <c r="H1387" s="24"/>
      <c r="I1387" s="20" t="str">
        <f aca="false">IF(B1387="","",IF(G1387&lt;&gt;"",G1387,E1387))</f>
        <v/>
      </c>
      <c r="J1387" s="21" t="str">
        <f aca="false">IF(B1387="","",IF(H1387&lt;&gt;"",H1387,F1387))</f>
        <v/>
      </c>
      <c r="K1387" s="26" t="str">
        <f aca="false">IF(A1387="","",DATE(YEAR(A1387),MONTH(A1387),1))</f>
        <v/>
      </c>
      <c r="L1387" s="21" t="str">
        <f aca="false">IF(J1387="",IF(B1387="","",IF(N(C1387)&gt;=0,"Income","Expense")),IFERROR(INDEX(Lists!$B$2:$B$30,MATCH(J1387,Lists!$A$2:$A$30,0)),""))</f>
        <v/>
      </c>
      <c r="M1387" s="24"/>
      <c r="N1387" s="27" t="str">
        <f aca="false">IF(B1387="","",IFERROR(1000-SUMPRODUCT(MAX(ISNUMBER(SEARCH(Rules!$A$5:$A$204,B1387))*(Rules!$A$5:$A$204&lt;&gt;"")*(1000-ROW(Rules!$A$5:$A$204)))),""))</f>
        <v/>
      </c>
    </row>
    <row r="1388" customFormat="false" ht="15" hidden="false" customHeight="false" outlineLevel="0" collapsed="false">
      <c r="A1388" s="23"/>
      <c r="B1388" s="24"/>
      <c r="C1388" s="25"/>
      <c r="D1388" s="24"/>
      <c r="E1388" s="21" t="str">
        <f aca="false">IF(OR(B1388="",N(N1388)=0,N1388=1000),IF(B1388="","","Check"),INDEX(Rules!$B:$B,N1388))</f>
        <v/>
      </c>
      <c r="F1388" s="21" t="str">
        <f aca="false">IF(OR(B1388="",N(N1388)=0,N1388=1000),"",INDEX(Rules!$C:$C,N1388))</f>
        <v/>
      </c>
      <c r="G1388" s="24"/>
      <c r="H1388" s="24"/>
      <c r="I1388" s="20" t="str">
        <f aca="false">IF(B1388="","",IF(G1388&lt;&gt;"",G1388,E1388))</f>
        <v/>
      </c>
      <c r="J1388" s="21" t="str">
        <f aca="false">IF(B1388="","",IF(H1388&lt;&gt;"",H1388,F1388))</f>
        <v/>
      </c>
      <c r="K1388" s="26" t="str">
        <f aca="false">IF(A1388="","",DATE(YEAR(A1388),MONTH(A1388),1))</f>
        <v/>
      </c>
      <c r="L1388" s="21" t="str">
        <f aca="false">IF(J1388="",IF(B1388="","",IF(N(C1388)&gt;=0,"Income","Expense")),IFERROR(INDEX(Lists!$B$2:$B$30,MATCH(J1388,Lists!$A$2:$A$30,0)),""))</f>
        <v/>
      </c>
      <c r="M1388" s="24"/>
      <c r="N1388" s="27" t="str">
        <f aca="false">IF(B1388="","",IFERROR(1000-SUMPRODUCT(MAX(ISNUMBER(SEARCH(Rules!$A$5:$A$204,B1388))*(Rules!$A$5:$A$204&lt;&gt;"")*(1000-ROW(Rules!$A$5:$A$204)))),""))</f>
        <v/>
      </c>
    </row>
    <row r="1389" customFormat="false" ht="15" hidden="false" customHeight="false" outlineLevel="0" collapsed="false">
      <c r="A1389" s="23"/>
      <c r="B1389" s="24"/>
      <c r="C1389" s="25"/>
      <c r="D1389" s="24"/>
      <c r="E1389" s="21" t="str">
        <f aca="false">IF(OR(B1389="",N(N1389)=0,N1389=1000),IF(B1389="","","Check"),INDEX(Rules!$B:$B,N1389))</f>
        <v/>
      </c>
      <c r="F1389" s="21" t="str">
        <f aca="false">IF(OR(B1389="",N(N1389)=0,N1389=1000),"",INDEX(Rules!$C:$C,N1389))</f>
        <v/>
      </c>
      <c r="G1389" s="24"/>
      <c r="H1389" s="24"/>
      <c r="I1389" s="20" t="str">
        <f aca="false">IF(B1389="","",IF(G1389&lt;&gt;"",G1389,E1389))</f>
        <v/>
      </c>
      <c r="J1389" s="21" t="str">
        <f aca="false">IF(B1389="","",IF(H1389&lt;&gt;"",H1389,F1389))</f>
        <v/>
      </c>
      <c r="K1389" s="26" t="str">
        <f aca="false">IF(A1389="","",DATE(YEAR(A1389),MONTH(A1389),1))</f>
        <v/>
      </c>
      <c r="L1389" s="21" t="str">
        <f aca="false">IF(J1389="",IF(B1389="","",IF(N(C1389)&gt;=0,"Income","Expense")),IFERROR(INDEX(Lists!$B$2:$B$30,MATCH(J1389,Lists!$A$2:$A$30,0)),""))</f>
        <v/>
      </c>
      <c r="M1389" s="24"/>
      <c r="N1389" s="27" t="str">
        <f aca="false">IF(B1389="","",IFERROR(1000-SUMPRODUCT(MAX(ISNUMBER(SEARCH(Rules!$A$5:$A$204,B1389))*(Rules!$A$5:$A$204&lt;&gt;"")*(1000-ROW(Rules!$A$5:$A$204)))),""))</f>
        <v/>
      </c>
    </row>
    <row r="1390" customFormat="false" ht="15" hidden="false" customHeight="false" outlineLevel="0" collapsed="false">
      <c r="A1390" s="23"/>
      <c r="B1390" s="24"/>
      <c r="C1390" s="25"/>
      <c r="D1390" s="24"/>
      <c r="E1390" s="21" t="str">
        <f aca="false">IF(OR(B1390="",N(N1390)=0,N1390=1000),IF(B1390="","","Check"),INDEX(Rules!$B:$B,N1390))</f>
        <v/>
      </c>
      <c r="F1390" s="21" t="str">
        <f aca="false">IF(OR(B1390="",N(N1390)=0,N1390=1000),"",INDEX(Rules!$C:$C,N1390))</f>
        <v/>
      </c>
      <c r="G1390" s="24"/>
      <c r="H1390" s="24"/>
      <c r="I1390" s="20" t="str">
        <f aca="false">IF(B1390="","",IF(G1390&lt;&gt;"",G1390,E1390))</f>
        <v/>
      </c>
      <c r="J1390" s="21" t="str">
        <f aca="false">IF(B1390="","",IF(H1390&lt;&gt;"",H1390,F1390))</f>
        <v/>
      </c>
      <c r="K1390" s="26" t="str">
        <f aca="false">IF(A1390="","",DATE(YEAR(A1390),MONTH(A1390),1))</f>
        <v/>
      </c>
      <c r="L1390" s="21" t="str">
        <f aca="false">IF(J1390="",IF(B1390="","",IF(N(C1390)&gt;=0,"Income","Expense")),IFERROR(INDEX(Lists!$B$2:$B$30,MATCH(J1390,Lists!$A$2:$A$30,0)),""))</f>
        <v/>
      </c>
      <c r="M1390" s="24"/>
      <c r="N1390" s="27" t="str">
        <f aca="false">IF(B1390="","",IFERROR(1000-SUMPRODUCT(MAX(ISNUMBER(SEARCH(Rules!$A$5:$A$204,B1390))*(Rules!$A$5:$A$204&lt;&gt;"")*(1000-ROW(Rules!$A$5:$A$204)))),""))</f>
        <v/>
      </c>
    </row>
    <row r="1391" customFormat="false" ht="15" hidden="false" customHeight="false" outlineLevel="0" collapsed="false">
      <c r="A1391" s="23"/>
      <c r="B1391" s="24"/>
      <c r="C1391" s="25"/>
      <c r="D1391" s="24"/>
      <c r="E1391" s="21" t="str">
        <f aca="false">IF(OR(B1391="",N(N1391)=0,N1391=1000),IF(B1391="","","Check"),INDEX(Rules!$B:$B,N1391))</f>
        <v/>
      </c>
      <c r="F1391" s="21" t="str">
        <f aca="false">IF(OR(B1391="",N(N1391)=0,N1391=1000),"",INDEX(Rules!$C:$C,N1391))</f>
        <v/>
      </c>
      <c r="G1391" s="24"/>
      <c r="H1391" s="24"/>
      <c r="I1391" s="20" t="str">
        <f aca="false">IF(B1391="","",IF(G1391&lt;&gt;"",G1391,E1391))</f>
        <v/>
      </c>
      <c r="J1391" s="21" t="str">
        <f aca="false">IF(B1391="","",IF(H1391&lt;&gt;"",H1391,F1391))</f>
        <v/>
      </c>
      <c r="K1391" s="26" t="str">
        <f aca="false">IF(A1391="","",DATE(YEAR(A1391),MONTH(A1391),1))</f>
        <v/>
      </c>
      <c r="L1391" s="21" t="str">
        <f aca="false">IF(J1391="",IF(B1391="","",IF(N(C1391)&gt;=0,"Income","Expense")),IFERROR(INDEX(Lists!$B$2:$B$30,MATCH(J1391,Lists!$A$2:$A$30,0)),""))</f>
        <v/>
      </c>
      <c r="M1391" s="24"/>
      <c r="N1391" s="27" t="str">
        <f aca="false">IF(B1391="","",IFERROR(1000-SUMPRODUCT(MAX(ISNUMBER(SEARCH(Rules!$A$5:$A$204,B1391))*(Rules!$A$5:$A$204&lt;&gt;"")*(1000-ROW(Rules!$A$5:$A$204)))),""))</f>
        <v/>
      </c>
    </row>
    <row r="1392" customFormat="false" ht="15" hidden="false" customHeight="false" outlineLevel="0" collapsed="false">
      <c r="A1392" s="23"/>
      <c r="B1392" s="24"/>
      <c r="C1392" s="25"/>
      <c r="D1392" s="24"/>
      <c r="E1392" s="21" t="str">
        <f aca="false">IF(OR(B1392="",N(N1392)=0,N1392=1000),IF(B1392="","","Check"),INDEX(Rules!$B:$B,N1392))</f>
        <v/>
      </c>
      <c r="F1392" s="21" t="str">
        <f aca="false">IF(OR(B1392="",N(N1392)=0,N1392=1000),"",INDEX(Rules!$C:$C,N1392))</f>
        <v/>
      </c>
      <c r="G1392" s="24"/>
      <c r="H1392" s="24"/>
      <c r="I1392" s="20" t="str">
        <f aca="false">IF(B1392="","",IF(G1392&lt;&gt;"",G1392,E1392))</f>
        <v/>
      </c>
      <c r="J1392" s="21" t="str">
        <f aca="false">IF(B1392="","",IF(H1392&lt;&gt;"",H1392,F1392))</f>
        <v/>
      </c>
      <c r="K1392" s="26" t="str">
        <f aca="false">IF(A1392="","",DATE(YEAR(A1392),MONTH(A1392),1))</f>
        <v/>
      </c>
      <c r="L1392" s="21" t="str">
        <f aca="false">IF(J1392="",IF(B1392="","",IF(N(C1392)&gt;=0,"Income","Expense")),IFERROR(INDEX(Lists!$B$2:$B$30,MATCH(J1392,Lists!$A$2:$A$30,0)),""))</f>
        <v/>
      </c>
      <c r="M1392" s="24"/>
      <c r="N1392" s="27" t="str">
        <f aca="false">IF(B1392="","",IFERROR(1000-SUMPRODUCT(MAX(ISNUMBER(SEARCH(Rules!$A$5:$A$204,B1392))*(Rules!$A$5:$A$204&lt;&gt;"")*(1000-ROW(Rules!$A$5:$A$204)))),""))</f>
        <v/>
      </c>
    </row>
    <row r="1393" customFormat="false" ht="15" hidden="false" customHeight="false" outlineLevel="0" collapsed="false">
      <c r="A1393" s="23"/>
      <c r="B1393" s="24"/>
      <c r="C1393" s="25"/>
      <c r="D1393" s="24"/>
      <c r="E1393" s="21" t="str">
        <f aca="false">IF(OR(B1393="",N(N1393)=0,N1393=1000),IF(B1393="","","Check"),INDEX(Rules!$B:$B,N1393))</f>
        <v/>
      </c>
      <c r="F1393" s="21" t="str">
        <f aca="false">IF(OR(B1393="",N(N1393)=0,N1393=1000),"",INDEX(Rules!$C:$C,N1393))</f>
        <v/>
      </c>
      <c r="G1393" s="24"/>
      <c r="H1393" s="24"/>
      <c r="I1393" s="20" t="str">
        <f aca="false">IF(B1393="","",IF(G1393&lt;&gt;"",G1393,E1393))</f>
        <v/>
      </c>
      <c r="J1393" s="21" t="str">
        <f aca="false">IF(B1393="","",IF(H1393&lt;&gt;"",H1393,F1393))</f>
        <v/>
      </c>
      <c r="K1393" s="26" t="str">
        <f aca="false">IF(A1393="","",DATE(YEAR(A1393),MONTH(A1393),1))</f>
        <v/>
      </c>
      <c r="L1393" s="21" t="str">
        <f aca="false">IF(J1393="",IF(B1393="","",IF(N(C1393)&gt;=0,"Income","Expense")),IFERROR(INDEX(Lists!$B$2:$B$30,MATCH(J1393,Lists!$A$2:$A$30,0)),""))</f>
        <v/>
      </c>
      <c r="M1393" s="24"/>
      <c r="N1393" s="27" t="str">
        <f aca="false">IF(B1393="","",IFERROR(1000-SUMPRODUCT(MAX(ISNUMBER(SEARCH(Rules!$A$5:$A$204,B1393))*(Rules!$A$5:$A$204&lt;&gt;"")*(1000-ROW(Rules!$A$5:$A$204)))),""))</f>
        <v/>
      </c>
    </row>
    <row r="1394" customFormat="false" ht="15" hidden="false" customHeight="false" outlineLevel="0" collapsed="false">
      <c r="A1394" s="23"/>
      <c r="B1394" s="24"/>
      <c r="C1394" s="25"/>
      <c r="D1394" s="24"/>
      <c r="E1394" s="21" t="str">
        <f aca="false">IF(OR(B1394="",N(N1394)=0,N1394=1000),IF(B1394="","","Check"),INDEX(Rules!$B:$B,N1394))</f>
        <v/>
      </c>
      <c r="F1394" s="21" t="str">
        <f aca="false">IF(OR(B1394="",N(N1394)=0,N1394=1000),"",INDEX(Rules!$C:$C,N1394))</f>
        <v/>
      </c>
      <c r="G1394" s="24"/>
      <c r="H1394" s="24"/>
      <c r="I1394" s="20" t="str">
        <f aca="false">IF(B1394="","",IF(G1394&lt;&gt;"",G1394,E1394))</f>
        <v/>
      </c>
      <c r="J1394" s="21" t="str">
        <f aca="false">IF(B1394="","",IF(H1394&lt;&gt;"",H1394,F1394))</f>
        <v/>
      </c>
      <c r="K1394" s="26" t="str">
        <f aca="false">IF(A1394="","",DATE(YEAR(A1394),MONTH(A1394),1))</f>
        <v/>
      </c>
      <c r="L1394" s="21" t="str">
        <f aca="false">IF(J1394="",IF(B1394="","",IF(N(C1394)&gt;=0,"Income","Expense")),IFERROR(INDEX(Lists!$B$2:$B$30,MATCH(J1394,Lists!$A$2:$A$30,0)),""))</f>
        <v/>
      </c>
      <c r="M1394" s="24"/>
      <c r="N1394" s="27" t="str">
        <f aca="false">IF(B1394="","",IFERROR(1000-SUMPRODUCT(MAX(ISNUMBER(SEARCH(Rules!$A$5:$A$204,B1394))*(Rules!$A$5:$A$204&lt;&gt;"")*(1000-ROW(Rules!$A$5:$A$204)))),""))</f>
        <v/>
      </c>
    </row>
    <row r="1395" customFormat="false" ht="15" hidden="false" customHeight="false" outlineLevel="0" collapsed="false">
      <c r="A1395" s="23"/>
      <c r="B1395" s="24"/>
      <c r="C1395" s="25"/>
      <c r="D1395" s="24"/>
      <c r="E1395" s="21" t="str">
        <f aca="false">IF(OR(B1395="",N(N1395)=0,N1395=1000),IF(B1395="","","Check"),INDEX(Rules!$B:$B,N1395))</f>
        <v/>
      </c>
      <c r="F1395" s="21" t="str">
        <f aca="false">IF(OR(B1395="",N(N1395)=0,N1395=1000),"",INDEX(Rules!$C:$C,N1395))</f>
        <v/>
      </c>
      <c r="G1395" s="24"/>
      <c r="H1395" s="24"/>
      <c r="I1395" s="20" t="str">
        <f aca="false">IF(B1395="","",IF(G1395&lt;&gt;"",G1395,E1395))</f>
        <v/>
      </c>
      <c r="J1395" s="21" t="str">
        <f aca="false">IF(B1395="","",IF(H1395&lt;&gt;"",H1395,F1395))</f>
        <v/>
      </c>
      <c r="K1395" s="26" t="str">
        <f aca="false">IF(A1395="","",DATE(YEAR(A1395),MONTH(A1395),1))</f>
        <v/>
      </c>
      <c r="L1395" s="21" t="str">
        <f aca="false">IF(J1395="",IF(B1395="","",IF(N(C1395)&gt;=0,"Income","Expense")),IFERROR(INDEX(Lists!$B$2:$B$30,MATCH(J1395,Lists!$A$2:$A$30,0)),""))</f>
        <v/>
      </c>
      <c r="M1395" s="24"/>
      <c r="N1395" s="27" t="str">
        <f aca="false">IF(B1395="","",IFERROR(1000-SUMPRODUCT(MAX(ISNUMBER(SEARCH(Rules!$A$5:$A$204,B1395))*(Rules!$A$5:$A$204&lt;&gt;"")*(1000-ROW(Rules!$A$5:$A$204)))),""))</f>
        <v/>
      </c>
    </row>
    <row r="1396" customFormat="false" ht="15" hidden="false" customHeight="false" outlineLevel="0" collapsed="false">
      <c r="A1396" s="23"/>
      <c r="B1396" s="24"/>
      <c r="C1396" s="25"/>
      <c r="D1396" s="24"/>
      <c r="E1396" s="21" t="str">
        <f aca="false">IF(OR(B1396="",N(N1396)=0,N1396=1000),IF(B1396="","","Check"),INDEX(Rules!$B:$B,N1396))</f>
        <v/>
      </c>
      <c r="F1396" s="21" t="str">
        <f aca="false">IF(OR(B1396="",N(N1396)=0,N1396=1000),"",INDEX(Rules!$C:$C,N1396))</f>
        <v/>
      </c>
      <c r="G1396" s="24"/>
      <c r="H1396" s="24"/>
      <c r="I1396" s="20" t="str">
        <f aca="false">IF(B1396="","",IF(G1396&lt;&gt;"",G1396,E1396))</f>
        <v/>
      </c>
      <c r="J1396" s="21" t="str">
        <f aca="false">IF(B1396="","",IF(H1396&lt;&gt;"",H1396,F1396))</f>
        <v/>
      </c>
      <c r="K1396" s="26" t="str">
        <f aca="false">IF(A1396="","",DATE(YEAR(A1396),MONTH(A1396),1))</f>
        <v/>
      </c>
      <c r="L1396" s="21" t="str">
        <f aca="false">IF(J1396="",IF(B1396="","",IF(N(C1396)&gt;=0,"Income","Expense")),IFERROR(INDEX(Lists!$B$2:$B$30,MATCH(J1396,Lists!$A$2:$A$30,0)),""))</f>
        <v/>
      </c>
      <c r="M1396" s="24"/>
      <c r="N1396" s="27" t="str">
        <f aca="false">IF(B1396="","",IFERROR(1000-SUMPRODUCT(MAX(ISNUMBER(SEARCH(Rules!$A$5:$A$204,B1396))*(Rules!$A$5:$A$204&lt;&gt;"")*(1000-ROW(Rules!$A$5:$A$204)))),""))</f>
        <v/>
      </c>
    </row>
    <row r="1397" customFormat="false" ht="15" hidden="false" customHeight="false" outlineLevel="0" collapsed="false">
      <c r="A1397" s="23"/>
      <c r="B1397" s="24"/>
      <c r="C1397" s="25"/>
      <c r="D1397" s="24"/>
      <c r="E1397" s="21" t="str">
        <f aca="false">IF(OR(B1397="",N(N1397)=0,N1397=1000),IF(B1397="","","Check"),INDEX(Rules!$B:$B,N1397))</f>
        <v/>
      </c>
      <c r="F1397" s="21" t="str">
        <f aca="false">IF(OR(B1397="",N(N1397)=0,N1397=1000),"",INDEX(Rules!$C:$C,N1397))</f>
        <v/>
      </c>
      <c r="G1397" s="24"/>
      <c r="H1397" s="24"/>
      <c r="I1397" s="20" t="str">
        <f aca="false">IF(B1397="","",IF(G1397&lt;&gt;"",G1397,E1397))</f>
        <v/>
      </c>
      <c r="J1397" s="21" t="str">
        <f aca="false">IF(B1397="","",IF(H1397&lt;&gt;"",H1397,F1397))</f>
        <v/>
      </c>
      <c r="K1397" s="26" t="str">
        <f aca="false">IF(A1397="","",DATE(YEAR(A1397),MONTH(A1397),1))</f>
        <v/>
      </c>
      <c r="L1397" s="21" t="str">
        <f aca="false">IF(J1397="",IF(B1397="","",IF(N(C1397)&gt;=0,"Income","Expense")),IFERROR(INDEX(Lists!$B$2:$B$30,MATCH(J1397,Lists!$A$2:$A$30,0)),""))</f>
        <v/>
      </c>
      <c r="M1397" s="24"/>
      <c r="N1397" s="27" t="str">
        <f aca="false">IF(B1397="","",IFERROR(1000-SUMPRODUCT(MAX(ISNUMBER(SEARCH(Rules!$A$5:$A$204,B1397))*(Rules!$A$5:$A$204&lt;&gt;"")*(1000-ROW(Rules!$A$5:$A$204)))),""))</f>
        <v/>
      </c>
    </row>
    <row r="1398" customFormat="false" ht="15" hidden="false" customHeight="false" outlineLevel="0" collapsed="false">
      <c r="A1398" s="23"/>
      <c r="B1398" s="24"/>
      <c r="C1398" s="25"/>
      <c r="D1398" s="24"/>
      <c r="E1398" s="21" t="str">
        <f aca="false">IF(OR(B1398="",N(N1398)=0,N1398=1000),IF(B1398="","","Check"),INDEX(Rules!$B:$B,N1398))</f>
        <v/>
      </c>
      <c r="F1398" s="21" t="str">
        <f aca="false">IF(OR(B1398="",N(N1398)=0,N1398=1000),"",INDEX(Rules!$C:$C,N1398))</f>
        <v/>
      </c>
      <c r="G1398" s="24"/>
      <c r="H1398" s="24"/>
      <c r="I1398" s="20" t="str">
        <f aca="false">IF(B1398="","",IF(G1398&lt;&gt;"",G1398,E1398))</f>
        <v/>
      </c>
      <c r="J1398" s="21" t="str">
        <f aca="false">IF(B1398="","",IF(H1398&lt;&gt;"",H1398,F1398))</f>
        <v/>
      </c>
      <c r="K1398" s="26" t="str">
        <f aca="false">IF(A1398="","",DATE(YEAR(A1398),MONTH(A1398),1))</f>
        <v/>
      </c>
      <c r="L1398" s="21" t="str">
        <f aca="false">IF(J1398="",IF(B1398="","",IF(N(C1398)&gt;=0,"Income","Expense")),IFERROR(INDEX(Lists!$B$2:$B$30,MATCH(J1398,Lists!$A$2:$A$30,0)),""))</f>
        <v/>
      </c>
      <c r="M1398" s="24"/>
      <c r="N1398" s="27" t="str">
        <f aca="false">IF(B1398="","",IFERROR(1000-SUMPRODUCT(MAX(ISNUMBER(SEARCH(Rules!$A$5:$A$204,B1398))*(Rules!$A$5:$A$204&lt;&gt;"")*(1000-ROW(Rules!$A$5:$A$204)))),""))</f>
        <v/>
      </c>
    </row>
    <row r="1399" customFormat="false" ht="15" hidden="false" customHeight="false" outlineLevel="0" collapsed="false">
      <c r="A1399" s="23"/>
      <c r="B1399" s="24"/>
      <c r="C1399" s="25"/>
      <c r="D1399" s="24"/>
      <c r="E1399" s="21" t="str">
        <f aca="false">IF(OR(B1399="",N(N1399)=0,N1399=1000),IF(B1399="","","Check"),INDEX(Rules!$B:$B,N1399))</f>
        <v/>
      </c>
      <c r="F1399" s="21" t="str">
        <f aca="false">IF(OR(B1399="",N(N1399)=0,N1399=1000),"",INDEX(Rules!$C:$C,N1399))</f>
        <v/>
      </c>
      <c r="G1399" s="24"/>
      <c r="H1399" s="24"/>
      <c r="I1399" s="20" t="str">
        <f aca="false">IF(B1399="","",IF(G1399&lt;&gt;"",G1399,E1399))</f>
        <v/>
      </c>
      <c r="J1399" s="21" t="str">
        <f aca="false">IF(B1399="","",IF(H1399&lt;&gt;"",H1399,F1399))</f>
        <v/>
      </c>
      <c r="K1399" s="26" t="str">
        <f aca="false">IF(A1399="","",DATE(YEAR(A1399),MONTH(A1399),1))</f>
        <v/>
      </c>
      <c r="L1399" s="21" t="str">
        <f aca="false">IF(J1399="",IF(B1399="","",IF(N(C1399)&gt;=0,"Income","Expense")),IFERROR(INDEX(Lists!$B$2:$B$30,MATCH(J1399,Lists!$A$2:$A$30,0)),""))</f>
        <v/>
      </c>
      <c r="M1399" s="24"/>
      <c r="N1399" s="27" t="str">
        <f aca="false">IF(B1399="","",IFERROR(1000-SUMPRODUCT(MAX(ISNUMBER(SEARCH(Rules!$A$5:$A$204,B1399))*(Rules!$A$5:$A$204&lt;&gt;"")*(1000-ROW(Rules!$A$5:$A$204)))),""))</f>
        <v/>
      </c>
    </row>
    <row r="1400" customFormat="false" ht="15" hidden="false" customHeight="false" outlineLevel="0" collapsed="false">
      <c r="A1400" s="23"/>
      <c r="B1400" s="24"/>
      <c r="C1400" s="25"/>
      <c r="D1400" s="24"/>
      <c r="E1400" s="21" t="str">
        <f aca="false">IF(OR(B1400="",N(N1400)=0,N1400=1000),IF(B1400="","","Check"),INDEX(Rules!$B:$B,N1400))</f>
        <v/>
      </c>
      <c r="F1400" s="21" t="str">
        <f aca="false">IF(OR(B1400="",N(N1400)=0,N1400=1000),"",INDEX(Rules!$C:$C,N1400))</f>
        <v/>
      </c>
      <c r="G1400" s="24"/>
      <c r="H1400" s="24"/>
      <c r="I1400" s="20" t="str">
        <f aca="false">IF(B1400="","",IF(G1400&lt;&gt;"",G1400,E1400))</f>
        <v/>
      </c>
      <c r="J1400" s="21" t="str">
        <f aca="false">IF(B1400="","",IF(H1400&lt;&gt;"",H1400,F1400))</f>
        <v/>
      </c>
      <c r="K1400" s="26" t="str">
        <f aca="false">IF(A1400="","",DATE(YEAR(A1400),MONTH(A1400),1))</f>
        <v/>
      </c>
      <c r="L1400" s="21" t="str">
        <f aca="false">IF(J1400="",IF(B1400="","",IF(N(C1400)&gt;=0,"Income","Expense")),IFERROR(INDEX(Lists!$B$2:$B$30,MATCH(J1400,Lists!$A$2:$A$30,0)),""))</f>
        <v/>
      </c>
      <c r="M1400" s="24"/>
      <c r="N1400" s="27" t="str">
        <f aca="false">IF(B1400="","",IFERROR(1000-SUMPRODUCT(MAX(ISNUMBER(SEARCH(Rules!$A$5:$A$204,B1400))*(Rules!$A$5:$A$204&lt;&gt;"")*(1000-ROW(Rules!$A$5:$A$204)))),""))</f>
        <v/>
      </c>
    </row>
    <row r="1401" customFormat="false" ht="15" hidden="false" customHeight="false" outlineLevel="0" collapsed="false">
      <c r="A1401" s="23"/>
      <c r="B1401" s="24"/>
      <c r="C1401" s="25"/>
      <c r="D1401" s="24"/>
      <c r="E1401" s="21" t="str">
        <f aca="false">IF(OR(B1401="",N(N1401)=0,N1401=1000),IF(B1401="","","Check"),INDEX(Rules!$B:$B,N1401))</f>
        <v/>
      </c>
      <c r="F1401" s="21" t="str">
        <f aca="false">IF(OR(B1401="",N(N1401)=0,N1401=1000),"",INDEX(Rules!$C:$C,N1401))</f>
        <v/>
      </c>
      <c r="G1401" s="24"/>
      <c r="H1401" s="24"/>
      <c r="I1401" s="20" t="str">
        <f aca="false">IF(B1401="","",IF(G1401&lt;&gt;"",G1401,E1401))</f>
        <v/>
      </c>
      <c r="J1401" s="21" t="str">
        <f aca="false">IF(B1401="","",IF(H1401&lt;&gt;"",H1401,F1401))</f>
        <v/>
      </c>
      <c r="K1401" s="26" t="str">
        <f aca="false">IF(A1401="","",DATE(YEAR(A1401),MONTH(A1401),1))</f>
        <v/>
      </c>
      <c r="L1401" s="21" t="str">
        <f aca="false">IF(J1401="",IF(B1401="","",IF(N(C1401)&gt;=0,"Income","Expense")),IFERROR(INDEX(Lists!$B$2:$B$30,MATCH(J1401,Lists!$A$2:$A$30,0)),""))</f>
        <v/>
      </c>
      <c r="M1401" s="24"/>
      <c r="N1401" s="27" t="str">
        <f aca="false">IF(B1401="","",IFERROR(1000-SUMPRODUCT(MAX(ISNUMBER(SEARCH(Rules!$A$5:$A$204,B1401))*(Rules!$A$5:$A$204&lt;&gt;"")*(1000-ROW(Rules!$A$5:$A$204)))),""))</f>
        <v/>
      </c>
    </row>
    <row r="1402" customFormat="false" ht="15" hidden="false" customHeight="false" outlineLevel="0" collapsed="false">
      <c r="A1402" s="23"/>
      <c r="B1402" s="24"/>
      <c r="C1402" s="25"/>
      <c r="D1402" s="24"/>
      <c r="E1402" s="21" t="str">
        <f aca="false">IF(OR(B1402="",N(N1402)=0,N1402=1000),IF(B1402="","","Check"),INDEX(Rules!$B:$B,N1402))</f>
        <v/>
      </c>
      <c r="F1402" s="21" t="str">
        <f aca="false">IF(OR(B1402="",N(N1402)=0,N1402=1000),"",INDEX(Rules!$C:$C,N1402))</f>
        <v/>
      </c>
      <c r="G1402" s="24"/>
      <c r="H1402" s="24"/>
      <c r="I1402" s="20" t="str">
        <f aca="false">IF(B1402="","",IF(G1402&lt;&gt;"",G1402,E1402))</f>
        <v/>
      </c>
      <c r="J1402" s="21" t="str">
        <f aca="false">IF(B1402="","",IF(H1402&lt;&gt;"",H1402,F1402))</f>
        <v/>
      </c>
      <c r="K1402" s="26" t="str">
        <f aca="false">IF(A1402="","",DATE(YEAR(A1402),MONTH(A1402),1))</f>
        <v/>
      </c>
      <c r="L1402" s="21" t="str">
        <f aca="false">IF(J1402="",IF(B1402="","",IF(N(C1402)&gt;=0,"Income","Expense")),IFERROR(INDEX(Lists!$B$2:$B$30,MATCH(J1402,Lists!$A$2:$A$30,0)),""))</f>
        <v/>
      </c>
      <c r="M1402" s="24"/>
      <c r="N1402" s="27" t="str">
        <f aca="false">IF(B1402="","",IFERROR(1000-SUMPRODUCT(MAX(ISNUMBER(SEARCH(Rules!$A$5:$A$204,B1402))*(Rules!$A$5:$A$204&lt;&gt;"")*(1000-ROW(Rules!$A$5:$A$204)))),""))</f>
        <v/>
      </c>
    </row>
    <row r="1403" customFormat="false" ht="15" hidden="false" customHeight="false" outlineLevel="0" collapsed="false">
      <c r="A1403" s="23"/>
      <c r="B1403" s="24"/>
      <c r="C1403" s="25"/>
      <c r="D1403" s="24"/>
      <c r="E1403" s="21" t="str">
        <f aca="false">IF(OR(B1403="",N(N1403)=0,N1403=1000),IF(B1403="","","Check"),INDEX(Rules!$B:$B,N1403))</f>
        <v/>
      </c>
      <c r="F1403" s="21" t="str">
        <f aca="false">IF(OR(B1403="",N(N1403)=0,N1403=1000),"",INDEX(Rules!$C:$C,N1403))</f>
        <v/>
      </c>
      <c r="G1403" s="24"/>
      <c r="H1403" s="24"/>
      <c r="I1403" s="20" t="str">
        <f aca="false">IF(B1403="","",IF(G1403&lt;&gt;"",G1403,E1403))</f>
        <v/>
      </c>
      <c r="J1403" s="21" t="str">
        <f aca="false">IF(B1403="","",IF(H1403&lt;&gt;"",H1403,F1403))</f>
        <v/>
      </c>
      <c r="K1403" s="26" t="str">
        <f aca="false">IF(A1403="","",DATE(YEAR(A1403),MONTH(A1403),1))</f>
        <v/>
      </c>
      <c r="L1403" s="21" t="str">
        <f aca="false">IF(J1403="",IF(B1403="","",IF(N(C1403)&gt;=0,"Income","Expense")),IFERROR(INDEX(Lists!$B$2:$B$30,MATCH(J1403,Lists!$A$2:$A$30,0)),""))</f>
        <v/>
      </c>
      <c r="M1403" s="24"/>
      <c r="N1403" s="27" t="str">
        <f aca="false">IF(B1403="","",IFERROR(1000-SUMPRODUCT(MAX(ISNUMBER(SEARCH(Rules!$A$5:$A$204,B1403))*(Rules!$A$5:$A$204&lt;&gt;"")*(1000-ROW(Rules!$A$5:$A$204)))),""))</f>
        <v/>
      </c>
    </row>
    <row r="1404" customFormat="false" ht="15" hidden="false" customHeight="false" outlineLevel="0" collapsed="false">
      <c r="A1404" s="23"/>
      <c r="B1404" s="24"/>
      <c r="C1404" s="25"/>
      <c r="D1404" s="24"/>
      <c r="E1404" s="21" t="str">
        <f aca="false">IF(OR(B1404="",N(N1404)=0,N1404=1000),IF(B1404="","","Check"),INDEX(Rules!$B:$B,N1404))</f>
        <v/>
      </c>
      <c r="F1404" s="21" t="str">
        <f aca="false">IF(OR(B1404="",N(N1404)=0,N1404=1000),"",INDEX(Rules!$C:$C,N1404))</f>
        <v/>
      </c>
      <c r="G1404" s="24"/>
      <c r="H1404" s="24"/>
      <c r="I1404" s="20" t="str">
        <f aca="false">IF(B1404="","",IF(G1404&lt;&gt;"",G1404,E1404))</f>
        <v/>
      </c>
      <c r="J1404" s="21" t="str">
        <f aca="false">IF(B1404="","",IF(H1404&lt;&gt;"",H1404,F1404))</f>
        <v/>
      </c>
      <c r="K1404" s="26" t="str">
        <f aca="false">IF(A1404="","",DATE(YEAR(A1404),MONTH(A1404),1))</f>
        <v/>
      </c>
      <c r="L1404" s="21" t="str">
        <f aca="false">IF(J1404="",IF(B1404="","",IF(N(C1404)&gt;=0,"Income","Expense")),IFERROR(INDEX(Lists!$B$2:$B$30,MATCH(J1404,Lists!$A$2:$A$30,0)),""))</f>
        <v/>
      </c>
      <c r="M1404" s="24"/>
      <c r="N1404" s="27" t="str">
        <f aca="false">IF(B1404="","",IFERROR(1000-SUMPRODUCT(MAX(ISNUMBER(SEARCH(Rules!$A$5:$A$204,B1404))*(Rules!$A$5:$A$204&lt;&gt;"")*(1000-ROW(Rules!$A$5:$A$204)))),""))</f>
        <v/>
      </c>
    </row>
    <row r="1405" customFormat="false" ht="15" hidden="false" customHeight="false" outlineLevel="0" collapsed="false">
      <c r="A1405" s="23"/>
      <c r="B1405" s="24"/>
      <c r="C1405" s="25"/>
      <c r="D1405" s="24"/>
      <c r="E1405" s="21" t="str">
        <f aca="false">IF(OR(B1405="",N(N1405)=0,N1405=1000),IF(B1405="","","Check"),INDEX(Rules!$B:$B,N1405))</f>
        <v/>
      </c>
      <c r="F1405" s="21" t="str">
        <f aca="false">IF(OR(B1405="",N(N1405)=0,N1405=1000),"",INDEX(Rules!$C:$C,N1405))</f>
        <v/>
      </c>
      <c r="G1405" s="24"/>
      <c r="H1405" s="24"/>
      <c r="I1405" s="20" t="str">
        <f aca="false">IF(B1405="","",IF(G1405&lt;&gt;"",G1405,E1405))</f>
        <v/>
      </c>
      <c r="J1405" s="21" t="str">
        <f aca="false">IF(B1405="","",IF(H1405&lt;&gt;"",H1405,F1405))</f>
        <v/>
      </c>
      <c r="K1405" s="26" t="str">
        <f aca="false">IF(A1405="","",DATE(YEAR(A1405),MONTH(A1405),1))</f>
        <v/>
      </c>
      <c r="L1405" s="21" t="str">
        <f aca="false">IF(J1405="",IF(B1405="","",IF(N(C1405)&gt;=0,"Income","Expense")),IFERROR(INDEX(Lists!$B$2:$B$30,MATCH(J1405,Lists!$A$2:$A$30,0)),""))</f>
        <v/>
      </c>
      <c r="M1405" s="24"/>
      <c r="N1405" s="27" t="str">
        <f aca="false">IF(B1405="","",IFERROR(1000-SUMPRODUCT(MAX(ISNUMBER(SEARCH(Rules!$A$5:$A$204,B1405))*(Rules!$A$5:$A$204&lt;&gt;"")*(1000-ROW(Rules!$A$5:$A$204)))),""))</f>
        <v/>
      </c>
    </row>
    <row r="1406" customFormat="false" ht="15" hidden="false" customHeight="false" outlineLevel="0" collapsed="false">
      <c r="A1406" s="23"/>
      <c r="B1406" s="24"/>
      <c r="C1406" s="25"/>
      <c r="D1406" s="24"/>
      <c r="E1406" s="21" t="str">
        <f aca="false">IF(OR(B1406="",N(N1406)=0,N1406=1000),IF(B1406="","","Check"),INDEX(Rules!$B:$B,N1406))</f>
        <v/>
      </c>
      <c r="F1406" s="21" t="str">
        <f aca="false">IF(OR(B1406="",N(N1406)=0,N1406=1000),"",INDEX(Rules!$C:$C,N1406))</f>
        <v/>
      </c>
      <c r="G1406" s="24"/>
      <c r="H1406" s="24"/>
      <c r="I1406" s="20" t="str">
        <f aca="false">IF(B1406="","",IF(G1406&lt;&gt;"",G1406,E1406))</f>
        <v/>
      </c>
      <c r="J1406" s="21" t="str">
        <f aca="false">IF(B1406="","",IF(H1406&lt;&gt;"",H1406,F1406))</f>
        <v/>
      </c>
      <c r="K1406" s="26" t="str">
        <f aca="false">IF(A1406="","",DATE(YEAR(A1406),MONTH(A1406),1))</f>
        <v/>
      </c>
      <c r="L1406" s="21" t="str">
        <f aca="false">IF(J1406="",IF(B1406="","",IF(N(C1406)&gt;=0,"Income","Expense")),IFERROR(INDEX(Lists!$B$2:$B$30,MATCH(J1406,Lists!$A$2:$A$30,0)),""))</f>
        <v/>
      </c>
      <c r="M1406" s="24"/>
      <c r="N1406" s="27" t="str">
        <f aca="false">IF(B1406="","",IFERROR(1000-SUMPRODUCT(MAX(ISNUMBER(SEARCH(Rules!$A$5:$A$204,B1406))*(Rules!$A$5:$A$204&lt;&gt;"")*(1000-ROW(Rules!$A$5:$A$204)))),""))</f>
        <v/>
      </c>
    </row>
    <row r="1407" customFormat="false" ht="15" hidden="false" customHeight="false" outlineLevel="0" collapsed="false">
      <c r="A1407" s="23"/>
      <c r="B1407" s="24"/>
      <c r="C1407" s="25"/>
      <c r="D1407" s="24"/>
      <c r="E1407" s="21" t="str">
        <f aca="false">IF(OR(B1407="",N(N1407)=0,N1407=1000),IF(B1407="","","Check"),INDEX(Rules!$B:$B,N1407))</f>
        <v/>
      </c>
      <c r="F1407" s="21" t="str">
        <f aca="false">IF(OR(B1407="",N(N1407)=0,N1407=1000),"",INDEX(Rules!$C:$C,N1407))</f>
        <v/>
      </c>
      <c r="G1407" s="24"/>
      <c r="H1407" s="24"/>
      <c r="I1407" s="20" t="str">
        <f aca="false">IF(B1407="","",IF(G1407&lt;&gt;"",G1407,E1407))</f>
        <v/>
      </c>
      <c r="J1407" s="21" t="str">
        <f aca="false">IF(B1407="","",IF(H1407&lt;&gt;"",H1407,F1407))</f>
        <v/>
      </c>
      <c r="K1407" s="26" t="str">
        <f aca="false">IF(A1407="","",DATE(YEAR(A1407),MONTH(A1407),1))</f>
        <v/>
      </c>
      <c r="L1407" s="21" t="str">
        <f aca="false">IF(J1407="",IF(B1407="","",IF(N(C1407)&gt;=0,"Income","Expense")),IFERROR(INDEX(Lists!$B$2:$B$30,MATCH(J1407,Lists!$A$2:$A$30,0)),""))</f>
        <v/>
      </c>
      <c r="M1407" s="24"/>
      <c r="N1407" s="27" t="str">
        <f aca="false">IF(B1407="","",IFERROR(1000-SUMPRODUCT(MAX(ISNUMBER(SEARCH(Rules!$A$5:$A$204,B1407))*(Rules!$A$5:$A$204&lt;&gt;"")*(1000-ROW(Rules!$A$5:$A$204)))),""))</f>
        <v/>
      </c>
    </row>
    <row r="1408" customFormat="false" ht="15" hidden="false" customHeight="false" outlineLevel="0" collapsed="false">
      <c r="A1408" s="23"/>
      <c r="B1408" s="24"/>
      <c r="C1408" s="25"/>
      <c r="D1408" s="24"/>
      <c r="E1408" s="21" t="str">
        <f aca="false">IF(OR(B1408="",N(N1408)=0,N1408=1000),IF(B1408="","","Check"),INDEX(Rules!$B:$B,N1408))</f>
        <v/>
      </c>
      <c r="F1408" s="21" t="str">
        <f aca="false">IF(OR(B1408="",N(N1408)=0,N1408=1000),"",INDEX(Rules!$C:$C,N1408))</f>
        <v/>
      </c>
      <c r="G1408" s="24"/>
      <c r="H1408" s="24"/>
      <c r="I1408" s="20" t="str">
        <f aca="false">IF(B1408="","",IF(G1408&lt;&gt;"",G1408,E1408))</f>
        <v/>
      </c>
      <c r="J1408" s="21" t="str">
        <f aca="false">IF(B1408="","",IF(H1408&lt;&gt;"",H1408,F1408))</f>
        <v/>
      </c>
      <c r="K1408" s="26" t="str">
        <f aca="false">IF(A1408="","",DATE(YEAR(A1408),MONTH(A1408),1))</f>
        <v/>
      </c>
      <c r="L1408" s="21" t="str">
        <f aca="false">IF(J1408="",IF(B1408="","",IF(N(C1408)&gt;=0,"Income","Expense")),IFERROR(INDEX(Lists!$B$2:$B$30,MATCH(J1408,Lists!$A$2:$A$30,0)),""))</f>
        <v/>
      </c>
      <c r="M1408" s="24"/>
      <c r="N1408" s="27" t="str">
        <f aca="false">IF(B1408="","",IFERROR(1000-SUMPRODUCT(MAX(ISNUMBER(SEARCH(Rules!$A$5:$A$204,B1408))*(Rules!$A$5:$A$204&lt;&gt;"")*(1000-ROW(Rules!$A$5:$A$204)))),""))</f>
        <v/>
      </c>
    </row>
    <row r="1409" customFormat="false" ht="15" hidden="false" customHeight="false" outlineLevel="0" collapsed="false">
      <c r="A1409" s="23"/>
      <c r="B1409" s="24"/>
      <c r="C1409" s="25"/>
      <c r="D1409" s="24"/>
      <c r="E1409" s="21" t="str">
        <f aca="false">IF(OR(B1409="",N(N1409)=0,N1409=1000),IF(B1409="","","Check"),INDEX(Rules!$B:$B,N1409))</f>
        <v/>
      </c>
      <c r="F1409" s="21" t="str">
        <f aca="false">IF(OR(B1409="",N(N1409)=0,N1409=1000),"",INDEX(Rules!$C:$C,N1409))</f>
        <v/>
      </c>
      <c r="G1409" s="24"/>
      <c r="H1409" s="24"/>
      <c r="I1409" s="20" t="str">
        <f aca="false">IF(B1409="","",IF(G1409&lt;&gt;"",G1409,E1409))</f>
        <v/>
      </c>
      <c r="J1409" s="21" t="str">
        <f aca="false">IF(B1409="","",IF(H1409&lt;&gt;"",H1409,F1409))</f>
        <v/>
      </c>
      <c r="K1409" s="26" t="str">
        <f aca="false">IF(A1409="","",DATE(YEAR(A1409),MONTH(A1409),1))</f>
        <v/>
      </c>
      <c r="L1409" s="21" t="str">
        <f aca="false">IF(J1409="",IF(B1409="","",IF(N(C1409)&gt;=0,"Income","Expense")),IFERROR(INDEX(Lists!$B$2:$B$30,MATCH(J1409,Lists!$A$2:$A$30,0)),""))</f>
        <v/>
      </c>
      <c r="M1409" s="24"/>
      <c r="N1409" s="27" t="str">
        <f aca="false">IF(B1409="","",IFERROR(1000-SUMPRODUCT(MAX(ISNUMBER(SEARCH(Rules!$A$5:$A$204,B1409))*(Rules!$A$5:$A$204&lt;&gt;"")*(1000-ROW(Rules!$A$5:$A$204)))),""))</f>
        <v/>
      </c>
    </row>
    <row r="1410" customFormat="false" ht="15" hidden="false" customHeight="false" outlineLevel="0" collapsed="false">
      <c r="A1410" s="23"/>
      <c r="B1410" s="24"/>
      <c r="C1410" s="25"/>
      <c r="D1410" s="24"/>
      <c r="E1410" s="21" t="str">
        <f aca="false">IF(OR(B1410="",N(N1410)=0,N1410=1000),IF(B1410="","","Check"),INDEX(Rules!$B:$B,N1410))</f>
        <v/>
      </c>
      <c r="F1410" s="21" t="str">
        <f aca="false">IF(OR(B1410="",N(N1410)=0,N1410=1000),"",INDEX(Rules!$C:$C,N1410))</f>
        <v/>
      </c>
      <c r="G1410" s="24"/>
      <c r="H1410" s="24"/>
      <c r="I1410" s="20" t="str">
        <f aca="false">IF(B1410="","",IF(G1410&lt;&gt;"",G1410,E1410))</f>
        <v/>
      </c>
      <c r="J1410" s="21" t="str">
        <f aca="false">IF(B1410="","",IF(H1410&lt;&gt;"",H1410,F1410))</f>
        <v/>
      </c>
      <c r="K1410" s="26" t="str">
        <f aca="false">IF(A1410="","",DATE(YEAR(A1410),MONTH(A1410),1))</f>
        <v/>
      </c>
      <c r="L1410" s="21" t="str">
        <f aca="false">IF(J1410="",IF(B1410="","",IF(N(C1410)&gt;=0,"Income","Expense")),IFERROR(INDEX(Lists!$B$2:$B$30,MATCH(J1410,Lists!$A$2:$A$30,0)),""))</f>
        <v/>
      </c>
      <c r="M1410" s="24"/>
      <c r="N1410" s="27" t="str">
        <f aca="false">IF(B1410="","",IFERROR(1000-SUMPRODUCT(MAX(ISNUMBER(SEARCH(Rules!$A$5:$A$204,B1410))*(Rules!$A$5:$A$204&lt;&gt;"")*(1000-ROW(Rules!$A$5:$A$204)))),""))</f>
        <v/>
      </c>
    </row>
    <row r="1411" customFormat="false" ht="15" hidden="false" customHeight="false" outlineLevel="0" collapsed="false">
      <c r="A1411" s="23"/>
      <c r="B1411" s="24"/>
      <c r="C1411" s="25"/>
      <c r="D1411" s="24"/>
      <c r="E1411" s="21" t="str">
        <f aca="false">IF(OR(B1411="",N(N1411)=0,N1411=1000),IF(B1411="","","Check"),INDEX(Rules!$B:$B,N1411))</f>
        <v/>
      </c>
      <c r="F1411" s="21" t="str">
        <f aca="false">IF(OR(B1411="",N(N1411)=0,N1411=1000),"",INDEX(Rules!$C:$C,N1411))</f>
        <v/>
      </c>
      <c r="G1411" s="24"/>
      <c r="H1411" s="24"/>
      <c r="I1411" s="20" t="str">
        <f aca="false">IF(B1411="","",IF(G1411&lt;&gt;"",G1411,E1411))</f>
        <v/>
      </c>
      <c r="J1411" s="21" t="str">
        <f aca="false">IF(B1411="","",IF(H1411&lt;&gt;"",H1411,F1411))</f>
        <v/>
      </c>
      <c r="K1411" s="26" t="str">
        <f aca="false">IF(A1411="","",DATE(YEAR(A1411),MONTH(A1411),1))</f>
        <v/>
      </c>
      <c r="L1411" s="21" t="str">
        <f aca="false">IF(J1411="",IF(B1411="","",IF(N(C1411)&gt;=0,"Income","Expense")),IFERROR(INDEX(Lists!$B$2:$B$30,MATCH(J1411,Lists!$A$2:$A$30,0)),""))</f>
        <v/>
      </c>
      <c r="M1411" s="24"/>
      <c r="N1411" s="27" t="str">
        <f aca="false">IF(B1411="","",IFERROR(1000-SUMPRODUCT(MAX(ISNUMBER(SEARCH(Rules!$A$5:$A$204,B1411))*(Rules!$A$5:$A$204&lt;&gt;"")*(1000-ROW(Rules!$A$5:$A$204)))),""))</f>
        <v/>
      </c>
    </row>
    <row r="1412" customFormat="false" ht="15" hidden="false" customHeight="false" outlineLevel="0" collapsed="false">
      <c r="A1412" s="23"/>
      <c r="B1412" s="24"/>
      <c r="C1412" s="25"/>
      <c r="D1412" s="24"/>
      <c r="E1412" s="21" t="str">
        <f aca="false">IF(OR(B1412="",N(N1412)=0,N1412=1000),IF(B1412="","","Check"),INDEX(Rules!$B:$B,N1412))</f>
        <v/>
      </c>
      <c r="F1412" s="21" t="str">
        <f aca="false">IF(OR(B1412="",N(N1412)=0,N1412=1000),"",INDEX(Rules!$C:$C,N1412))</f>
        <v/>
      </c>
      <c r="G1412" s="24"/>
      <c r="H1412" s="24"/>
      <c r="I1412" s="20" t="str">
        <f aca="false">IF(B1412="","",IF(G1412&lt;&gt;"",G1412,E1412))</f>
        <v/>
      </c>
      <c r="J1412" s="21" t="str">
        <f aca="false">IF(B1412="","",IF(H1412&lt;&gt;"",H1412,F1412))</f>
        <v/>
      </c>
      <c r="K1412" s="26" t="str">
        <f aca="false">IF(A1412="","",DATE(YEAR(A1412),MONTH(A1412),1))</f>
        <v/>
      </c>
      <c r="L1412" s="21" t="str">
        <f aca="false">IF(J1412="",IF(B1412="","",IF(N(C1412)&gt;=0,"Income","Expense")),IFERROR(INDEX(Lists!$B$2:$B$30,MATCH(J1412,Lists!$A$2:$A$30,0)),""))</f>
        <v/>
      </c>
      <c r="M1412" s="24"/>
      <c r="N1412" s="27" t="str">
        <f aca="false">IF(B1412="","",IFERROR(1000-SUMPRODUCT(MAX(ISNUMBER(SEARCH(Rules!$A$5:$A$204,B1412))*(Rules!$A$5:$A$204&lt;&gt;"")*(1000-ROW(Rules!$A$5:$A$204)))),""))</f>
        <v/>
      </c>
    </row>
    <row r="1413" customFormat="false" ht="15" hidden="false" customHeight="false" outlineLevel="0" collapsed="false">
      <c r="A1413" s="23"/>
      <c r="B1413" s="24"/>
      <c r="C1413" s="25"/>
      <c r="D1413" s="24"/>
      <c r="E1413" s="21" t="str">
        <f aca="false">IF(OR(B1413="",N(N1413)=0,N1413=1000),IF(B1413="","","Check"),INDEX(Rules!$B:$B,N1413))</f>
        <v/>
      </c>
      <c r="F1413" s="21" t="str">
        <f aca="false">IF(OR(B1413="",N(N1413)=0,N1413=1000),"",INDEX(Rules!$C:$C,N1413))</f>
        <v/>
      </c>
      <c r="G1413" s="24"/>
      <c r="H1413" s="24"/>
      <c r="I1413" s="20" t="str">
        <f aca="false">IF(B1413="","",IF(G1413&lt;&gt;"",G1413,E1413))</f>
        <v/>
      </c>
      <c r="J1413" s="21" t="str">
        <f aca="false">IF(B1413="","",IF(H1413&lt;&gt;"",H1413,F1413))</f>
        <v/>
      </c>
      <c r="K1413" s="26" t="str">
        <f aca="false">IF(A1413="","",DATE(YEAR(A1413),MONTH(A1413),1))</f>
        <v/>
      </c>
      <c r="L1413" s="21" t="str">
        <f aca="false">IF(J1413="",IF(B1413="","",IF(N(C1413)&gt;=0,"Income","Expense")),IFERROR(INDEX(Lists!$B$2:$B$30,MATCH(J1413,Lists!$A$2:$A$30,0)),""))</f>
        <v/>
      </c>
      <c r="M1413" s="24"/>
      <c r="N1413" s="27" t="str">
        <f aca="false">IF(B1413="","",IFERROR(1000-SUMPRODUCT(MAX(ISNUMBER(SEARCH(Rules!$A$5:$A$204,B1413))*(Rules!$A$5:$A$204&lt;&gt;"")*(1000-ROW(Rules!$A$5:$A$204)))),""))</f>
        <v/>
      </c>
    </row>
    <row r="1414" customFormat="false" ht="15" hidden="false" customHeight="false" outlineLevel="0" collapsed="false">
      <c r="A1414" s="23"/>
      <c r="B1414" s="24"/>
      <c r="C1414" s="25"/>
      <c r="D1414" s="24"/>
      <c r="E1414" s="21" t="str">
        <f aca="false">IF(OR(B1414="",N(N1414)=0,N1414=1000),IF(B1414="","","Check"),INDEX(Rules!$B:$B,N1414))</f>
        <v/>
      </c>
      <c r="F1414" s="21" t="str">
        <f aca="false">IF(OR(B1414="",N(N1414)=0,N1414=1000),"",INDEX(Rules!$C:$C,N1414))</f>
        <v/>
      </c>
      <c r="G1414" s="24"/>
      <c r="H1414" s="24"/>
      <c r="I1414" s="20" t="str">
        <f aca="false">IF(B1414="","",IF(G1414&lt;&gt;"",G1414,E1414))</f>
        <v/>
      </c>
      <c r="J1414" s="21" t="str">
        <f aca="false">IF(B1414="","",IF(H1414&lt;&gt;"",H1414,F1414))</f>
        <v/>
      </c>
      <c r="K1414" s="26" t="str">
        <f aca="false">IF(A1414="","",DATE(YEAR(A1414),MONTH(A1414),1))</f>
        <v/>
      </c>
      <c r="L1414" s="21" t="str">
        <f aca="false">IF(J1414="",IF(B1414="","",IF(N(C1414)&gt;=0,"Income","Expense")),IFERROR(INDEX(Lists!$B$2:$B$30,MATCH(J1414,Lists!$A$2:$A$30,0)),""))</f>
        <v/>
      </c>
      <c r="M1414" s="24"/>
      <c r="N1414" s="27" t="str">
        <f aca="false">IF(B1414="","",IFERROR(1000-SUMPRODUCT(MAX(ISNUMBER(SEARCH(Rules!$A$5:$A$204,B1414))*(Rules!$A$5:$A$204&lt;&gt;"")*(1000-ROW(Rules!$A$5:$A$204)))),""))</f>
        <v/>
      </c>
    </row>
    <row r="1415" customFormat="false" ht="15" hidden="false" customHeight="false" outlineLevel="0" collapsed="false">
      <c r="A1415" s="23"/>
      <c r="B1415" s="24"/>
      <c r="C1415" s="25"/>
      <c r="D1415" s="24"/>
      <c r="E1415" s="21" t="str">
        <f aca="false">IF(OR(B1415="",N(N1415)=0,N1415=1000),IF(B1415="","","Check"),INDEX(Rules!$B:$B,N1415))</f>
        <v/>
      </c>
      <c r="F1415" s="21" t="str">
        <f aca="false">IF(OR(B1415="",N(N1415)=0,N1415=1000),"",INDEX(Rules!$C:$C,N1415))</f>
        <v/>
      </c>
      <c r="G1415" s="24"/>
      <c r="H1415" s="24"/>
      <c r="I1415" s="20" t="str">
        <f aca="false">IF(B1415="","",IF(G1415&lt;&gt;"",G1415,E1415))</f>
        <v/>
      </c>
      <c r="J1415" s="21" t="str">
        <f aca="false">IF(B1415="","",IF(H1415&lt;&gt;"",H1415,F1415))</f>
        <v/>
      </c>
      <c r="K1415" s="26" t="str">
        <f aca="false">IF(A1415="","",DATE(YEAR(A1415),MONTH(A1415),1))</f>
        <v/>
      </c>
      <c r="L1415" s="21" t="str">
        <f aca="false">IF(J1415="",IF(B1415="","",IF(N(C1415)&gt;=0,"Income","Expense")),IFERROR(INDEX(Lists!$B$2:$B$30,MATCH(J1415,Lists!$A$2:$A$30,0)),""))</f>
        <v/>
      </c>
      <c r="M1415" s="24"/>
      <c r="N1415" s="27" t="str">
        <f aca="false">IF(B1415="","",IFERROR(1000-SUMPRODUCT(MAX(ISNUMBER(SEARCH(Rules!$A$5:$A$204,B1415))*(Rules!$A$5:$A$204&lt;&gt;"")*(1000-ROW(Rules!$A$5:$A$204)))),""))</f>
        <v/>
      </c>
    </row>
    <row r="1416" customFormat="false" ht="15" hidden="false" customHeight="false" outlineLevel="0" collapsed="false">
      <c r="A1416" s="23"/>
      <c r="B1416" s="24"/>
      <c r="C1416" s="25"/>
      <c r="D1416" s="24"/>
      <c r="E1416" s="21" t="str">
        <f aca="false">IF(OR(B1416="",N(N1416)=0,N1416=1000),IF(B1416="","","Check"),INDEX(Rules!$B:$B,N1416))</f>
        <v/>
      </c>
      <c r="F1416" s="21" t="str">
        <f aca="false">IF(OR(B1416="",N(N1416)=0,N1416=1000),"",INDEX(Rules!$C:$C,N1416))</f>
        <v/>
      </c>
      <c r="G1416" s="24"/>
      <c r="H1416" s="24"/>
      <c r="I1416" s="20" t="str">
        <f aca="false">IF(B1416="","",IF(G1416&lt;&gt;"",G1416,E1416))</f>
        <v/>
      </c>
      <c r="J1416" s="21" t="str">
        <f aca="false">IF(B1416="","",IF(H1416&lt;&gt;"",H1416,F1416))</f>
        <v/>
      </c>
      <c r="K1416" s="26" t="str">
        <f aca="false">IF(A1416="","",DATE(YEAR(A1416),MONTH(A1416),1))</f>
        <v/>
      </c>
      <c r="L1416" s="21" t="str">
        <f aca="false">IF(J1416="",IF(B1416="","",IF(N(C1416)&gt;=0,"Income","Expense")),IFERROR(INDEX(Lists!$B$2:$B$30,MATCH(J1416,Lists!$A$2:$A$30,0)),""))</f>
        <v/>
      </c>
      <c r="M1416" s="24"/>
      <c r="N1416" s="27" t="str">
        <f aca="false">IF(B1416="","",IFERROR(1000-SUMPRODUCT(MAX(ISNUMBER(SEARCH(Rules!$A$5:$A$204,B1416))*(Rules!$A$5:$A$204&lt;&gt;"")*(1000-ROW(Rules!$A$5:$A$204)))),""))</f>
        <v/>
      </c>
    </row>
    <row r="1417" customFormat="false" ht="15" hidden="false" customHeight="false" outlineLevel="0" collapsed="false">
      <c r="A1417" s="23"/>
      <c r="B1417" s="24"/>
      <c r="C1417" s="25"/>
      <c r="D1417" s="24"/>
      <c r="E1417" s="21" t="str">
        <f aca="false">IF(OR(B1417="",N(N1417)=0,N1417=1000),IF(B1417="","","Check"),INDEX(Rules!$B:$B,N1417))</f>
        <v/>
      </c>
      <c r="F1417" s="21" t="str">
        <f aca="false">IF(OR(B1417="",N(N1417)=0,N1417=1000),"",INDEX(Rules!$C:$C,N1417))</f>
        <v/>
      </c>
      <c r="G1417" s="24"/>
      <c r="H1417" s="24"/>
      <c r="I1417" s="20" t="str">
        <f aca="false">IF(B1417="","",IF(G1417&lt;&gt;"",G1417,E1417))</f>
        <v/>
      </c>
      <c r="J1417" s="21" t="str">
        <f aca="false">IF(B1417="","",IF(H1417&lt;&gt;"",H1417,F1417))</f>
        <v/>
      </c>
      <c r="K1417" s="26" t="str">
        <f aca="false">IF(A1417="","",DATE(YEAR(A1417),MONTH(A1417),1))</f>
        <v/>
      </c>
      <c r="L1417" s="21" t="str">
        <f aca="false">IF(J1417="",IF(B1417="","",IF(N(C1417)&gt;=0,"Income","Expense")),IFERROR(INDEX(Lists!$B$2:$B$30,MATCH(J1417,Lists!$A$2:$A$30,0)),""))</f>
        <v/>
      </c>
      <c r="M1417" s="24"/>
      <c r="N1417" s="27" t="str">
        <f aca="false">IF(B1417="","",IFERROR(1000-SUMPRODUCT(MAX(ISNUMBER(SEARCH(Rules!$A$5:$A$204,B1417))*(Rules!$A$5:$A$204&lt;&gt;"")*(1000-ROW(Rules!$A$5:$A$204)))),""))</f>
        <v/>
      </c>
    </row>
    <row r="1418" customFormat="false" ht="15" hidden="false" customHeight="false" outlineLevel="0" collapsed="false">
      <c r="A1418" s="23"/>
      <c r="B1418" s="24"/>
      <c r="C1418" s="25"/>
      <c r="D1418" s="24"/>
      <c r="E1418" s="21" t="str">
        <f aca="false">IF(OR(B1418="",N(N1418)=0,N1418=1000),IF(B1418="","","Check"),INDEX(Rules!$B:$B,N1418))</f>
        <v/>
      </c>
      <c r="F1418" s="21" t="str">
        <f aca="false">IF(OR(B1418="",N(N1418)=0,N1418=1000),"",INDEX(Rules!$C:$C,N1418))</f>
        <v/>
      </c>
      <c r="G1418" s="24"/>
      <c r="H1418" s="24"/>
      <c r="I1418" s="20" t="str">
        <f aca="false">IF(B1418="","",IF(G1418&lt;&gt;"",G1418,E1418))</f>
        <v/>
      </c>
      <c r="J1418" s="21" t="str">
        <f aca="false">IF(B1418="","",IF(H1418&lt;&gt;"",H1418,F1418))</f>
        <v/>
      </c>
      <c r="K1418" s="26" t="str">
        <f aca="false">IF(A1418="","",DATE(YEAR(A1418),MONTH(A1418),1))</f>
        <v/>
      </c>
      <c r="L1418" s="21" t="str">
        <f aca="false">IF(J1418="",IF(B1418="","",IF(N(C1418)&gt;=0,"Income","Expense")),IFERROR(INDEX(Lists!$B$2:$B$30,MATCH(J1418,Lists!$A$2:$A$30,0)),""))</f>
        <v/>
      </c>
      <c r="M1418" s="24"/>
      <c r="N1418" s="27" t="str">
        <f aca="false">IF(B1418="","",IFERROR(1000-SUMPRODUCT(MAX(ISNUMBER(SEARCH(Rules!$A$5:$A$204,B1418))*(Rules!$A$5:$A$204&lt;&gt;"")*(1000-ROW(Rules!$A$5:$A$204)))),""))</f>
        <v/>
      </c>
    </row>
    <row r="1419" customFormat="false" ht="15" hidden="false" customHeight="false" outlineLevel="0" collapsed="false">
      <c r="A1419" s="23"/>
      <c r="B1419" s="24"/>
      <c r="C1419" s="25"/>
      <c r="D1419" s="24"/>
      <c r="E1419" s="21" t="str">
        <f aca="false">IF(OR(B1419="",N(N1419)=0,N1419=1000),IF(B1419="","","Check"),INDEX(Rules!$B:$B,N1419))</f>
        <v/>
      </c>
      <c r="F1419" s="21" t="str">
        <f aca="false">IF(OR(B1419="",N(N1419)=0,N1419=1000),"",INDEX(Rules!$C:$C,N1419))</f>
        <v/>
      </c>
      <c r="G1419" s="24"/>
      <c r="H1419" s="24"/>
      <c r="I1419" s="20" t="str">
        <f aca="false">IF(B1419="","",IF(G1419&lt;&gt;"",G1419,E1419))</f>
        <v/>
      </c>
      <c r="J1419" s="21" t="str">
        <f aca="false">IF(B1419="","",IF(H1419&lt;&gt;"",H1419,F1419))</f>
        <v/>
      </c>
      <c r="K1419" s="26" t="str">
        <f aca="false">IF(A1419="","",DATE(YEAR(A1419),MONTH(A1419),1))</f>
        <v/>
      </c>
      <c r="L1419" s="21" t="str">
        <f aca="false">IF(J1419="",IF(B1419="","",IF(N(C1419)&gt;=0,"Income","Expense")),IFERROR(INDEX(Lists!$B$2:$B$30,MATCH(J1419,Lists!$A$2:$A$30,0)),""))</f>
        <v/>
      </c>
      <c r="M1419" s="24"/>
      <c r="N1419" s="27" t="str">
        <f aca="false">IF(B1419="","",IFERROR(1000-SUMPRODUCT(MAX(ISNUMBER(SEARCH(Rules!$A$5:$A$204,B1419))*(Rules!$A$5:$A$204&lt;&gt;"")*(1000-ROW(Rules!$A$5:$A$204)))),""))</f>
        <v/>
      </c>
    </row>
    <row r="1420" customFormat="false" ht="15" hidden="false" customHeight="false" outlineLevel="0" collapsed="false">
      <c r="A1420" s="23"/>
      <c r="B1420" s="24"/>
      <c r="C1420" s="25"/>
      <c r="D1420" s="24"/>
      <c r="E1420" s="21" t="str">
        <f aca="false">IF(OR(B1420="",N(N1420)=0,N1420=1000),IF(B1420="","","Check"),INDEX(Rules!$B:$B,N1420))</f>
        <v/>
      </c>
      <c r="F1420" s="21" t="str">
        <f aca="false">IF(OR(B1420="",N(N1420)=0,N1420=1000),"",INDEX(Rules!$C:$C,N1420))</f>
        <v/>
      </c>
      <c r="G1420" s="24"/>
      <c r="H1420" s="24"/>
      <c r="I1420" s="20" t="str">
        <f aca="false">IF(B1420="","",IF(G1420&lt;&gt;"",G1420,E1420))</f>
        <v/>
      </c>
      <c r="J1420" s="21" t="str">
        <f aca="false">IF(B1420="","",IF(H1420&lt;&gt;"",H1420,F1420))</f>
        <v/>
      </c>
      <c r="K1420" s="26" t="str">
        <f aca="false">IF(A1420="","",DATE(YEAR(A1420),MONTH(A1420),1))</f>
        <v/>
      </c>
      <c r="L1420" s="21" t="str">
        <f aca="false">IF(J1420="",IF(B1420="","",IF(N(C1420)&gt;=0,"Income","Expense")),IFERROR(INDEX(Lists!$B$2:$B$30,MATCH(J1420,Lists!$A$2:$A$30,0)),""))</f>
        <v/>
      </c>
      <c r="M1420" s="24"/>
      <c r="N1420" s="27" t="str">
        <f aca="false">IF(B1420="","",IFERROR(1000-SUMPRODUCT(MAX(ISNUMBER(SEARCH(Rules!$A$5:$A$204,B1420))*(Rules!$A$5:$A$204&lt;&gt;"")*(1000-ROW(Rules!$A$5:$A$204)))),""))</f>
        <v/>
      </c>
    </row>
    <row r="1421" customFormat="false" ht="15" hidden="false" customHeight="false" outlineLevel="0" collapsed="false">
      <c r="A1421" s="23"/>
      <c r="B1421" s="24"/>
      <c r="C1421" s="25"/>
      <c r="D1421" s="24"/>
      <c r="E1421" s="21" t="str">
        <f aca="false">IF(OR(B1421="",N(N1421)=0,N1421=1000),IF(B1421="","","Check"),INDEX(Rules!$B:$B,N1421))</f>
        <v/>
      </c>
      <c r="F1421" s="21" t="str">
        <f aca="false">IF(OR(B1421="",N(N1421)=0,N1421=1000),"",INDEX(Rules!$C:$C,N1421))</f>
        <v/>
      </c>
      <c r="G1421" s="24"/>
      <c r="H1421" s="24"/>
      <c r="I1421" s="20" t="str">
        <f aca="false">IF(B1421="","",IF(G1421&lt;&gt;"",G1421,E1421))</f>
        <v/>
      </c>
      <c r="J1421" s="21" t="str">
        <f aca="false">IF(B1421="","",IF(H1421&lt;&gt;"",H1421,F1421))</f>
        <v/>
      </c>
      <c r="K1421" s="26" t="str">
        <f aca="false">IF(A1421="","",DATE(YEAR(A1421),MONTH(A1421),1))</f>
        <v/>
      </c>
      <c r="L1421" s="21" t="str">
        <f aca="false">IF(J1421="",IF(B1421="","",IF(N(C1421)&gt;=0,"Income","Expense")),IFERROR(INDEX(Lists!$B$2:$B$30,MATCH(J1421,Lists!$A$2:$A$30,0)),""))</f>
        <v/>
      </c>
      <c r="M1421" s="24"/>
      <c r="N1421" s="27" t="str">
        <f aca="false">IF(B1421="","",IFERROR(1000-SUMPRODUCT(MAX(ISNUMBER(SEARCH(Rules!$A$5:$A$204,B1421))*(Rules!$A$5:$A$204&lt;&gt;"")*(1000-ROW(Rules!$A$5:$A$204)))),""))</f>
        <v/>
      </c>
    </row>
    <row r="1422" customFormat="false" ht="15" hidden="false" customHeight="false" outlineLevel="0" collapsed="false">
      <c r="A1422" s="23"/>
      <c r="B1422" s="24"/>
      <c r="C1422" s="25"/>
      <c r="D1422" s="24"/>
      <c r="E1422" s="21" t="str">
        <f aca="false">IF(OR(B1422="",N(N1422)=0,N1422=1000),IF(B1422="","","Check"),INDEX(Rules!$B:$B,N1422))</f>
        <v/>
      </c>
      <c r="F1422" s="21" t="str">
        <f aca="false">IF(OR(B1422="",N(N1422)=0,N1422=1000),"",INDEX(Rules!$C:$C,N1422))</f>
        <v/>
      </c>
      <c r="G1422" s="24"/>
      <c r="H1422" s="24"/>
      <c r="I1422" s="20" t="str">
        <f aca="false">IF(B1422="","",IF(G1422&lt;&gt;"",G1422,E1422))</f>
        <v/>
      </c>
      <c r="J1422" s="21" t="str">
        <f aca="false">IF(B1422="","",IF(H1422&lt;&gt;"",H1422,F1422))</f>
        <v/>
      </c>
      <c r="K1422" s="26" t="str">
        <f aca="false">IF(A1422="","",DATE(YEAR(A1422),MONTH(A1422),1))</f>
        <v/>
      </c>
      <c r="L1422" s="21" t="str">
        <f aca="false">IF(J1422="",IF(B1422="","",IF(N(C1422)&gt;=0,"Income","Expense")),IFERROR(INDEX(Lists!$B$2:$B$30,MATCH(J1422,Lists!$A$2:$A$30,0)),""))</f>
        <v/>
      </c>
      <c r="M1422" s="24"/>
      <c r="N1422" s="27" t="str">
        <f aca="false">IF(B1422="","",IFERROR(1000-SUMPRODUCT(MAX(ISNUMBER(SEARCH(Rules!$A$5:$A$204,B1422))*(Rules!$A$5:$A$204&lt;&gt;"")*(1000-ROW(Rules!$A$5:$A$204)))),""))</f>
        <v/>
      </c>
    </row>
    <row r="1423" customFormat="false" ht="15" hidden="false" customHeight="false" outlineLevel="0" collapsed="false">
      <c r="A1423" s="23"/>
      <c r="B1423" s="24"/>
      <c r="C1423" s="25"/>
      <c r="D1423" s="24"/>
      <c r="E1423" s="21" t="str">
        <f aca="false">IF(OR(B1423="",N(N1423)=0,N1423=1000),IF(B1423="","","Check"),INDEX(Rules!$B:$B,N1423))</f>
        <v/>
      </c>
      <c r="F1423" s="21" t="str">
        <f aca="false">IF(OR(B1423="",N(N1423)=0,N1423=1000),"",INDEX(Rules!$C:$C,N1423))</f>
        <v/>
      </c>
      <c r="G1423" s="24"/>
      <c r="H1423" s="24"/>
      <c r="I1423" s="20" t="str">
        <f aca="false">IF(B1423="","",IF(G1423&lt;&gt;"",G1423,E1423))</f>
        <v/>
      </c>
      <c r="J1423" s="21" t="str">
        <f aca="false">IF(B1423="","",IF(H1423&lt;&gt;"",H1423,F1423))</f>
        <v/>
      </c>
      <c r="K1423" s="26" t="str">
        <f aca="false">IF(A1423="","",DATE(YEAR(A1423),MONTH(A1423),1))</f>
        <v/>
      </c>
      <c r="L1423" s="21" t="str">
        <f aca="false">IF(J1423="",IF(B1423="","",IF(N(C1423)&gt;=0,"Income","Expense")),IFERROR(INDEX(Lists!$B$2:$B$30,MATCH(J1423,Lists!$A$2:$A$30,0)),""))</f>
        <v/>
      </c>
      <c r="M1423" s="24"/>
      <c r="N1423" s="27" t="str">
        <f aca="false">IF(B1423="","",IFERROR(1000-SUMPRODUCT(MAX(ISNUMBER(SEARCH(Rules!$A$5:$A$204,B1423))*(Rules!$A$5:$A$204&lt;&gt;"")*(1000-ROW(Rules!$A$5:$A$204)))),""))</f>
        <v/>
      </c>
    </row>
    <row r="1424" customFormat="false" ht="15" hidden="false" customHeight="false" outlineLevel="0" collapsed="false">
      <c r="A1424" s="23"/>
      <c r="B1424" s="24"/>
      <c r="C1424" s="25"/>
      <c r="D1424" s="24"/>
      <c r="E1424" s="21" t="str">
        <f aca="false">IF(OR(B1424="",N(N1424)=0,N1424=1000),IF(B1424="","","Check"),INDEX(Rules!$B:$B,N1424))</f>
        <v/>
      </c>
      <c r="F1424" s="21" t="str">
        <f aca="false">IF(OR(B1424="",N(N1424)=0,N1424=1000),"",INDEX(Rules!$C:$C,N1424))</f>
        <v/>
      </c>
      <c r="G1424" s="24"/>
      <c r="H1424" s="24"/>
      <c r="I1424" s="20" t="str">
        <f aca="false">IF(B1424="","",IF(G1424&lt;&gt;"",G1424,E1424))</f>
        <v/>
      </c>
      <c r="J1424" s="21" t="str">
        <f aca="false">IF(B1424="","",IF(H1424&lt;&gt;"",H1424,F1424))</f>
        <v/>
      </c>
      <c r="K1424" s="26" t="str">
        <f aca="false">IF(A1424="","",DATE(YEAR(A1424),MONTH(A1424),1))</f>
        <v/>
      </c>
      <c r="L1424" s="21" t="str">
        <f aca="false">IF(J1424="",IF(B1424="","",IF(N(C1424)&gt;=0,"Income","Expense")),IFERROR(INDEX(Lists!$B$2:$B$30,MATCH(J1424,Lists!$A$2:$A$30,0)),""))</f>
        <v/>
      </c>
      <c r="M1424" s="24"/>
      <c r="N1424" s="27" t="str">
        <f aca="false">IF(B1424="","",IFERROR(1000-SUMPRODUCT(MAX(ISNUMBER(SEARCH(Rules!$A$5:$A$204,B1424))*(Rules!$A$5:$A$204&lt;&gt;"")*(1000-ROW(Rules!$A$5:$A$204)))),""))</f>
        <v/>
      </c>
    </row>
    <row r="1425" customFormat="false" ht="15" hidden="false" customHeight="false" outlineLevel="0" collapsed="false">
      <c r="A1425" s="23"/>
      <c r="B1425" s="24"/>
      <c r="C1425" s="25"/>
      <c r="D1425" s="24"/>
      <c r="E1425" s="21" t="str">
        <f aca="false">IF(OR(B1425="",N(N1425)=0,N1425=1000),IF(B1425="","","Check"),INDEX(Rules!$B:$B,N1425))</f>
        <v/>
      </c>
      <c r="F1425" s="21" t="str">
        <f aca="false">IF(OR(B1425="",N(N1425)=0,N1425=1000),"",INDEX(Rules!$C:$C,N1425))</f>
        <v/>
      </c>
      <c r="G1425" s="24"/>
      <c r="H1425" s="24"/>
      <c r="I1425" s="20" t="str">
        <f aca="false">IF(B1425="","",IF(G1425&lt;&gt;"",G1425,E1425))</f>
        <v/>
      </c>
      <c r="J1425" s="21" t="str">
        <f aca="false">IF(B1425="","",IF(H1425&lt;&gt;"",H1425,F1425))</f>
        <v/>
      </c>
      <c r="K1425" s="26" t="str">
        <f aca="false">IF(A1425="","",DATE(YEAR(A1425),MONTH(A1425),1))</f>
        <v/>
      </c>
      <c r="L1425" s="21" t="str">
        <f aca="false">IF(J1425="",IF(B1425="","",IF(N(C1425)&gt;=0,"Income","Expense")),IFERROR(INDEX(Lists!$B$2:$B$30,MATCH(J1425,Lists!$A$2:$A$30,0)),""))</f>
        <v/>
      </c>
      <c r="M1425" s="24"/>
      <c r="N1425" s="27" t="str">
        <f aca="false">IF(B1425="","",IFERROR(1000-SUMPRODUCT(MAX(ISNUMBER(SEARCH(Rules!$A$5:$A$204,B1425))*(Rules!$A$5:$A$204&lt;&gt;"")*(1000-ROW(Rules!$A$5:$A$204)))),""))</f>
        <v/>
      </c>
    </row>
    <row r="1426" customFormat="false" ht="15" hidden="false" customHeight="false" outlineLevel="0" collapsed="false">
      <c r="A1426" s="23"/>
      <c r="B1426" s="24"/>
      <c r="C1426" s="25"/>
      <c r="D1426" s="24"/>
      <c r="E1426" s="21" t="str">
        <f aca="false">IF(OR(B1426="",N(N1426)=0,N1426=1000),IF(B1426="","","Check"),INDEX(Rules!$B:$B,N1426))</f>
        <v/>
      </c>
      <c r="F1426" s="21" t="str">
        <f aca="false">IF(OR(B1426="",N(N1426)=0,N1426=1000),"",INDEX(Rules!$C:$C,N1426))</f>
        <v/>
      </c>
      <c r="G1426" s="24"/>
      <c r="H1426" s="24"/>
      <c r="I1426" s="20" t="str">
        <f aca="false">IF(B1426="","",IF(G1426&lt;&gt;"",G1426,E1426))</f>
        <v/>
      </c>
      <c r="J1426" s="21" t="str">
        <f aca="false">IF(B1426="","",IF(H1426&lt;&gt;"",H1426,F1426))</f>
        <v/>
      </c>
      <c r="K1426" s="26" t="str">
        <f aca="false">IF(A1426="","",DATE(YEAR(A1426),MONTH(A1426),1))</f>
        <v/>
      </c>
      <c r="L1426" s="21" t="str">
        <f aca="false">IF(J1426="",IF(B1426="","",IF(N(C1426)&gt;=0,"Income","Expense")),IFERROR(INDEX(Lists!$B$2:$B$30,MATCH(J1426,Lists!$A$2:$A$30,0)),""))</f>
        <v/>
      </c>
      <c r="M1426" s="24"/>
      <c r="N1426" s="27" t="str">
        <f aca="false">IF(B1426="","",IFERROR(1000-SUMPRODUCT(MAX(ISNUMBER(SEARCH(Rules!$A$5:$A$204,B1426))*(Rules!$A$5:$A$204&lt;&gt;"")*(1000-ROW(Rules!$A$5:$A$204)))),""))</f>
        <v/>
      </c>
    </row>
    <row r="1427" customFormat="false" ht="15" hidden="false" customHeight="false" outlineLevel="0" collapsed="false">
      <c r="A1427" s="23"/>
      <c r="B1427" s="24"/>
      <c r="C1427" s="25"/>
      <c r="D1427" s="24"/>
      <c r="E1427" s="21" t="str">
        <f aca="false">IF(OR(B1427="",N(N1427)=0,N1427=1000),IF(B1427="","","Check"),INDEX(Rules!$B:$B,N1427))</f>
        <v/>
      </c>
      <c r="F1427" s="21" t="str">
        <f aca="false">IF(OR(B1427="",N(N1427)=0,N1427=1000),"",INDEX(Rules!$C:$C,N1427))</f>
        <v/>
      </c>
      <c r="G1427" s="24"/>
      <c r="H1427" s="24"/>
      <c r="I1427" s="20" t="str">
        <f aca="false">IF(B1427="","",IF(G1427&lt;&gt;"",G1427,E1427))</f>
        <v/>
      </c>
      <c r="J1427" s="21" t="str">
        <f aca="false">IF(B1427="","",IF(H1427&lt;&gt;"",H1427,F1427))</f>
        <v/>
      </c>
      <c r="K1427" s="26" t="str">
        <f aca="false">IF(A1427="","",DATE(YEAR(A1427),MONTH(A1427),1))</f>
        <v/>
      </c>
      <c r="L1427" s="21" t="str">
        <f aca="false">IF(J1427="",IF(B1427="","",IF(N(C1427)&gt;=0,"Income","Expense")),IFERROR(INDEX(Lists!$B$2:$B$30,MATCH(J1427,Lists!$A$2:$A$30,0)),""))</f>
        <v/>
      </c>
      <c r="M1427" s="24"/>
      <c r="N1427" s="27" t="str">
        <f aca="false">IF(B1427="","",IFERROR(1000-SUMPRODUCT(MAX(ISNUMBER(SEARCH(Rules!$A$5:$A$204,B1427))*(Rules!$A$5:$A$204&lt;&gt;"")*(1000-ROW(Rules!$A$5:$A$204)))),""))</f>
        <v/>
      </c>
    </row>
    <row r="1428" customFormat="false" ht="15" hidden="false" customHeight="false" outlineLevel="0" collapsed="false">
      <c r="A1428" s="23"/>
      <c r="B1428" s="24"/>
      <c r="C1428" s="25"/>
      <c r="D1428" s="24"/>
      <c r="E1428" s="21" t="str">
        <f aca="false">IF(OR(B1428="",N(N1428)=0,N1428=1000),IF(B1428="","","Check"),INDEX(Rules!$B:$B,N1428))</f>
        <v/>
      </c>
      <c r="F1428" s="21" t="str">
        <f aca="false">IF(OR(B1428="",N(N1428)=0,N1428=1000),"",INDEX(Rules!$C:$C,N1428))</f>
        <v/>
      </c>
      <c r="G1428" s="24"/>
      <c r="H1428" s="24"/>
      <c r="I1428" s="20" t="str">
        <f aca="false">IF(B1428="","",IF(G1428&lt;&gt;"",G1428,E1428))</f>
        <v/>
      </c>
      <c r="J1428" s="21" t="str">
        <f aca="false">IF(B1428="","",IF(H1428&lt;&gt;"",H1428,F1428))</f>
        <v/>
      </c>
      <c r="K1428" s="26" t="str">
        <f aca="false">IF(A1428="","",DATE(YEAR(A1428),MONTH(A1428),1))</f>
        <v/>
      </c>
      <c r="L1428" s="21" t="str">
        <f aca="false">IF(J1428="",IF(B1428="","",IF(N(C1428)&gt;=0,"Income","Expense")),IFERROR(INDEX(Lists!$B$2:$B$30,MATCH(J1428,Lists!$A$2:$A$30,0)),""))</f>
        <v/>
      </c>
      <c r="M1428" s="24"/>
      <c r="N1428" s="27" t="str">
        <f aca="false">IF(B1428="","",IFERROR(1000-SUMPRODUCT(MAX(ISNUMBER(SEARCH(Rules!$A$5:$A$204,B1428))*(Rules!$A$5:$A$204&lt;&gt;"")*(1000-ROW(Rules!$A$5:$A$204)))),""))</f>
        <v/>
      </c>
    </row>
    <row r="1429" customFormat="false" ht="15" hidden="false" customHeight="false" outlineLevel="0" collapsed="false">
      <c r="A1429" s="23"/>
      <c r="B1429" s="24"/>
      <c r="C1429" s="25"/>
      <c r="D1429" s="24"/>
      <c r="E1429" s="21" t="str">
        <f aca="false">IF(OR(B1429="",N(N1429)=0,N1429=1000),IF(B1429="","","Check"),INDEX(Rules!$B:$B,N1429))</f>
        <v/>
      </c>
      <c r="F1429" s="21" t="str">
        <f aca="false">IF(OR(B1429="",N(N1429)=0,N1429=1000),"",INDEX(Rules!$C:$C,N1429))</f>
        <v/>
      </c>
      <c r="G1429" s="24"/>
      <c r="H1429" s="24"/>
      <c r="I1429" s="20" t="str">
        <f aca="false">IF(B1429="","",IF(G1429&lt;&gt;"",G1429,E1429))</f>
        <v/>
      </c>
      <c r="J1429" s="21" t="str">
        <f aca="false">IF(B1429="","",IF(H1429&lt;&gt;"",H1429,F1429))</f>
        <v/>
      </c>
      <c r="K1429" s="26" t="str">
        <f aca="false">IF(A1429="","",DATE(YEAR(A1429),MONTH(A1429),1))</f>
        <v/>
      </c>
      <c r="L1429" s="21" t="str">
        <f aca="false">IF(J1429="",IF(B1429="","",IF(N(C1429)&gt;=0,"Income","Expense")),IFERROR(INDEX(Lists!$B$2:$B$30,MATCH(J1429,Lists!$A$2:$A$30,0)),""))</f>
        <v/>
      </c>
      <c r="M1429" s="24"/>
      <c r="N1429" s="27" t="str">
        <f aca="false">IF(B1429="","",IFERROR(1000-SUMPRODUCT(MAX(ISNUMBER(SEARCH(Rules!$A$5:$A$204,B1429))*(Rules!$A$5:$A$204&lt;&gt;"")*(1000-ROW(Rules!$A$5:$A$204)))),""))</f>
        <v/>
      </c>
    </row>
    <row r="1430" customFormat="false" ht="15" hidden="false" customHeight="false" outlineLevel="0" collapsed="false">
      <c r="A1430" s="23"/>
      <c r="B1430" s="24"/>
      <c r="C1430" s="25"/>
      <c r="D1430" s="24"/>
      <c r="E1430" s="21" t="str">
        <f aca="false">IF(OR(B1430="",N(N1430)=0,N1430=1000),IF(B1430="","","Check"),INDEX(Rules!$B:$B,N1430))</f>
        <v/>
      </c>
      <c r="F1430" s="21" t="str">
        <f aca="false">IF(OR(B1430="",N(N1430)=0,N1430=1000),"",INDEX(Rules!$C:$C,N1430))</f>
        <v/>
      </c>
      <c r="G1430" s="24"/>
      <c r="H1430" s="24"/>
      <c r="I1430" s="20" t="str">
        <f aca="false">IF(B1430="","",IF(G1430&lt;&gt;"",G1430,E1430))</f>
        <v/>
      </c>
      <c r="J1430" s="21" t="str">
        <f aca="false">IF(B1430="","",IF(H1430&lt;&gt;"",H1430,F1430))</f>
        <v/>
      </c>
      <c r="K1430" s="26" t="str">
        <f aca="false">IF(A1430="","",DATE(YEAR(A1430),MONTH(A1430),1))</f>
        <v/>
      </c>
      <c r="L1430" s="21" t="str">
        <f aca="false">IF(J1430="",IF(B1430="","",IF(N(C1430)&gt;=0,"Income","Expense")),IFERROR(INDEX(Lists!$B$2:$B$30,MATCH(J1430,Lists!$A$2:$A$30,0)),""))</f>
        <v/>
      </c>
      <c r="M1430" s="24"/>
      <c r="N1430" s="27" t="str">
        <f aca="false">IF(B1430="","",IFERROR(1000-SUMPRODUCT(MAX(ISNUMBER(SEARCH(Rules!$A$5:$A$204,B1430))*(Rules!$A$5:$A$204&lt;&gt;"")*(1000-ROW(Rules!$A$5:$A$204)))),""))</f>
        <v/>
      </c>
    </row>
    <row r="1431" customFormat="false" ht="15" hidden="false" customHeight="false" outlineLevel="0" collapsed="false">
      <c r="A1431" s="23"/>
      <c r="B1431" s="24"/>
      <c r="C1431" s="25"/>
      <c r="D1431" s="24"/>
      <c r="E1431" s="21" t="str">
        <f aca="false">IF(OR(B1431="",N(N1431)=0,N1431=1000),IF(B1431="","","Check"),INDEX(Rules!$B:$B,N1431))</f>
        <v/>
      </c>
      <c r="F1431" s="21" t="str">
        <f aca="false">IF(OR(B1431="",N(N1431)=0,N1431=1000),"",INDEX(Rules!$C:$C,N1431))</f>
        <v/>
      </c>
      <c r="G1431" s="24"/>
      <c r="H1431" s="24"/>
      <c r="I1431" s="20" t="str">
        <f aca="false">IF(B1431="","",IF(G1431&lt;&gt;"",G1431,E1431))</f>
        <v/>
      </c>
      <c r="J1431" s="21" t="str">
        <f aca="false">IF(B1431="","",IF(H1431&lt;&gt;"",H1431,F1431))</f>
        <v/>
      </c>
      <c r="K1431" s="26" t="str">
        <f aca="false">IF(A1431="","",DATE(YEAR(A1431),MONTH(A1431),1))</f>
        <v/>
      </c>
      <c r="L1431" s="21" t="str">
        <f aca="false">IF(J1431="",IF(B1431="","",IF(N(C1431)&gt;=0,"Income","Expense")),IFERROR(INDEX(Lists!$B$2:$B$30,MATCH(J1431,Lists!$A$2:$A$30,0)),""))</f>
        <v/>
      </c>
      <c r="M1431" s="24"/>
      <c r="N1431" s="27" t="str">
        <f aca="false">IF(B1431="","",IFERROR(1000-SUMPRODUCT(MAX(ISNUMBER(SEARCH(Rules!$A$5:$A$204,B1431))*(Rules!$A$5:$A$204&lt;&gt;"")*(1000-ROW(Rules!$A$5:$A$204)))),""))</f>
        <v/>
      </c>
    </row>
    <row r="1432" customFormat="false" ht="15" hidden="false" customHeight="false" outlineLevel="0" collapsed="false">
      <c r="A1432" s="23"/>
      <c r="B1432" s="24"/>
      <c r="C1432" s="25"/>
      <c r="D1432" s="24"/>
      <c r="E1432" s="21" t="str">
        <f aca="false">IF(OR(B1432="",N(N1432)=0,N1432=1000),IF(B1432="","","Check"),INDEX(Rules!$B:$B,N1432))</f>
        <v/>
      </c>
      <c r="F1432" s="21" t="str">
        <f aca="false">IF(OR(B1432="",N(N1432)=0,N1432=1000),"",INDEX(Rules!$C:$C,N1432))</f>
        <v/>
      </c>
      <c r="G1432" s="24"/>
      <c r="H1432" s="24"/>
      <c r="I1432" s="20" t="str">
        <f aca="false">IF(B1432="","",IF(G1432&lt;&gt;"",G1432,E1432))</f>
        <v/>
      </c>
      <c r="J1432" s="21" t="str">
        <f aca="false">IF(B1432="","",IF(H1432&lt;&gt;"",H1432,F1432))</f>
        <v/>
      </c>
      <c r="K1432" s="26" t="str">
        <f aca="false">IF(A1432="","",DATE(YEAR(A1432),MONTH(A1432),1))</f>
        <v/>
      </c>
      <c r="L1432" s="21" t="str">
        <f aca="false">IF(J1432="",IF(B1432="","",IF(N(C1432)&gt;=0,"Income","Expense")),IFERROR(INDEX(Lists!$B$2:$B$30,MATCH(J1432,Lists!$A$2:$A$30,0)),""))</f>
        <v/>
      </c>
      <c r="M1432" s="24"/>
      <c r="N1432" s="27" t="str">
        <f aca="false">IF(B1432="","",IFERROR(1000-SUMPRODUCT(MAX(ISNUMBER(SEARCH(Rules!$A$5:$A$204,B1432))*(Rules!$A$5:$A$204&lt;&gt;"")*(1000-ROW(Rules!$A$5:$A$204)))),""))</f>
        <v/>
      </c>
    </row>
    <row r="1433" customFormat="false" ht="15" hidden="false" customHeight="false" outlineLevel="0" collapsed="false">
      <c r="A1433" s="23"/>
      <c r="B1433" s="24"/>
      <c r="C1433" s="25"/>
      <c r="D1433" s="24"/>
      <c r="E1433" s="21" t="str">
        <f aca="false">IF(OR(B1433="",N(N1433)=0,N1433=1000),IF(B1433="","","Check"),INDEX(Rules!$B:$B,N1433))</f>
        <v/>
      </c>
      <c r="F1433" s="21" t="str">
        <f aca="false">IF(OR(B1433="",N(N1433)=0,N1433=1000),"",INDEX(Rules!$C:$C,N1433))</f>
        <v/>
      </c>
      <c r="G1433" s="24"/>
      <c r="H1433" s="24"/>
      <c r="I1433" s="20" t="str">
        <f aca="false">IF(B1433="","",IF(G1433&lt;&gt;"",G1433,E1433))</f>
        <v/>
      </c>
      <c r="J1433" s="21" t="str">
        <f aca="false">IF(B1433="","",IF(H1433&lt;&gt;"",H1433,F1433))</f>
        <v/>
      </c>
      <c r="K1433" s="26" t="str">
        <f aca="false">IF(A1433="","",DATE(YEAR(A1433),MONTH(A1433),1))</f>
        <v/>
      </c>
      <c r="L1433" s="21" t="str">
        <f aca="false">IF(J1433="",IF(B1433="","",IF(N(C1433)&gt;=0,"Income","Expense")),IFERROR(INDEX(Lists!$B$2:$B$30,MATCH(J1433,Lists!$A$2:$A$30,0)),""))</f>
        <v/>
      </c>
      <c r="M1433" s="24"/>
      <c r="N1433" s="27" t="str">
        <f aca="false">IF(B1433="","",IFERROR(1000-SUMPRODUCT(MAX(ISNUMBER(SEARCH(Rules!$A$5:$A$204,B1433))*(Rules!$A$5:$A$204&lt;&gt;"")*(1000-ROW(Rules!$A$5:$A$204)))),""))</f>
        <v/>
      </c>
    </row>
    <row r="1434" customFormat="false" ht="15" hidden="false" customHeight="false" outlineLevel="0" collapsed="false">
      <c r="A1434" s="23"/>
      <c r="B1434" s="24"/>
      <c r="C1434" s="25"/>
      <c r="D1434" s="24"/>
      <c r="E1434" s="21" t="str">
        <f aca="false">IF(OR(B1434="",N(N1434)=0,N1434=1000),IF(B1434="","","Check"),INDEX(Rules!$B:$B,N1434))</f>
        <v/>
      </c>
      <c r="F1434" s="21" t="str">
        <f aca="false">IF(OR(B1434="",N(N1434)=0,N1434=1000),"",INDEX(Rules!$C:$C,N1434))</f>
        <v/>
      </c>
      <c r="G1434" s="24"/>
      <c r="H1434" s="24"/>
      <c r="I1434" s="20" t="str">
        <f aca="false">IF(B1434="","",IF(G1434&lt;&gt;"",G1434,E1434))</f>
        <v/>
      </c>
      <c r="J1434" s="21" t="str">
        <f aca="false">IF(B1434="","",IF(H1434&lt;&gt;"",H1434,F1434))</f>
        <v/>
      </c>
      <c r="K1434" s="26" t="str">
        <f aca="false">IF(A1434="","",DATE(YEAR(A1434),MONTH(A1434),1))</f>
        <v/>
      </c>
      <c r="L1434" s="21" t="str">
        <f aca="false">IF(J1434="",IF(B1434="","",IF(N(C1434)&gt;=0,"Income","Expense")),IFERROR(INDEX(Lists!$B$2:$B$30,MATCH(J1434,Lists!$A$2:$A$30,0)),""))</f>
        <v/>
      </c>
      <c r="M1434" s="24"/>
      <c r="N1434" s="27" t="str">
        <f aca="false">IF(B1434="","",IFERROR(1000-SUMPRODUCT(MAX(ISNUMBER(SEARCH(Rules!$A$5:$A$204,B1434))*(Rules!$A$5:$A$204&lt;&gt;"")*(1000-ROW(Rules!$A$5:$A$204)))),""))</f>
        <v/>
      </c>
    </row>
    <row r="1435" customFormat="false" ht="15" hidden="false" customHeight="false" outlineLevel="0" collapsed="false">
      <c r="A1435" s="23"/>
      <c r="B1435" s="24"/>
      <c r="C1435" s="25"/>
      <c r="D1435" s="24"/>
      <c r="E1435" s="21" t="str">
        <f aca="false">IF(OR(B1435="",N(N1435)=0,N1435=1000),IF(B1435="","","Check"),INDEX(Rules!$B:$B,N1435))</f>
        <v/>
      </c>
      <c r="F1435" s="21" t="str">
        <f aca="false">IF(OR(B1435="",N(N1435)=0,N1435=1000),"",INDEX(Rules!$C:$C,N1435))</f>
        <v/>
      </c>
      <c r="G1435" s="24"/>
      <c r="H1435" s="24"/>
      <c r="I1435" s="20" t="str">
        <f aca="false">IF(B1435="","",IF(G1435&lt;&gt;"",G1435,E1435))</f>
        <v/>
      </c>
      <c r="J1435" s="21" t="str">
        <f aca="false">IF(B1435="","",IF(H1435&lt;&gt;"",H1435,F1435))</f>
        <v/>
      </c>
      <c r="K1435" s="26" t="str">
        <f aca="false">IF(A1435="","",DATE(YEAR(A1435),MONTH(A1435),1))</f>
        <v/>
      </c>
      <c r="L1435" s="21" t="str">
        <f aca="false">IF(J1435="",IF(B1435="","",IF(N(C1435)&gt;=0,"Income","Expense")),IFERROR(INDEX(Lists!$B$2:$B$30,MATCH(J1435,Lists!$A$2:$A$30,0)),""))</f>
        <v/>
      </c>
      <c r="M1435" s="24"/>
      <c r="N1435" s="27" t="str">
        <f aca="false">IF(B1435="","",IFERROR(1000-SUMPRODUCT(MAX(ISNUMBER(SEARCH(Rules!$A$5:$A$204,B1435))*(Rules!$A$5:$A$204&lt;&gt;"")*(1000-ROW(Rules!$A$5:$A$204)))),""))</f>
        <v/>
      </c>
    </row>
    <row r="1436" customFormat="false" ht="15" hidden="false" customHeight="false" outlineLevel="0" collapsed="false">
      <c r="A1436" s="23"/>
      <c r="B1436" s="24"/>
      <c r="C1436" s="25"/>
      <c r="D1436" s="24"/>
      <c r="E1436" s="21" t="str">
        <f aca="false">IF(OR(B1436="",N(N1436)=0,N1436=1000),IF(B1436="","","Check"),INDEX(Rules!$B:$B,N1436))</f>
        <v/>
      </c>
      <c r="F1436" s="21" t="str">
        <f aca="false">IF(OR(B1436="",N(N1436)=0,N1436=1000),"",INDEX(Rules!$C:$C,N1436))</f>
        <v/>
      </c>
      <c r="G1436" s="24"/>
      <c r="H1436" s="24"/>
      <c r="I1436" s="20" t="str">
        <f aca="false">IF(B1436="","",IF(G1436&lt;&gt;"",G1436,E1436))</f>
        <v/>
      </c>
      <c r="J1436" s="21" t="str">
        <f aca="false">IF(B1436="","",IF(H1436&lt;&gt;"",H1436,F1436))</f>
        <v/>
      </c>
      <c r="K1436" s="26" t="str">
        <f aca="false">IF(A1436="","",DATE(YEAR(A1436),MONTH(A1436),1))</f>
        <v/>
      </c>
      <c r="L1436" s="21" t="str">
        <f aca="false">IF(J1436="",IF(B1436="","",IF(N(C1436)&gt;=0,"Income","Expense")),IFERROR(INDEX(Lists!$B$2:$B$30,MATCH(J1436,Lists!$A$2:$A$30,0)),""))</f>
        <v/>
      </c>
      <c r="M1436" s="24"/>
      <c r="N1436" s="27" t="str">
        <f aca="false">IF(B1436="","",IFERROR(1000-SUMPRODUCT(MAX(ISNUMBER(SEARCH(Rules!$A$5:$A$204,B1436))*(Rules!$A$5:$A$204&lt;&gt;"")*(1000-ROW(Rules!$A$5:$A$204)))),""))</f>
        <v/>
      </c>
    </row>
    <row r="1437" customFormat="false" ht="15" hidden="false" customHeight="false" outlineLevel="0" collapsed="false">
      <c r="A1437" s="23"/>
      <c r="B1437" s="24"/>
      <c r="C1437" s="25"/>
      <c r="D1437" s="24"/>
      <c r="E1437" s="21" t="str">
        <f aca="false">IF(OR(B1437="",N(N1437)=0,N1437=1000),IF(B1437="","","Check"),INDEX(Rules!$B:$B,N1437))</f>
        <v/>
      </c>
      <c r="F1437" s="21" t="str">
        <f aca="false">IF(OR(B1437="",N(N1437)=0,N1437=1000),"",INDEX(Rules!$C:$C,N1437))</f>
        <v/>
      </c>
      <c r="G1437" s="24"/>
      <c r="H1437" s="24"/>
      <c r="I1437" s="20" t="str">
        <f aca="false">IF(B1437="","",IF(G1437&lt;&gt;"",G1437,E1437))</f>
        <v/>
      </c>
      <c r="J1437" s="21" t="str">
        <f aca="false">IF(B1437="","",IF(H1437&lt;&gt;"",H1437,F1437))</f>
        <v/>
      </c>
      <c r="K1437" s="26" t="str">
        <f aca="false">IF(A1437="","",DATE(YEAR(A1437),MONTH(A1437),1))</f>
        <v/>
      </c>
      <c r="L1437" s="21" t="str">
        <f aca="false">IF(J1437="",IF(B1437="","",IF(N(C1437)&gt;=0,"Income","Expense")),IFERROR(INDEX(Lists!$B$2:$B$30,MATCH(J1437,Lists!$A$2:$A$30,0)),""))</f>
        <v/>
      </c>
      <c r="M1437" s="24"/>
      <c r="N1437" s="27" t="str">
        <f aca="false">IF(B1437="","",IFERROR(1000-SUMPRODUCT(MAX(ISNUMBER(SEARCH(Rules!$A$5:$A$204,B1437))*(Rules!$A$5:$A$204&lt;&gt;"")*(1000-ROW(Rules!$A$5:$A$204)))),""))</f>
        <v/>
      </c>
    </row>
    <row r="1438" customFormat="false" ht="15" hidden="false" customHeight="false" outlineLevel="0" collapsed="false">
      <c r="A1438" s="23"/>
      <c r="B1438" s="24"/>
      <c r="C1438" s="25"/>
      <c r="D1438" s="24"/>
      <c r="E1438" s="21" t="str">
        <f aca="false">IF(OR(B1438="",N(N1438)=0,N1438=1000),IF(B1438="","","Check"),INDEX(Rules!$B:$B,N1438))</f>
        <v/>
      </c>
      <c r="F1438" s="21" t="str">
        <f aca="false">IF(OR(B1438="",N(N1438)=0,N1438=1000),"",INDEX(Rules!$C:$C,N1438))</f>
        <v/>
      </c>
      <c r="G1438" s="24"/>
      <c r="H1438" s="24"/>
      <c r="I1438" s="20" t="str">
        <f aca="false">IF(B1438="","",IF(G1438&lt;&gt;"",G1438,E1438))</f>
        <v/>
      </c>
      <c r="J1438" s="21" t="str">
        <f aca="false">IF(B1438="","",IF(H1438&lt;&gt;"",H1438,F1438))</f>
        <v/>
      </c>
      <c r="K1438" s="26" t="str">
        <f aca="false">IF(A1438="","",DATE(YEAR(A1438),MONTH(A1438),1))</f>
        <v/>
      </c>
      <c r="L1438" s="21" t="str">
        <f aca="false">IF(J1438="",IF(B1438="","",IF(N(C1438)&gt;=0,"Income","Expense")),IFERROR(INDEX(Lists!$B$2:$B$30,MATCH(J1438,Lists!$A$2:$A$30,0)),""))</f>
        <v/>
      </c>
      <c r="M1438" s="24"/>
      <c r="N1438" s="27" t="str">
        <f aca="false">IF(B1438="","",IFERROR(1000-SUMPRODUCT(MAX(ISNUMBER(SEARCH(Rules!$A$5:$A$204,B1438))*(Rules!$A$5:$A$204&lt;&gt;"")*(1000-ROW(Rules!$A$5:$A$204)))),""))</f>
        <v/>
      </c>
    </row>
    <row r="1439" customFormat="false" ht="15" hidden="false" customHeight="false" outlineLevel="0" collapsed="false">
      <c r="A1439" s="23"/>
      <c r="B1439" s="24"/>
      <c r="C1439" s="25"/>
      <c r="D1439" s="24"/>
      <c r="E1439" s="21" t="str">
        <f aca="false">IF(OR(B1439="",N(N1439)=0,N1439=1000),IF(B1439="","","Check"),INDEX(Rules!$B:$B,N1439))</f>
        <v/>
      </c>
      <c r="F1439" s="21" t="str">
        <f aca="false">IF(OR(B1439="",N(N1439)=0,N1439=1000),"",INDEX(Rules!$C:$C,N1439))</f>
        <v/>
      </c>
      <c r="G1439" s="24"/>
      <c r="H1439" s="24"/>
      <c r="I1439" s="20" t="str">
        <f aca="false">IF(B1439="","",IF(G1439&lt;&gt;"",G1439,E1439))</f>
        <v/>
      </c>
      <c r="J1439" s="21" t="str">
        <f aca="false">IF(B1439="","",IF(H1439&lt;&gt;"",H1439,F1439))</f>
        <v/>
      </c>
      <c r="K1439" s="26" t="str">
        <f aca="false">IF(A1439="","",DATE(YEAR(A1439),MONTH(A1439),1))</f>
        <v/>
      </c>
      <c r="L1439" s="21" t="str">
        <f aca="false">IF(J1439="",IF(B1439="","",IF(N(C1439)&gt;=0,"Income","Expense")),IFERROR(INDEX(Lists!$B$2:$B$30,MATCH(J1439,Lists!$A$2:$A$30,0)),""))</f>
        <v/>
      </c>
      <c r="M1439" s="24"/>
      <c r="N1439" s="27" t="str">
        <f aca="false">IF(B1439="","",IFERROR(1000-SUMPRODUCT(MAX(ISNUMBER(SEARCH(Rules!$A$5:$A$204,B1439))*(Rules!$A$5:$A$204&lt;&gt;"")*(1000-ROW(Rules!$A$5:$A$204)))),""))</f>
        <v/>
      </c>
    </row>
    <row r="1440" customFormat="false" ht="15" hidden="false" customHeight="false" outlineLevel="0" collapsed="false">
      <c r="A1440" s="23"/>
      <c r="B1440" s="24"/>
      <c r="C1440" s="25"/>
      <c r="D1440" s="24"/>
      <c r="E1440" s="21" t="str">
        <f aca="false">IF(OR(B1440="",N(N1440)=0,N1440=1000),IF(B1440="","","Check"),INDEX(Rules!$B:$B,N1440))</f>
        <v/>
      </c>
      <c r="F1440" s="21" t="str">
        <f aca="false">IF(OR(B1440="",N(N1440)=0,N1440=1000),"",INDEX(Rules!$C:$C,N1440))</f>
        <v/>
      </c>
      <c r="G1440" s="24"/>
      <c r="H1440" s="24"/>
      <c r="I1440" s="20" t="str">
        <f aca="false">IF(B1440="","",IF(G1440&lt;&gt;"",G1440,E1440))</f>
        <v/>
      </c>
      <c r="J1440" s="21" t="str">
        <f aca="false">IF(B1440="","",IF(H1440&lt;&gt;"",H1440,F1440))</f>
        <v/>
      </c>
      <c r="K1440" s="26" t="str">
        <f aca="false">IF(A1440="","",DATE(YEAR(A1440),MONTH(A1440),1))</f>
        <v/>
      </c>
      <c r="L1440" s="21" t="str">
        <f aca="false">IF(J1440="",IF(B1440="","",IF(N(C1440)&gt;=0,"Income","Expense")),IFERROR(INDEX(Lists!$B$2:$B$30,MATCH(J1440,Lists!$A$2:$A$30,0)),""))</f>
        <v/>
      </c>
      <c r="M1440" s="24"/>
      <c r="N1440" s="27" t="str">
        <f aca="false">IF(B1440="","",IFERROR(1000-SUMPRODUCT(MAX(ISNUMBER(SEARCH(Rules!$A$5:$A$204,B1440))*(Rules!$A$5:$A$204&lt;&gt;"")*(1000-ROW(Rules!$A$5:$A$204)))),""))</f>
        <v/>
      </c>
    </row>
    <row r="1441" customFormat="false" ht="15" hidden="false" customHeight="false" outlineLevel="0" collapsed="false">
      <c r="A1441" s="23"/>
      <c r="B1441" s="24"/>
      <c r="C1441" s="25"/>
      <c r="D1441" s="24"/>
      <c r="E1441" s="21" t="str">
        <f aca="false">IF(OR(B1441="",N(N1441)=0,N1441=1000),IF(B1441="","","Check"),INDEX(Rules!$B:$B,N1441))</f>
        <v/>
      </c>
      <c r="F1441" s="21" t="str">
        <f aca="false">IF(OR(B1441="",N(N1441)=0,N1441=1000),"",INDEX(Rules!$C:$C,N1441))</f>
        <v/>
      </c>
      <c r="G1441" s="24"/>
      <c r="H1441" s="24"/>
      <c r="I1441" s="20" t="str">
        <f aca="false">IF(B1441="","",IF(G1441&lt;&gt;"",G1441,E1441))</f>
        <v/>
      </c>
      <c r="J1441" s="21" t="str">
        <f aca="false">IF(B1441="","",IF(H1441&lt;&gt;"",H1441,F1441))</f>
        <v/>
      </c>
      <c r="K1441" s="26" t="str">
        <f aca="false">IF(A1441="","",DATE(YEAR(A1441),MONTH(A1441),1))</f>
        <v/>
      </c>
      <c r="L1441" s="21" t="str">
        <f aca="false">IF(J1441="",IF(B1441="","",IF(N(C1441)&gt;=0,"Income","Expense")),IFERROR(INDEX(Lists!$B$2:$B$30,MATCH(J1441,Lists!$A$2:$A$30,0)),""))</f>
        <v/>
      </c>
      <c r="M1441" s="24"/>
      <c r="N1441" s="27" t="str">
        <f aca="false">IF(B1441="","",IFERROR(1000-SUMPRODUCT(MAX(ISNUMBER(SEARCH(Rules!$A$5:$A$204,B1441))*(Rules!$A$5:$A$204&lt;&gt;"")*(1000-ROW(Rules!$A$5:$A$204)))),""))</f>
        <v/>
      </c>
    </row>
    <row r="1442" customFormat="false" ht="15" hidden="false" customHeight="false" outlineLevel="0" collapsed="false">
      <c r="A1442" s="23"/>
      <c r="B1442" s="24"/>
      <c r="C1442" s="25"/>
      <c r="D1442" s="24"/>
      <c r="E1442" s="21" t="str">
        <f aca="false">IF(OR(B1442="",N(N1442)=0,N1442=1000),IF(B1442="","","Check"),INDEX(Rules!$B:$B,N1442))</f>
        <v/>
      </c>
      <c r="F1442" s="21" t="str">
        <f aca="false">IF(OR(B1442="",N(N1442)=0,N1442=1000),"",INDEX(Rules!$C:$C,N1442))</f>
        <v/>
      </c>
      <c r="G1442" s="24"/>
      <c r="H1442" s="24"/>
      <c r="I1442" s="20" t="str">
        <f aca="false">IF(B1442="","",IF(G1442&lt;&gt;"",G1442,E1442))</f>
        <v/>
      </c>
      <c r="J1442" s="21" t="str">
        <f aca="false">IF(B1442="","",IF(H1442&lt;&gt;"",H1442,F1442))</f>
        <v/>
      </c>
      <c r="K1442" s="26" t="str">
        <f aca="false">IF(A1442="","",DATE(YEAR(A1442),MONTH(A1442),1))</f>
        <v/>
      </c>
      <c r="L1442" s="21" t="str">
        <f aca="false">IF(J1442="",IF(B1442="","",IF(N(C1442)&gt;=0,"Income","Expense")),IFERROR(INDEX(Lists!$B$2:$B$30,MATCH(J1442,Lists!$A$2:$A$30,0)),""))</f>
        <v/>
      </c>
      <c r="M1442" s="24"/>
      <c r="N1442" s="27" t="str">
        <f aca="false">IF(B1442="","",IFERROR(1000-SUMPRODUCT(MAX(ISNUMBER(SEARCH(Rules!$A$5:$A$204,B1442))*(Rules!$A$5:$A$204&lt;&gt;"")*(1000-ROW(Rules!$A$5:$A$204)))),""))</f>
        <v/>
      </c>
    </row>
    <row r="1443" customFormat="false" ht="15" hidden="false" customHeight="false" outlineLevel="0" collapsed="false">
      <c r="A1443" s="23"/>
      <c r="B1443" s="24"/>
      <c r="C1443" s="25"/>
      <c r="D1443" s="24"/>
      <c r="E1443" s="21" t="str">
        <f aca="false">IF(OR(B1443="",N(N1443)=0,N1443=1000),IF(B1443="","","Check"),INDEX(Rules!$B:$B,N1443))</f>
        <v/>
      </c>
      <c r="F1443" s="21" t="str">
        <f aca="false">IF(OR(B1443="",N(N1443)=0,N1443=1000),"",INDEX(Rules!$C:$C,N1443))</f>
        <v/>
      </c>
      <c r="G1443" s="24"/>
      <c r="H1443" s="24"/>
      <c r="I1443" s="20" t="str">
        <f aca="false">IF(B1443="","",IF(G1443&lt;&gt;"",G1443,E1443))</f>
        <v/>
      </c>
      <c r="J1443" s="21" t="str">
        <f aca="false">IF(B1443="","",IF(H1443&lt;&gt;"",H1443,F1443))</f>
        <v/>
      </c>
      <c r="K1443" s="26" t="str">
        <f aca="false">IF(A1443="","",DATE(YEAR(A1443),MONTH(A1443),1))</f>
        <v/>
      </c>
      <c r="L1443" s="21" t="str">
        <f aca="false">IF(J1443="",IF(B1443="","",IF(N(C1443)&gt;=0,"Income","Expense")),IFERROR(INDEX(Lists!$B$2:$B$30,MATCH(J1443,Lists!$A$2:$A$30,0)),""))</f>
        <v/>
      </c>
      <c r="M1443" s="24"/>
      <c r="N1443" s="27" t="str">
        <f aca="false">IF(B1443="","",IFERROR(1000-SUMPRODUCT(MAX(ISNUMBER(SEARCH(Rules!$A$5:$A$204,B1443))*(Rules!$A$5:$A$204&lt;&gt;"")*(1000-ROW(Rules!$A$5:$A$204)))),""))</f>
        <v/>
      </c>
    </row>
    <row r="1444" customFormat="false" ht="15" hidden="false" customHeight="false" outlineLevel="0" collapsed="false">
      <c r="A1444" s="23"/>
      <c r="B1444" s="24"/>
      <c r="C1444" s="25"/>
      <c r="D1444" s="24"/>
      <c r="E1444" s="21" t="str">
        <f aca="false">IF(OR(B1444="",N(N1444)=0,N1444=1000),IF(B1444="","","Check"),INDEX(Rules!$B:$B,N1444))</f>
        <v/>
      </c>
      <c r="F1444" s="21" t="str">
        <f aca="false">IF(OR(B1444="",N(N1444)=0,N1444=1000),"",INDEX(Rules!$C:$C,N1444))</f>
        <v/>
      </c>
      <c r="G1444" s="24"/>
      <c r="H1444" s="24"/>
      <c r="I1444" s="20" t="str">
        <f aca="false">IF(B1444="","",IF(G1444&lt;&gt;"",G1444,E1444))</f>
        <v/>
      </c>
      <c r="J1444" s="21" t="str">
        <f aca="false">IF(B1444="","",IF(H1444&lt;&gt;"",H1444,F1444))</f>
        <v/>
      </c>
      <c r="K1444" s="26" t="str">
        <f aca="false">IF(A1444="","",DATE(YEAR(A1444),MONTH(A1444),1))</f>
        <v/>
      </c>
      <c r="L1444" s="21" t="str">
        <f aca="false">IF(J1444="",IF(B1444="","",IF(N(C1444)&gt;=0,"Income","Expense")),IFERROR(INDEX(Lists!$B$2:$B$30,MATCH(J1444,Lists!$A$2:$A$30,0)),""))</f>
        <v/>
      </c>
      <c r="M1444" s="24"/>
      <c r="N1444" s="27" t="str">
        <f aca="false">IF(B1444="","",IFERROR(1000-SUMPRODUCT(MAX(ISNUMBER(SEARCH(Rules!$A$5:$A$204,B1444))*(Rules!$A$5:$A$204&lt;&gt;"")*(1000-ROW(Rules!$A$5:$A$204)))),""))</f>
        <v/>
      </c>
    </row>
    <row r="1445" customFormat="false" ht="15" hidden="false" customHeight="false" outlineLevel="0" collapsed="false">
      <c r="A1445" s="23"/>
      <c r="B1445" s="24"/>
      <c r="C1445" s="25"/>
      <c r="D1445" s="24"/>
      <c r="E1445" s="21" t="str">
        <f aca="false">IF(OR(B1445="",N(N1445)=0,N1445=1000),IF(B1445="","","Check"),INDEX(Rules!$B:$B,N1445))</f>
        <v/>
      </c>
      <c r="F1445" s="21" t="str">
        <f aca="false">IF(OR(B1445="",N(N1445)=0,N1445=1000),"",INDEX(Rules!$C:$C,N1445))</f>
        <v/>
      </c>
      <c r="G1445" s="24"/>
      <c r="H1445" s="24"/>
      <c r="I1445" s="20" t="str">
        <f aca="false">IF(B1445="","",IF(G1445&lt;&gt;"",G1445,E1445))</f>
        <v/>
      </c>
      <c r="J1445" s="21" t="str">
        <f aca="false">IF(B1445="","",IF(H1445&lt;&gt;"",H1445,F1445))</f>
        <v/>
      </c>
      <c r="K1445" s="26" t="str">
        <f aca="false">IF(A1445="","",DATE(YEAR(A1445),MONTH(A1445),1))</f>
        <v/>
      </c>
      <c r="L1445" s="21" t="str">
        <f aca="false">IF(J1445="",IF(B1445="","",IF(N(C1445)&gt;=0,"Income","Expense")),IFERROR(INDEX(Lists!$B$2:$B$30,MATCH(J1445,Lists!$A$2:$A$30,0)),""))</f>
        <v/>
      </c>
      <c r="M1445" s="24"/>
      <c r="N1445" s="27" t="str">
        <f aca="false">IF(B1445="","",IFERROR(1000-SUMPRODUCT(MAX(ISNUMBER(SEARCH(Rules!$A$5:$A$204,B1445))*(Rules!$A$5:$A$204&lt;&gt;"")*(1000-ROW(Rules!$A$5:$A$204)))),""))</f>
        <v/>
      </c>
    </row>
    <row r="1446" customFormat="false" ht="15" hidden="false" customHeight="false" outlineLevel="0" collapsed="false">
      <c r="A1446" s="23"/>
      <c r="B1446" s="24"/>
      <c r="C1446" s="25"/>
      <c r="D1446" s="24"/>
      <c r="E1446" s="21" t="str">
        <f aca="false">IF(OR(B1446="",N(N1446)=0,N1446=1000),IF(B1446="","","Check"),INDEX(Rules!$B:$B,N1446))</f>
        <v/>
      </c>
      <c r="F1446" s="21" t="str">
        <f aca="false">IF(OR(B1446="",N(N1446)=0,N1446=1000),"",INDEX(Rules!$C:$C,N1446))</f>
        <v/>
      </c>
      <c r="G1446" s="24"/>
      <c r="H1446" s="24"/>
      <c r="I1446" s="20" t="str">
        <f aca="false">IF(B1446="","",IF(G1446&lt;&gt;"",G1446,E1446))</f>
        <v/>
      </c>
      <c r="J1446" s="21" t="str">
        <f aca="false">IF(B1446="","",IF(H1446&lt;&gt;"",H1446,F1446))</f>
        <v/>
      </c>
      <c r="K1446" s="26" t="str">
        <f aca="false">IF(A1446="","",DATE(YEAR(A1446),MONTH(A1446),1))</f>
        <v/>
      </c>
      <c r="L1446" s="21" t="str">
        <f aca="false">IF(J1446="",IF(B1446="","",IF(N(C1446)&gt;=0,"Income","Expense")),IFERROR(INDEX(Lists!$B$2:$B$30,MATCH(J1446,Lists!$A$2:$A$30,0)),""))</f>
        <v/>
      </c>
      <c r="M1446" s="24"/>
      <c r="N1446" s="27" t="str">
        <f aca="false">IF(B1446="","",IFERROR(1000-SUMPRODUCT(MAX(ISNUMBER(SEARCH(Rules!$A$5:$A$204,B1446))*(Rules!$A$5:$A$204&lt;&gt;"")*(1000-ROW(Rules!$A$5:$A$204)))),""))</f>
        <v/>
      </c>
    </row>
    <row r="1447" customFormat="false" ht="15" hidden="false" customHeight="false" outlineLevel="0" collapsed="false">
      <c r="A1447" s="23"/>
      <c r="B1447" s="24"/>
      <c r="C1447" s="25"/>
      <c r="D1447" s="24"/>
      <c r="E1447" s="21" t="str">
        <f aca="false">IF(OR(B1447="",N(N1447)=0,N1447=1000),IF(B1447="","","Check"),INDEX(Rules!$B:$B,N1447))</f>
        <v/>
      </c>
      <c r="F1447" s="21" t="str">
        <f aca="false">IF(OR(B1447="",N(N1447)=0,N1447=1000),"",INDEX(Rules!$C:$C,N1447))</f>
        <v/>
      </c>
      <c r="G1447" s="24"/>
      <c r="H1447" s="24"/>
      <c r="I1447" s="20" t="str">
        <f aca="false">IF(B1447="","",IF(G1447&lt;&gt;"",G1447,E1447))</f>
        <v/>
      </c>
      <c r="J1447" s="21" t="str">
        <f aca="false">IF(B1447="","",IF(H1447&lt;&gt;"",H1447,F1447))</f>
        <v/>
      </c>
      <c r="K1447" s="26" t="str">
        <f aca="false">IF(A1447="","",DATE(YEAR(A1447),MONTH(A1447),1))</f>
        <v/>
      </c>
      <c r="L1447" s="21" t="str">
        <f aca="false">IF(J1447="",IF(B1447="","",IF(N(C1447)&gt;=0,"Income","Expense")),IFERROR(INDEX(Lists!$B$2:$B$30,MATCH(J1447,Lists!$A$2:$A$30,0)),""))</f>
        <v/>
      </c>
      <c r="M1447" s="24"/>
      <c r="N1447" s="27" t="str">
        <f aca="false">IF(B1447="","",IFERROR(1000-SUMPRODUCT(MAX(ISNUMBER(SEARCH(Rules!$A$5:$A$204,B1447))*(Rules!$A$5:$A$204&lt;&gt;"")*(1000-ROW(Rules!$A$5:$A$204)))),""))</f>
        <v/>
      </c>
    </row>
    <row r="1448" customFormat="false" ht="15" hidden="false" customHeight="false" outlineLevel="0" collapsed="false">
      <c r="A1448" s="23"/>
      <c r="B1448" s="24"/>
      <c r="C1448" s="25"/>
      <c r="D1448" s="24"/>
      <c r="E1448" s="21" t="str">
        <f aca="false">IF(OR(B1448="",N(N1448)=0,N1448=1000),IF(B1448="","","Check"),INDEX(Rules!$B:$B,N1448))</f>
        <v/>
      </c>
      <c r="F1448" s="21" t="str">
        <f aca="false">IF(OR(B1448="",N(N1448)=0,N1448=1000),"",INDEX(Rules!$C:$C,N1448))</f>
        <v/>
      </c>
      <c r="G1448" s="24"/>
      <c r="H1448" s="24"/>
      <c r="I1448" s="20" t="str">
        <f aca="false">IF(B1448="","",IF(G1448&lt;&gt;"",G1448,E1448))</f>
        <v/>
      </c>
      <c r="J1448" s="21" t="str">
        <f aca="false">IF(B1448="","",IF(H1448&lt;&gt;"",H1448,F1448))</f>
        <v/>
      </c>
      <c r="K1448" s="26" t="str">
        <f aca="false">IF(A1448="","",DATE(YEAR(A1448),MONTH(A1448),1))</f>
        <v/>
      </c>
      <c r="L1448" s="21" t="str">
        <f aca="false">IF(J1448="",IF(B1448="","",IF(N(C1448)&gt;=0,"Income","Expense")),IFERROR(INDEX(Lists!$B$2:$B$30,MATCH(J1448,Lists!$A$2:$A$30,0)),""))</f>
        <v/>
      </c>
      <c r="M1448" s="24"/>
      <c r="N1448" s="27" t="str">
        <f aca="false">IF(B1448="","",IFERROR(1000-SUMPRODUCT(MAX(ISNUMBER(SEARCH(Rules!$A$5:$A$204,B1448))*(Rules!$A$5:$A$204&lt;&gt;"")*(1000-ROW(Rules!$A$5:$A$204)))),""))</f>
        <v/>
      </c>
    </row>
    <row r="1449" customFormat="false" ht="15" hidden="false" customHeight="false" outlineLevel="0" collapsed="false">
      <c r="A1449" s="23"/>
      <c r="B1449" s="24"/>
      <c r="C1449" s="25"/>
      <c r="D1449" s="24"/>
      <c r="E1449" s="21" t="str">
        <f aca="false">IF(OR(B1449="",N(N1449)=0,N1449=1000),IF(B1449="","","Check"),INDEX(Rules!$B:$B,N1449))</f>
        <v/>
      </c>
      <c r="F1449" s="21" t="str">
        <f aca="false">IF(OR(B1449="",N(N1449)=0,N1449=1000),"",INDEX(Rules!$C:$C,N1449))</f>
        <v/>
      </c>
      <c r="G1449" s="24"/>
      <c r="H1449" s="24"/>
      <c r="I1449" s="20" t="str">
        <f aca="false">IF(B1449="","",IF(G1449&lt;&gt;"",G1449,E1449))</f>
        <v/>
      </c>
      <c r="J1449" s="21" t="str">
        <f aca="false">IF(B1449="","",IF(H1449&lt;&gt;"",H1449,F1449))</f>
        <v/>
      </c>
      <c r="K1449" s="26" t="str">
        <f aca="false">IF(A1449="","",DATE(YEAR(A1449),MONTH(A1449),1))</f>
        <v/>
      </c>
      <c r="L1449" s="21" t="str">
        <f aca="false">IF(J1449="",IF(B1449="","",IF(N(C1449)&gt;=0,"Income","Expense")),IFERROR(INDEX(Lists!$B$2:$B$30,MATCH(J1449,Lists!$A$2:$A$30,0)),""))</f>
        <v/>
      </c>
      <c r="M1449" s="24"/>
      <c r="N1449" s="27" t="str">
        <f aca="false">IF(B1449="","",IFERROR(1000-SUMPRODUCT(MAX(ISNUMBER(SEARCH(Rules!$A$5:$A$204,B1449))*(Rules!$A$5:$A$204&lt;&gt;"")*(1000-ROW(Rules!$A$5:$A$204)))),""))</f>
        <v/>
      </c>
    </row>
    <row r="1450" customFormat="false" ht="15" hidden="false" customHeight="false" outlineLevel="0" collapsed="false">
      <c r="A1450" s="23"/>
      <c r="B1450" s="24"/>
      <c r="C1450" s="25"/>
      <c r="D1450" s="24"/>
      <c r="E1450" s="21" t="str">
        <f aca="false">IF(OR(B1450="",N(N1450)=0,N1450=1000),IF(B1450="","","Check"),INDEX(Rules!$B:$B,N1450))</f>
        <v/>
      </c>
      <c r="F1450" s="21" t="str">
        <f aca="false">IF(OR(B1450="",N(N1450)=0,N1450=1000),"",INDEX(Rules!$C:$C,N1450))</f>
        <v/>
      </c>
      <c r="G1450" s="24"/>
      <c r="H1450" s="24"/>
      <c r="I1450" s="20" t="str">
        <f aca="false">IF(B1450="","",IF(G1450&lt;&gt;"",G1450,E1450))</f>
        <v/>
      </c>
      <c r="J1450" s="21" t="str">
        <f aca="false">IF(B1450="","",IF(H1450&lt;&gt;"",H1450,F1450))</f>
        <v/>
      </c>
      <c r="K1450" s="26" t="str">
        <f aca="false">IF(A1450="","",DATE(YEAR(A1450),MONTH(A1450),1))</f>
        <v/>
      </c>
      <c r="L1450" s="21" t="str">
        <f aca="false">IF(J1450="",IF(B1450="","",IF(N(C1450)&gt;=0,"Income","Expense")),IFERROR(INDEX(Lists!$B$2:$B$30,MATCH(J1450,Lists!$A$2:$A$30,0)),""))</f>
        <v/>
      </c>
      <c r="M1450" s="24"/>
      <c r="N1450" s="27" t="str">
        <f aca="false">IF(B1450="","",IFERROR(1000-SUMPRODUCT(MAX(ISNUMBER(SEARCH(Rules!$A$5:$A$204,B1450))*(Rules!$A$5:$A$204&lt;&gt;"")*(1000-ROW(Rules!$A$5:$A$204)))),""))</f>
        <v/>
      </c>
    </row>
    <row r="1451" customFormat="false" ht="15" hidden="false" customHeight="false" outlineLevel="0" collapsed="false">
      <c r="A1451" s="23"/>
      <c r="B1451" s="24"/>
      <c r="C1451" s="25"/>
      <c r="D1451" s="24"/>
      <c r="E1451" s="21" t="str">
        <f aca="false">IF(OR(B1451="",N(N1451)=0,N1451=1000),IF(B1451="","","Check"),INDEX(Rules!$B:$B,N1451))</f>
        <v/>
      </c>
      <c r="F1451" s="21" t="str">
        <f aca="false">IF(OR(B1451="",N(N1451)=0,N1451=1000),"",INDEX(Rules!$C:$C,N1451))</f>
        <v/>
      </c>
      <c r="G1451" s="24"/>
      <c r="H1451" s="24"/>
      <c r="I1451" s="20" t="str">
        <f aca="false">IF(B1451="","",IF(G1451&lt;&gt;"",G1451,E1451))</f>
        <v/>
      </c>
      <c r="J1451" s="21" t="str">
        <f aca="false">IF(B1451="","",IF(H1451&lt;&gt;"",H1451,F1451))</f>
        <v/>
      </c>
      <c r="K1451" s="26" t="str">
        <f aca="false">IF(A1451="","",DATE(YEAR(A1451),MONTH(A1451),1))</f>
        <v/>
      </c>
      <c r="L1451" s="21" t="str">
        <f aca="false">IF(J1451="",IF(B1451="","",IF(N(C1451)&gt;=0,"Income","Expense")),IFERROR(INDEX(Lists!$B$2:$B$30,MATCH(J1451,Lists!$A$2:$A$30,0)),""))</f>
        <v/>
      </c>
      <c r="M1451" s="24"/>
      <c r="N1451" s="27" t="str">
        <f aca="false">IF(B1451="","",IFERROR(1000-SUMPRODUCT(MAX(ISNUMBER(SEARCH(Rules!$A$5:$A$204,B1451))*(Rules!$A$5:$A$204&lt;&gt;"")*(1000-ROW(Rules!$A$5:$A$204)))),""))</f>
        <v/>
      </c>
    </row>
    <row r="1452" customFormat="false" ht="15" hidden="false" customHeight="false" outlineLevel="0" collapsed="false">
      <c r="A1452" s="23"/>
      <c r="B1452" s="24"/>
      <c r="C1452" s="25"/>
      <c r="D1452" s="24"/>
      <c r="E1452" s="21" t="str">
        <f aca="false">IF(OR(B1452="",N(N1452)=0,N1452=1000),IF(B1452="","","Check"),INDEX(Rules!$B:$B,N1452))</f>
        <v/>
      </c>
      <c r="F1452" s="21" t="str">
        <f aca="false">IF(OR(B1452="",N(N1452)=0,N1452=1000),"",INDEX(Rules!$C:$C,N1452))</f>
        <v/>
      </c>
      <c r="G1452" s="24"/>
      <c r="H1452" s="24"/>
      <c r="I1452" s="20" t="str">
        <f aca="false">IF(B1452="","",IF(G1452&lt;&gt;"",G1452,E1452))</f>
        <v/>
      </c>
      <c r="J1452" s="21" t="str">
        <f aca="false">IF(B1452="","",IF(H1452&lt;&gt;"",H1452,F1452))</f>
        <v/>
      </c>
      <c r="K1452" s="26" t="str">
        <f aca="false">IF(A1452="","",DATE(YEAR(A1452),MONTH(A1452),1))</f>
        <v/>
      </c>
      <c r="L1452" s="21" t="str">
        <f aca="false">IF(J1452="",IF(B1452="","",IF(N(C1452)&gt;=0,"Income","Expense")),IFERROR(INDEX(Lists!$B$2:$B$30,MATCH(J1452,Lists!$A$2:$A$30,0)),""))</f>
        <v/>
      </c>
      <c r="M1452" s="24"/>
      <c r="N1452" s="27" t="str">
        <f aca="false">IF(B1452="","",IFERROR(1000-SUMPRODUCT(MAX(ISNUMBER(SEARCH(Rules!$A$5:$A$204,B1452))*(Rules!$A$5:$A$204&lt;&gt;"")*(1000-ROW(Rules!$A$5:$A$204)))),""))</f>
        <v/>
      </c>
    </row>
    <row r="1453" customFormat="false" ht="15" hidden="false" customHeight="false" outlineLevel="0" collapsed="false">
      <c r="A1453" s="23"/>
      <c r="B1453" s="24"/>
      <c r="C1453" s="25"/>
      <c r="D1453" s="24"/>
      <c r="E1453" s="21" t="str">
        <f aca="false">IF(OR(B1453="",N(N1453)=0,N1453=1000),IF(B1453="","","Check"),INDEX(Rules!$B:$B,N1453))</f>
        <v/>
      </c>
      <c r="F1453" s="21" t="str">
        <f aca="false">IF(OR(B1453="",N(N1453)=0,N1453=1000),"",INDEX(Rules!$C:$C,N1453))</f>
        <v/>
      </c>
      <c r="G1453" s="24"/>
      <c r="H1453" s="24"/>
      <c r="I1453" s="20" t="str">
        <f aca="false">IF(B1453="","",IF(G1453&lt;&gt;"",G1453,E1453))</f>
        <v/>
      </c>
      <c r="J1453" s="21" t="str">
        <f aca="false">IF(B1453="","",IF(H1453&lt;&gt;"",H1453,F1453))</f>
        <v/>
      </c>
      <c r="K1453" s="26" t="str">
        <f aca="false">IF(A1453="","",DATE(YEAR(A1453),MONTH(A1453),1))</f>
        <v/>
      </c>
      <c r="L1453" s="21" t="str">
        <f aca="false">IF(J1453="",IF(B1453="","",IF(N(C1453)&gt;=0,"Income","Expense")),IFERROR(INDEX(Lists!$B$2:$B$30,MATCH(J1453,Lists!$A$2:$A$30,0)),""))</f>
        <v/>
      </c>
      <c r="M1453" s="24"/>
      <c r="N1453" s="27" t="str">
        <f aca="false">IF(B1453="","",IFERROR(1000-SUMPRODUCT(MAX(ISNUMBER(SEARCH(Rules!$A$5:$A$204,B1453))*(Rules!$A$5:$A$204&lt;&gt;"")*(1000-ROW(Rules!$A$5:$A$204)))),""))</f>
        <v/>
      </c>
    </row>
    <row r="1454" customFormat="false" ht="15" hidden="false" customHeight="false" outlineLevel="0" collapsed="false">
      <c r="A1454" s="23"/>
      <c r="B1454" s="24"/>
      <c r="C1454" s="25"/>
      <c r="D1454" s="24"/>
      <c r="E1454" s="21" t="str">
        <f aca="false">IF(OR(B1454="",N(N1454)=0,N1454=1000),IF(B1454="","","Check"),INDEX(Rules!$B:$B,N1454))</f>
        <v/>
      </c>
      <c r="F1454" s="21" t="str">
        <f aca="false">IF(OR(B1454="",N(N1454)=0,N1454=1000),"",INDEX(Rules!$C:$C,N1454))</f>
        <v/>
      </c>
      <c r="G1454" s="24"/>
      <c r="H1454" s="24"/>
      <c r="I1454" s="20" t="str">
        <f aca="false">IF(B1454="","",IF(G1454&lt;&gt;"",G1454,E1454))</f>
        <v/>
      </c>
      <c r="J1454" s="21" t="str">
        <f aca="false">IF(B1454="","",IF(H1454&lt;&gt;"",H1454,F1454))</f>
        <v/>
      </c>
      <c r="K1454" s="26" t="str">
        <f aca="false">IF(A1454="","",DATE(YEAR(A1454),MONTH(A1454),1))</f>
        <v/>
      </c>
      <c r="L1454" s="21" t="str">
        <f aca="false">IF(J1454="",IF(B1454="","",IF(N(C1454)&gt;=0,"Income","Expense")),IFERROR(INDEX(Lists!$B$2:$B$30,MATCH(J1454,Lists!$A$2:$A$30,0)),""))</f>
        <v/>
      </c>
      <c r="M1454" s="24"/>
      <c r="N1454" s="27" t="str">
        <f aca="false">IF(B1454="","",IFERROR(1000-SUMPRODUCT(MAX(ISNUMBER(SEARCH(Rules!$A$5:$A$204,B1454))*(Rules!$A$5:$A$204&lt;&gt;"")*(1000-ROW(Rules!$A$5:$A$204)))),""))</f>
        <v/>
      </c>
    </row>
    <row r="1455" customFormat="false" ht="15" hidden="false" customHeight="false" outlineLevel="0" collapsed="false">
      <c r="A1455" s="23"/>
      <c r="B1455" s="24"/>
      <c r="C1455" s="25"/>
      <c r="D1455" s="24"/>
      <c r="E1455" s="21" t="str">
        <f aca="false">IF(OR(B1455="",N(N1455)=0,N1455=1000),IF(B1455="","","Check"),INDEX(Rules!$B:$B,N1455))</f>
        <v/>
      </c>
      <c r="F1455" s="21" t="str">
        <f aca="false">IF(OR(B1455="",N(N1455)=0,N1455=1000),"",INDEX(Rules!$C:$C,N1455))</f>
        <v/>
      </c>
      <c r="G1455" s="24"/>
      <c r="H1455" s="24"/>
      <c r="I1455" s="20" t="str">
        <f aca="false">IF(B1455="","",IF(G1455&lt;&gt;"",G1455,E1455))</f>
        <v/>
      </c>
      <c r="J1455" s="21" t="str">
        <f aca="false">IF(B1455="","",IF(H1455&lt;&gt;"",H1455,F1455))</f>
        <v/>
      </c>
      <c r="K1455" s="26" t="str">
        <f aca="false">IF(A1455="","",DATE(YEAR(A1455),MONTH(A1455),1))</f>
        <v/>
      </c>
      <c r="L1455" s="21" t="str">
        <f aca="false">IF(J1455="",IF(B1455="","",IF(N(C1455)&gt;=0,"Income","Expense")),IFERROR(INDEX(Lists!$B$2:$B$30,MATCH(J1455,Lists!$A$2:$A$30,0)),""))</f>
        <v/>
      </c>
      <c r="M1455" s="24"/>
      <c r="N1455" s="27" t="str">
        <f aca="false">IF(B1455="","",IFERROR(1000-SUMPRODUCT(MAX(ISNUMBER(SEARCH(Rules!$A$5:$A$204,B1455))*(Rules!$A$5:$A$204&lt;&gt;"")*(1000-ROW(Rules!$A$5:$A$204)))),""))</f>
        <v/>
      </c>
    </row>
    <row r="1456" customFormat="false" ht="15" hidden="false" customHeight="false" outlineLevel="0" collapsed="false">
      <c r="A1456" s="23"/>
      <c r="B1456" s="24"/>
      <c r="C1456" s="25"/>
      <c r="D1456" s="24"/>
      <c r="E1456" s="21" t="str">
        <f aca="false">IF(OR(B1456="",N(N1456)=0,N1456=1000),IF(B1456="","","Check"),INDEX(Rules!$B:$B,N1456))</f>
        <v/>
      </c>
      <c r="F1456" s="21" t="str">
        <f aca="false">IF(OR(B1456="",N(N1456)=0,N1456=1000),"",INDEX(Rules!$C:$C,N1456))</f>
        <v/>
      </c>
      <c r="G1456" s="24"/>
      <c r="H1456" s="24"/>
      <c r="I1456" s="20" t="str">
        <f aca="false">IF(B1456="","",IF(G1456&lt;&gt;"",G1456,E1456))</f>
        <v/>
      </c>
      <c r="J1456" s="21" t="str">
        <f aca="false">IF(B1456="","",IF(H1456&lt;&gt;"",H1456,F1456))</f>
        <v/>
      </c>
      <c r="K1456" s="26" t="str">
        <f aca="false">IF(A1456="","",DATE(YEAR(A1456),MONTH(A1456),1))</f>
        <v/>
      </c>
      <c r="L1456" s="21" t="str">
        <f aca="false">IF(J1456="",IF(B1456="","",IF(N(C1456)&gt;=0,"Income","Expense")),IFERROR(INDEX(Lists!$B$2:$B$30,MATCH(J1456,Lists!$A$2:$A$30,0)),""))</f>
        <v/>
      </c>
      <c r="M1456" s="24"/>
      <c r="N1456" s="27" t="str">
        <f aca="false">IF(B1456="","",IFERROR(1000-SUMPRODUCT(MAX(ISNUMBER(SEARCH(Rules!$A$5:$A$204,B1456))*(Rules!$A$5:$A$204&lt;&gt;"")*(1000-ROW(Rules!$A$5:$A$204)))),""))</f>
        <v/>
      </c>
    </row>
    <row r="1457" customFormat="false" ht="15" hidden="false" customHeight="false" outlineLevel="0" collapsed="false">
      <c r="A1457" s="23"/>
      <c r="B1457" s="24"/>
      <c r="C1457" s="25"/>
      <c r="D1457" s="24"/>
      <c r="E1457" s="21" t="str">
        <f aca="false">IF(OR(B1457="",N(N1457)=0,N1457=1000),IF(B1457="","","Check"),INDEX(Rules!$B:$B,N1457))</f>
        <v/>
      </c>
      <c r="F1457" s="21" t="str">
        <f aca="false">IF(OR(B1457="",N(N1457)=0,N1457=1000),"",INDEX(Rules!$C:$C,N1457))</f>
        <v/>
      </c>
      <c r="G1457" s="24"/>
      <c r="H1457" s="24"/>
      <c r="I1457" s="20" t="str">
        <f aca="false">IF(B1457="","",IF(G1457&lt;&gt;"",G1457,E1457))</f>
        <v/>
      </c>
      <c r="J1457" s="21" t="str">
        <f aca="false">IF(B1457="","",IF(H1457&lt;&gt;"",H1457,F1457))</f>
        <v/>
      </c>
      <c r="K1457" s="26" t="str">
        <f aca="false">IF(A1457="","",DATE(YEAR(A1457),MONTH(A1457),1))</f>
        <v/>
      </c>
      <c r="L1457" s="21" t="str">
        <f aca="false">IF(J1457="",IF(B1457="","",IF(N(C1457)&gt;=0,"Income","Expense")),IFERROR(INDEX(Lists!$B$2:$B$30,MATCH(J1457,Lists!$A$2:$A$30,0)),""))</f>
        <v/>
      </c>
      <c r="M1457" s="24"/>
      <c r="N1457" s="27" t="str">
        <f aca="false">IF(B1457="","",IFERROR(1000-SUMPRODUCT(MAX(ISNUMBER(SEARCH(Rules!$A$5:$A$204,B1457))*(Rules!$A$5:$A$204&lt;&gt;"")*(1000-ROW(Rules!$A$5:$A$204)))),""))</f>
        <v/>
      </c>
    </row>
    <row r="1458" customFormat="false" ht="15" hidden="false" customHeight="false" outlineLevel="0" collapsed="false">
      <c r="A1458" s="23"/>
      <c r="B1458" s="24"/>
      <c r="C1458" s="25"/>
      <c r="D1458" s="24"/>
      <c r="E1458" s="21" t="str">
        <f aca="false">IF(OR(B1458="",N(N1458)=0,N1458=1000),IF(B1458="","","Check"),INDEX(Rules!$B:$B,N1458))</f>
        <v/>
      </c>
      <c r="F1458" s="21" t="str">
        <f aca="false">IF(OR(B1458="",N(N1458)=0,N1458=1000),"",INDEX(Rules!$C:$C,N1458))</f>
        <v/>
      </c>
      <c r="G1458" s="24"/>
      <c r="H1458" s="24"/>
      <c r="I1458" s="20" t="str">
        <f aca="false">IF(B1458="","",IF(G1458&lt;&gt;"",G1458,E1458))</f>
        <v/>
      </c>
      <c r="J1458" s="21" t="str">
        <f aca="false">IF(B1458="","",IF(H1458&lt;&gt;"",H1458,F1458))</f>
        <v/>
      </c>
      <c r="K1458" s="26" t="str">
        <f aca="false">IF(A1458="","",DATE(YEAR(A1458),MONTH(A1458),1))</f>
        <v/>
      </c>
      <c r="L1458" s="21" t="str">
        <f aca="false">IF(J1458="",IF(B1458="","",IF(N(C1458)&gt;=0,"Income","Expense")),IFERROR(INDEX(Lists!$B$2:$B$30,MATCH(J1458,Lists!$A$2:$A$30,0)),""))</f>
        <v/>
      </c>
      <c r="M1458" s="24"/>
      <c r="N1458" s="27" t="str">
        <f aca="false">IF(B1458="","",IFERROR(1000-SUMPRODUCT(MAX(ISNUMBER(SEARCH(Rules!$A$5:$A$204,B1458))*(Rules!$A$5:$A$204&lt;&gt;"")*(1000-ROW(Rules!$A$5:$A$204)))),""))</f>
        <v/>
      </c>
    </row>
    <row r="1459" customFormat="false" ht="15" hidden="false" customHeight="false" outlineLevel="0" collapsed="false">
      <c r="A1459" s="23"/>
      <c r="B1459" s="24"/>
      <c r="C1459" s="25"/>
      <c r="D1459" s="24"/>
      <c r="E1459" s="21" t="str">
        <f aca="false">IF(OR(B1459="",N(N1459)=0,N1459=1000),IF(B1459="","","Check"),INDEX(Rules!$B:$B,N1459))</f>
        <v/>
      </c>
      <c r="F1459" s="21" t="str">
        <f aca="false">IF(OR(B1459="",N(N1459)=0,N1459=1000),"",INDEX(Rules!$C:$C,N1459))</f>
        <v/>
      </c>
      <c r="G1459" s="24"/>
      <c r="H1459" s="24"/>
      <c r="I1459" s="20" t="str">
        <f aca="false">IF(B1459="","",IF(G1459&lt;&gt;"",G1459,E1459))</f>
        <v/>
      </c>
      <c r="J1459" s="21" t="str">
        <f aca="false">IF(B1459="","",IF(H1459&lt;&gt;"",H1459,F1459))</f>
        <v/>
      </c>
      <c r="K1459" s="26" t="str">
        <f aca="false">IF(A1459="","",DATE(YEAR(A1459),MONTH(A1459),1))</f>
        <v/>
      </c>
      <c r="L1459" s="21" t="str">
        <f aca="false">IF(J1459="",IF(B1459="","",IF(N(C1459)&gt;=0,"Income","Expense")),IFERROR(INDEX(Lists!$B$2:$B$30,MATCH(J1459,Lists!$A$2:$A$30,0)),""))</f>
        <v/>
      </c>
      <c r="M1459" s="24"/>
      <c r="N1459" s="27" t="str">
        <f aca="false">IF(B1459="","",IFERROR(1000-SUMPRODUCT(MAX(ISNUMBER(SEARCH(Rules!$A$5:$A$204,B1459))*(Rules!$A$5:$A$204&lt;&gt;"")*(1000-ROW(Rules!$A$5:$A$204)))),""))</f>
        <v/>
      </c>
    </row>
    <row r="1460" customFormat="false" ht="15" hidden="false" customHeight="false" outlineLevel="0" collapsed="false">
      <c r="A1460" s="23"/>
      <c r="B1460" s="24"/>
      <c r="C1460" s="25"/>
      <c r="D1460" s="24"/>
      <c r="E1460" s="21" t="str">
        <f aca="false">IF(OR(B1460="",N(N1460)=0,N1460=1000),IF(B1460="","","Check"),INDEX(Rules!$B:$B,N1460))</f>
        <v/>
      </c>
      <c r="F1460" s="21" t="str">
        <f aca="false">IF(OR(B1460="",N(N1460)=0,N1460=1000),"",INDEX(Rules!$C:$C,N1460))</f>
        <v/>
      </c>
      <c r="G1460" s="24"/>
      <c r="H1460" s="24"/>
      <c r="I1460" s="20" t="str">
        <f aca="false">IF(B1460="","",IF(G1460&lt;&gt;"",G1460,E1460))</f>
        <v/>
      </c>
      <c r="J1460" s="21" t="str">
        <f aca="false">IF(B1460="","",IF(H1460&lt;&gt;"",H1460,F1460))</f>
        <v/>
      </c>
      <c r="K1460" s="26" t="str">
        <f aca="false">IF(A1460="","",DATE(YEAR(A1460),MONTH(A1460),1))</f>
        <v/>
      </c>
      <c r="L1460" s="21" t="str">
        <f aca="false">IF(J1460="",IF(B1460="","",IF(N(C1460)&gt;=0,"Income","Expense")),IFERROR(INDEX(Lists!$B$2:$B$30,MATCH(J1460,Lists!$A$2:$A$30,0)),""))</f>
        <v/>
      </c>
      <c r="M1460" s="24"/>
      <c r="N1460" s="27" t="str">
        <f aca="false">IF(B1460="","",IFERROR(1000-SUMPRODUCT(MAX(ISNUMBER(SEARCH(Rules!$A$5:$A$204,B1460))*(Rules!$A$5:$A$204&lt;&gt;"")*(1000-ROW(Rules!$A$5:$A$204)))),""))</f>
        <v/>
      </c>
    </row>
    <row r="1461" customFormat="false" ht="15" hidden="false" customHeight="false" outlineLevel="0" collapsed="false">
      <c r="A1461" s="23"/>
      <c r="B1461" s="24"/>
      <c r="C1461" s="25"/>
      <c r="D1461" s="24"/>
      <c r="E1461" s="21" t="str">
        <f aca="false">IF(OR(B1461="",N(N1461)=0,N1461=1000),IF(B1461="","","Check"),INDEX(Rules!$B:$B,N1461))</f>
        <v/>
      </c>
      <c r="F1461" s="21" t="str">
        <f aca="false">IF(OR(B1461="",N(N1461)=0,N1461=1000),"",INDEX(Rules!$C:$C,N1461))</f>
        <v/>
      </c>
      <c r="G1461" s="24"/>
      <c r="H1461" s="24"/>
      <c r="I1461" s="20" t="str">
        <f aca="false">IF(B1461="","",IF(G1461&lt;&gt;"",G1461,E1461))</f>
        <v/>
      </c>
      <c r="J1461" s="21" t="str">
        <f aca="false">IF(B1461="","",IF(H1461&lt;&gt;"",H1461,F1461))</f>
        <v/>
      </c>
      <c r="K1461" s="26" t="str">
        <f aca="false">IF(A1461="","",DATE(YEAR(A1461),MONTH(A1461),1))</f>
        <v/>
      </c>
      <c r="L1461" s="21" t="str">
        <f aca="false">IF(J1461="",IF(B1461="","",IF(N(C1461)&gt;=0,"Income","Expense")),IFERROR(INDEX(Lists!$B$2:$B$30,MATCH(J1461,Lists!$A$2:$A$30,0)),""))</f>
        <v/>
      </c>
      <c r="M1461" s="24"/>
      <c r="N1461" s="27" t="str">
        <f aca="false">IF(B1461="","",IFERROR(1000-SUMPRODUCT(MAX(ISNUMBER(SEARCH(Rules!$A$5:$A$204,B1461))*(Rules!$A$5:$A$204&lt;&gt;"")*(1000-ROW(Rules!$A$5:$A$204)))),""))</f>
        <v/>
      </c>
    </row>
    <row r="1462" customFormat="false" ht="15" hidden="false" customHeight="false" outlineLevel="0" collapsed="false">
      <c r="A1462" s="23"/>
      <c r="B1462" s="24"/>
      <c r="C1462" s="25"/>
      <c r="D1462" s="24"/>
      <c r="E1462" s="21" t="str">
        <f aca="false">IF(OR(B1462="",N(N1462)=0,N1462=1000),IF(B1462="","","Check"),INDEX(Rules!$B:$B,N1462))</f>
        <v/>
      </c>
      <c r="F1462" s="21" t="str">
        <f aca="false">IF(OR(B1462="",N(N1462)=0,N1462=1000),"",INDEX(Rules!$C:$C,N1462))</f>
        <v/>
      </c>
      <c r="G1462" s="24"/>
      <c r="H1462" s="24"/>
      <c r="I1462" s="20" t="str">
        <f aca="false">IF(B1462="","",IF(G1462&lt;&gt;"",G1462,E1462))</f>
        <v/>
      </c>
      <c r="J1462" s="21" t="str">
        <f aca="false">IF(B1462="","",IF(H1462&lt;&gt;"",H1462,F1462))</f>
        <v/>
      </c>
      <c r="K1462" s="26" t="str">
        <f aca="false">IF(A1462="","",DATE(YEAR(A1462),MONTH(A1462),1))</f>
        <v/>
      </c>
      <c r="L1462" s="21" t="str">
        <f aca="false">IF(J1462="",IF(B1462="","",IF(N(C1462)&gt;=0,"Income","Expense")),IFERROR(INDEX(Lists!$B$2:$B$30,MATCH(J1462,Lists!$A$2:$A$30,0)),""))</f>
        <v/>
      </c>
      <c r="M1462" s="24"/>
      <c r="N1462" s="27" t="str">
        <f aca="false">IF(B1462="","",IFERROR(1000-SUMPRODUCT(MAX(ISNUMBER(SEARCH(Rules!$A$5:$A$204,B1462))*(Rules!$A$5:$A$204&lt;&gt;"")*(1000-ROW(Rules!$A$5:$A$204)))),""))</f>
        <v/>
      </c>
    </row>
    <row r="1463" customFormat="false" ht="15" hidden="false" customHeight="false" outlineLevel="0" collapsed="false">
      <c r="A1463" s="23"/>
      <c r="B1463" s="24"/>
      <c r="C1463" s="25"/>
      <c r="D1463" s="24"/>
      <c r="E1463" s="21" t="str">
        <f aca="false">IF(OR(B1463="",N(N1463)=0,N1463=1000),IF(B1463="","","Check"),INDEX(Rules!$B:$B,N1463))</f>
        <v/>
      </c>
      <c r="F1463" s="21" t="str">
        <f aca="false">IF(OR(B1463="",N(N1463)=0,N1463=1000),"",INDEX(Rules!$C:$C,N1463))</f>
        <v/>
      </c>
      <c r="G1463" s="24"/>
      <c r="H1463" s="24"/>
      <c r="I1463" s="20" t="str">
        <f aca="false">IF(B1463="","",IF(G1463&lt;&gt;"",G1463,E1463))</f>
        <v/>
      </c>
      <c r="J1463" s="21" t="str">
        <f aca="false">IF(B1463="","",IF(H1463&lt;&gt;"",H1463,F1463))</f>
        <v/>
      </c>
      <c r="K1463" s="26" t="str">
        <f aca="false">IF(A1463="","",DATE(YEAR(A1463),MONTH(A1463),1))</f>
        <v/>
      </c>
      <c r="L1463" s="21" t="str">
        <f aca="false">IF(J1463="",IF(B1463="","",IF(N(C1463)&gt;=0,"Income","Expense")),IFERROR(INDEX(Lists!$B$2:$B$30,MATCH(J1463,Lists!$A$2:$A$30,0)),""))</f>
        <v/>
      </c>
      <c r="M1463" s="24"/>
      <c r="N1463" s="27" t="str">
        <f aca="false">IF(B1463="","",IFERROR(1000-SUMPRODUCT(MAX(ISNUMBER(SEARCH(Rules!$A$5:$A$204,B1463))*(Rules!$A$5:$A$204&lt;&gt;"")*(1000-ROW(Rules!$A$5:$A$204)))),""))</f>
        <v/>
      </c>
    </row>
    <row r="1464" customFormat="false" ht="15" hidden="false" customHeight="false" outlineLevel="0" collapsed="false">
      <c r="A1464" s="23"/>
      <c r="B1464" s="24"/>
      <c r="C1464" s="25"/>
      <c r="D1464" s="24"/>
      <c r="E1464" s="21" t="str">
        <f aca="false">IF(OR(B1464="",N(N1464)=0,N1464=1000),IF(B1464="","","Check"),INDEX(Rules!$B:$B,N1464))</f>
        <v/>
      </c>
      <c r="F1464" s="21" t="str">
        <f aca="false">IF(OR(B1464="",N(N1464)=0,N1464=1000),"",INDEX(Rules!$C:$C,N1464))</f>
        <v/>
      </c>
      <c r="G1464" s="24"/>
      <c r="H1464" s="24"/>
      <c r="I1464" s="20" t="str">
        <f aca="false">IF(B1464="","",IF(G1464&lt;&gt;"",G1464,E1464))</f>
        <v/>
      </c>
      <c r="J1464" s="21" t="str">
        <f aca="false">IF(B1464="","",IF(H1464&lt;&gt;"",H1464,F1464))</f>
        <v/>
      </c>
      <c r="K1464" s="26" t="str">
        <f aca="false">IF(A1464="","",DATE(YEAR(A1464),MONTH(A1464),1))</f>
        <v/>
      </c>
      <c r="L1464" s="21" t="str">
        <f aca="false">IF(J1464="",IF(B1464="","",IF(N(C1464)&gt;=0,"Income","Expense")),IFERROR(INDEX(Lists!$B$2:$B$30,MATCH(J1464,Lists!$A$2:$A$30,0)),""))</f>
        <v/>
      </c>
      <c r="M1464" s="24"/>
      <c r="N1464" s="27" t="str">
        <f aca="false">IF(B1464="","",IFERROR(1000-SUMPRODUCT(MAX(ISNUMBER(SEARCH(Rules!$A$5:$A$204,B1464))*(Rules!$A$5:$A$204&lt;&gt;"")*(1000-ROW(Rules!$A$5:$A$204)))),""))</f>
        <v/>
      </c>
    </row>
    <row r="1465" customFormat="false" ht="15" hidden="false" customHeight="false" outlineLevel="0" collapsed="false">
      <c r="A1465" s="23"/>
      <c r="B1465" s="24"/>
      <c r="C1465" s="25"/>
      <c r="D1465" s="24"/>
      <c r="E1465" s="21" t="str">
        <f aca="false">IF(OR(B1465="",N(N1465)=0,N1465=1000),IF(B1465="","","Check"),INDEX(Rules!$B:$B,N1465))</f>
        <v/>
      </c>
      <c r="F1465" s="21" t="str">
        <f aca="false">IF(OR(B1465="",N(N1465)=0,N1465=1000),"",INDEX(Rules!$C:$C,N1465))</f>
        <v/>
      </c>
      <c r="G1465" s="24"/>
      <c r="H1465" s="24"/>
      <c r="I1465" s="20" t="str">
        <f aca="false">IF(B1465="","",IF(G1465&lt;&gt;"",G1465,E1465))</f>
        <v/>
      </c>
      <c r="J1465" s="21" t="str">
        <f aca="false">IF(B1465="","",IF(H1465&lt;&gt;"",H1465,F1465))</f>
        <v/>
      </c>
      <c r="K1465" s="26" t="str">
        <f aca="false">IF(A1465="","",DATE(YEAR(A1465),MONTH(A1465),1))</f>
        <v/>
      </c>
      <c r="L1465" s="21" t="str">
        <f aca="false">IF(J1465="",IF(B1465="","",IF(N(C1465)&gt;=0,"Income","Expense")),IFERROR(INDEX(Lists!$B$2:$B$30,MATCH(J1465,Lists!$A$2:$A$30,0)),""))</f>
        <v/>
      </c>
      <c r="M1465" s="24"/>
      <c r="N1465" s="27" t="str">
        <f aca="false">IF(B1465="","",IFERROR(1000-SUMPRODUCT(MAX(ISNUMBER(SEARCH(Rules!$A$5:$A$204,B1465))*(Rules!$A$5:$A$204&lt;&gt;"")*(1000-ROW(Rules!$A$5:$A$204)))),""))</f>
        <v/>
      </c>
    </row>
    <row r="1466" customFormat="false" ht="15" hidden="false" customHeight="false" outlineLevel="0" collapsed="false">
      <c r="A1466" s="23"/>
      <c r="B1466" s="24"/>
      <c r="C1466" s="25"/>
      <c r="D1466" s="24"/>
      <c r="E1466" s="21" t="str">
        <f aca="false">IF(OR(B1466="",N(N1466)=0,N1466=1000),IF(B1466="","","Check"),INDEX(Rules!$B:$B,N1466))</f>
        <v/>
      </c>
      <c r="F1466" s="21" t="str">
        <f aca="false">IF(OR(B1466="",N(N1466)=0,N1466=1000),"",INDEX(Rules!$C:$C,N1466))</f>
        <v/>
      </c>
      <c r="G1466" s="24"/>
      <c r="H1466" s="24"/>
      <c r="I1466" s="20" t="str">
        <f aca="false">IF(B1466="","",IF(G1466&lt;&gt;"",G1466,E1466))</f>
        <v/>
      </c>
      <c r="J1466" s="21" t="str">
        <f aca="false">IF(B1466="","",IF(H1466&lt;&gt;"",H1466,F1466))</f>
        <v/>
      </c>
      <c r="K1466" s="26" t="str">
        <f aca="false">IF(A1466="","",DATE(YEAR(A1466),MONTH(A1466),1))</f>
        <v/>
      </c>
      <c r="L1466" s="21" t="str">
        <f aca="false">IF(J1466="",IF(B1466="","",IF(N(C1466)&gt;=0,"Income","Expense")),IFERROR(INDEX(Lists!$B$2:$B$30,MATCH(J1466,Lists!$A$2:$A$30,0)),""))</f>
        <v/>
      </c>
      <c r="M1466" s="24"/>
      <c r="N1466" s="27" t="str">
        <f aca="false">IF(B1466="","",IFERROR(1000-SUMPRODUCT(MAX(ISNUMBER(SEARCH(Rules!$A$5:$A$204,B1466))*(Rules!$A$5:$A$204&lt;&gt;"")*(1000-ROW(Rules!$A$5:$A$204)))),""))</f>
        <v/>
      </c>
    </row>
    <row r="1467" customFormat="false" ht="15" hidden="false" customHeight="false" outlineLevel="0" collapsed="false">
      <c r="A1467" s="23"/>
      <c r="B1467" s="24"/>
      <c r="C1467" s="25"/>
      <c r="D1467" s="24"/>
      <c r="E1467" s="21" t="str">
        <f aca="false">IF(OR(B1467="",N(N1467)=0,N1467=1000),IF(B1467="","","Check"),INDEX(Rules!$B:$B,N1467))</f>
        <v/>
      </c>
      <c r="F1467" s="21" t="str">
        <f aca="false">IF(OR(B1467="",N(N1467)=0,N1467=1000),"",INDEX(Rules!$C:$C,N1467))</f>
        <v/>
      </c>
      <c r="G1467" s="24"/>
      <c r="H1467" s="24"/>
      <c r="I1467" s="20" t="str">
        <f aca="false">IF(B1467="","",IF(G1467&lt;&gt;"",G1467,E1467))</f>
        <v/>
      </c>
      <c r="J1467" s="21" t="str">
        <f aca="false">IF(B1467="","",IF(H1467&lt;&gt;"",H1467,F1467))</f>
        <v/>
      </c>
      <c r="K1467" s="26" t="str">
        <f aca="false">IF(A1467="","",DATE(YEAR(A1467),MONTH(A1467),1))</f>
        <v/>
      </c>
      <c r="L1467" s="21" t="str">
        <f aca="false">IF(J1467="",IF(B1467="","",IF(N(C1467)&gt;=0,"Income","Expense")),IFERROR(INDEX(Lists!$B$2:$B$30,MATCH(J1467,Lists!$A$2:$A$30,0)),""))</f>
        <v/>
      </c>
      <c r="M1467" s="24"/>
      <c r="N1467" s="27" t="str">
        <f aca="false">IF(B1467="","",IFERROR(1000-SUMPRODUCT(MAX(ISNUMBER(SEARCH(Rules!$A$5:$A$204,B1467))*(Rules!$A$5:$A$204&lt;&gt;"")*(1000-ROW(Rules!$A$5:$A$204)))),""))</f>
        <v/>
      </c>
    </row>
    <row r="1468" customFormat="false" ht="15" hidden="false" customHeight="false" outlineLevel="0" collapsed="false">
      <c r="A1468" s="23"/>
      <c r="B1468" s="24"/>
      <c r="C1468" s="25"/>
      <c r="D1468" s="24"/>
      <c r="E1468" s="21" t="str">
        <f aca="false">IF(OR(B1468="",N(N1468)=0,N1468=1000),IF(B1468="","","Check"),INDEX(Rules!$B:$B,N1468))</f>
        <v/>
      </c>
      <c r="F1468" s="21" t="str">
        <f aca="false">IF(OR(B1468="",N(N1468)=0,N1468=1000),"",INDEX(Rules!$C:$C,N1468))</f>
        <v/>
      </c>
      <c r="G1468" s="24"/>
      <c r="H1468" s="24"/>
      <c r="I1468" s="20" t="str">
        <f aca="false">IF(B1468="","",IF(G1468&lt;&gt;"",G1468,E1468))</f>
        <v/>
      </c>
      <c r="J1468" s="21" t="str">
        <f aca="false">IF(B1468="","",IF(H1468&lt;&gt;"",H1468,F1468))</f>
        <v/>
      </c>
      <c r="K1468" s="26" t="str">
        <f aca="false">IF(A1468="","",DATE(YEAR(A1468),MONTH(A1468),1))</f>
        <v/>
      </c>
      <c r="L1468" s="21" t="str">
        <f aca="false">IF(J1468="",IF(B1468="","",IF(N(C1468)&gt;=0,"Income","Expense")),IFERROR(INDEX(Lists!$B$2:$B$30,MATCH(J1468,Lists!$A$2:$A$30,0)),""))</f>
        <v/>
      </c>
      <c r="M1468" s="24"/>
      <c r="N1468" s="27" t="str">
        <f aca="false">IF(B1468="","",IFERROR(1000-SUMPRODUCT(MAX(ISNUMBER(SEARCH(Rules!$A$5:$A$204,B1468))*(Rules!$A$5:$A$204&lt;&gt;"")*(1000-ROW(Rules!$A$5:$A$204)))),""))</f>
        <v/>
      </c>
    </row>
    <row r="1469" customFormat="false" ht="15" hidden="false" customHeight="false" outlineLevel="0" collapsed="false">
      <c r="A1469" s="23"/>
      <c r="B1469" s="24"/>
      <c r="C1469" s="25"/>
      <c r="D1469" s="24"/>
      <c r="E1469" s="21" t="str">
        <f aca="false">IF(OR(B1469="",N(N1469)=0,N1469=1000),IF(B1469="","","Check"),INDEX(Rules!$B:$B,N1469))</f>
        <v/>
      </c>
      <c r="F1469" s="21" t="str">
        <f aca="false">IF(OR(B1469="",N(N1469)=0,N1469=1000),"",INDEX(Rules!$C:$C,N1469))</f>
        <v/>
      </c>
      <c r="G1469" s="24"/>
      <c r="H1469" s="24"/>
      <c r="I1469" s="20" t="str">
        <f aca="false">IF(B1469="","",IF(G1469&lt;&gt;"",G1469,E1469))</f>
        <v/>
      </c>
      <c r="J1469" s="21" t="str">
        <f aca="false">IF(B1469="","",IF(H1469&lt;&gt;"",H1469,F1469))</f>
        <v/>
      </c>
      <c r="K1469" s="26" t="str">
        <f aca="false">IF(A1469="","",DATE(YEAR(A1469),MONTH(A1469),1))</f>
        <v/>
      </c>
      <c r="L1469" s="21" t="str">
        <f aca="false">IF(J1469="",IF(B1469="","",IF(N(C1469)&gt;=0,"Income","Expense")),IFERROR(INDEX(Lists!$B$2:$B$30,MATCH(J1469,Lists!$A$2:$A$30,0)),""))</f>
        <v/>
      </c>
      <c r="M1469" s="24"/>
      <c r="N1469" s="27" t="str">
        <f aca="false">IF(B1469="","",IFERROR(1000-SUMPRODUCT(MAX(ISNUMBER(SEARCH(Rules!$A$5:$A$204,B1469))*(Rules!$A$5:$A$204&lt;&gt;"")*(1000-ROW(Rules!$A$5:$A$204)))),""))</f>
        <v/>
      </c>
    </row>
    <row r="1470" customFormat="false" ht="15" hidden="false" customHeight="false" outlineLevel="0" collapsed="false">
      <c r="A1470" s="23"/>
      <c r="B1470" s="24"/>
      <c r="C1470" s="25"/>
      <c r="D1470" s="24"/>
      <c r="E1470" s="21" t="str">
        <f aca="false">IF(OR(B1470="",N(N1470)=0,N1470=1000),IF(B1470="","","Check"),INDEX(Rules!$B:$B,N1470))</f>
        <v/>
      </c>
      <c r="F1470" s="21" t="str">
        <f aca="false">IF(OR(B1470="",N(N1470)=0,N1470=1000),"",INDEX(Rules!$C:$C,N1470))</f>
        <v/>
      </c>
      <c r="G1470" s="24"/>
      <c r="H1470" s="24"/>
      <c r="I1470" s="20" t="str">
        <f aca="false">IF(B1470="","",IF(G1470&lt;&gt;"",G1470,E1470))</f>
        <v/>
      </c>
      <c r="J1470" s="21" t="str">
        <f aca="false">IF(B1470="","",IF(H1470&lt;&gt;"",H1470,F1470))</f>
        <v/>
      </c>
      <c r="K1470" s="26" t="str">
        <f aca="false">IF(A1470="","",DATE(YEAR(A1470),MONTH(A1470),1))</f>
        <v/>
      </c>
      <c r="L1470" s="21" t="str">
        <f aca="false">IF(J1470="",IF(B1470="","",IF(N(C1470)&gt;=0,"Income","Expense")),IFERROR(INDEX(Lists!$B$2:$B$30,MATCH(J1470,Lists!$A$2:$A$30,0)),""))</f>
        <v/>
      </c>
      <c r="M1470" s="24"/>
      <c r="N1470" s="27" t="str">
        <f aca="false">IF(B1470="","",IFERROR(1000-SUMPRODUCT(MAX(ISNUMBER(SEARCH(Rules!$A$5:$A$204,B1470))*(Rules!$A$5:$A$204&lt;&gt;"")*(1000-ROW(Rules!$A$5:$A$204)))),""))</f>
        <v/>
      </c>
    </row>
    <row r="1471" customFormat="false" ht="15" hidden="false" customHeight="false" outlineLevel="0" collapsed="false">
      <c r="A1471" s="23"/>
      <c r="B1471" s="24"/>
      <c r="C1471" s="25"/>
      <c r="D1471" s="24"/>
      <c r="E1471" s="21" t="str">
        <f aca="false">IF(OR(B1471="",N(N1471)=0,N1471=1000),IF(B1471="","","Check"),INDEX(Rules!$B:$B,N1471))</f>
        <v/>
      </c>
      <c r="F1471" s="21" t="str">
        <f aca="false">IF(OR(B1471="",N(N1471)=0,N1471=1000),"",INDEX(Rules!$C:$C,N1471))</f>
        <v/>
      </c>
      <c r="G1471" s="24"/>
      <c r="H1471" s="24"/>
      <c r="I1471" s="20" t="str">
        <f aca="false">IF(B1471="","",IF(G1471&lt;&gt;"",G1471,E1471))</f>
        <v/>
      </c>
      <c r="J1471" s="21" t="str">
        <f aca="false">IF(B1471="","",IF(H1471&lt;&gt;"",H1471,F1471))</f>
        <v/>
      </c>
      <c r="K1471" s="26" t="str">
        <f aca="false">IF(A1471="","",DATE(YEAR(A1471),MONTH(A1471),1))</f>
        <v/>
      </c>
      <c r="L1471" s="21" t="str">
        <f aca="false">IF(J1471="",IF(B1471="","",IF(N(C1471)&gt;=0,"Income","Expense")),IFERROR(INDEX(Lists!$B$2:$B$30,MATCH(J1471,Lists!$A$2:$A$30,0)),""))</f>
        <v/>
      </c>
      <c r="M1471" s="24"/>
      <c r="N1471" s="27" t="str">
        <f aca="false">IF(B1471="","",IFERROR(1000-SUMPRODUCT(MAX(ISNUMBER(SEARCH(Rules!$A$5:$A$204,B1471))*(Rules!$A$5:$A$204&lt;&gt;"")*(1000-ROW(Rules!$A$5:$A$204)))),""))</f>
        <v/>
      </c>
    </row>
    <row r="1472" customFormat="false" ht="15" hidden="false" customHeight="false" outlineLevel="0" collapsed="false">
      <c r="A1472" s="23"/>
      <c r="B1472" s="24"/>
      <c r="C1472" s="25"/>
      <c r="D1472" s="24"/>
      <c r="E1472" s="21" t="str">
        <f aca="false">IF(OR(B1472="",N(N1472)=0,N1472=1000),IF(B1472="","","Check"),INDEX(Rules!$B:$B,N1472))</f>
        <v/>
      </c>
      <c r="F1472" s="21" t="str">
        <f aca="false">IF(OR(B1472="",N(N1472)=0,N1472=1000),"",INDEX(Rules!$C:$C,N1472))</f>
        <v/>
      </c>
      <c r="G1472" s="24"/>
      <c r="H1472" s="24"/>
      <c r="I1472" s="20" t="str">
        <f aca="false">IF(B1472="","",IF(G1472&lt;&gt;"",G1472,E1472))</f>
        <v/>
      </c>
      <c r="J1472" s="21" t="str">
        <f aca="false">IF(B1472="","",IF(H1472&lt;&gt;"",H1472,F1472))</f>
        <v/>
      </c>
      <c r="K1472" s="26" t="str">
        <f aca="false">IF(A1472="","",DATE(YEAR(A1472),MONTH(A1472),1))</f>
        <v/>
      </c>
      <c r="L1472" s="21" t="str">
        <f aca="false">IF(J1472="",IF(B1472="","",IF(N(C1472)&gt;=0,"Income","Expense")),IFERROR(INDEX(Lists!$B$2:$B$30,MATCH(J1472,Lists!$A$2:$A$30,0)),""))</f>
        <v/>
      </c>
      <c r="M1472" s="24"/>
      <c r="N1472" s="27" t="str">
        <f aca="false">IF(B1472="","",IFERROR(1000-SUMPRODUCT(MAX(ISNUMBER(SEARCH(Rules!$A$5:$A$204,B1472))*(Rules!$A$5:$A$204&lt;&gt;"")*(1000-ROW(Rules!$A$5:$A$204)))),""))</f>
        <v/>
      </c>
    </row>
    <row r="1473" customFormat="false" ht="15" hidden="false" customHeight="false" outlineLevel="0" collapsed="false">
      <c r="A1473" s="23"/>
      <c r="B1473" s="24"/>
      <c r="C1473" s="25"/>
      <c r="D1473" s="24"/>
      <c r="E1473" s="21" t="str">
        <f aca="false">IF(OR(B1473="",N(N1473)=0,N1473=1000),IF(B1473="","","Check"),INDEX(Rules!$B:$B,N1473))</f>
        <v/>
      </c>
      <c r="F1473" s="21" t="str">
        <f aca="false">IF(OR(B1473="",N(N1473)=0,N1473=1000),"",INDEX(Rules!$C:$C,N1473))</f>
        <v/>
      </c>
      <c r="G1473" s="24"/>
      <c r="H1473" s="24"/>
      <c r="I1473" s="20" t="str">
        <f aca="false">IF(B1473="","",IF(G1473&lt;&gt;"",G1473,E1473))</f>
        <v/>
      </c>
      <c r="J1473" s="21" t="str">
        <f aca="false">IF(B1473="","",IF(H1473&lt;&gt;"",H1473,F1473))</f>
        <v/>
      </c>
      <c r="K1473" s="26" t="str">
        <f aca="false">IF(A1473="","",DATE(YEAR(A1473),MONTH(A1473),1))</f>
        <v/>
      </c>
      <c r="L1473" s="21" t="str">
        <f aca="false">IF(J1473="",IF(B1473="","",IF(N(C1473)&gt;=0,"Income","Expense")),IFERROR(INDEX(Lists!$B$2:$B$30,MATCH(J1473,Lists!$A$2:$A$30,0)),""))</f>
        <v/>
      </c>
      <c r="M1473" s="24"/>
      <c r="N1473" s="27" t="str">
        <f aca="false">IF(B1473="","",IFERROR(1000-SUMPRODUCT(MAX(ISNUMBER(SEARCH(Rules!$A$5:$A$204,B1473))*(Rules!$A$5:$A$204&lt;&gt;"")*(1000-ROW(Rules!$A$5:$A$204)))),""))</f>
        <v/>
      </c>
    </row>
    <row r="1474" customFormat="false" ht="15" hidden="false" customHeight="false" outlineLevel="0" collapsed="false">
      <c r="A1474" s="23"/>
      <c r="B1474" s="24"/>
      <c r="C1474" s="25"/>
      <c r="D1474" s="24"/>
      <c r="E1474" s="21" t="str">
        <f aca="false">IF(OR(B1474="",N(N1474)=0,N1474=1000),IF(B1474="","","Check"),INDEX(Rules!$B:$B,N1474))</f>
        <v/>
      </c>
      <c r="F1474" s="21" t="str">
        <f aca="false">IF(OR(B1474="",N(N1474)=0,N1474=1000),"",INDEX(Rules!$C:$C,N1474))</f>
        <v/>
      </c>
      <c r="G1474" s="24"/>
      <c r="H1474" s="24"/>
      <c r="I1474" s="20" t="str">
        <f aca="false">IF(B1474="","",IF(G1474&lt;&gt;"",G1474,E1474))</f>
        <v/>
      </c>
      <c r="J1474" s="21" t="str">
        <f aca="false">IF(B1474="","",IF(H1474&lt;&gt;"",H1474,F1474))</f>
        <v/>
      </c>
      <c r="K1474" s="26" t="str">
        <f aca="false">IF(A1474="","",DATE(YEAR(A1474),MONTH(A1474),1))</f>
        <v/>
      </c>
      <c r="L1474" s="21" t="str">
        <f aca="false">IF(J1474="",IF(B1474="","",IF(N(C1474)&gt;=0,"Income","Expense")),IFERROR(INDEX(Lists!$B$2:$B$30,MATCH(J1474,Lists!$A$2:$A$30,0)),""))</f>
        <v/>
      </c>
      <c r="M1474" s="24"/>
      <c r="N1474" s="27" t="str">
        <f aca="false">IF(B1474="","",IFERROR(1000-SUMPRODUCT(MAX(ISNUMBER(SEARCH(Rules!$A$5:$A$204,B1474))*(Rules!$A$5:$A$204&lt;&gt;"")*(1000-ROW(Rules!$A$5:$A$204)))),""))</f>
        <v/>
      </c>
    </row>
    <row r="1475" customFormat="false" ht="15" hidden="false" customHeight="false" outlineLevel="0" collapsed="false">
      <c r="A1475" s="23"/>
      <c r="B1475" s="24"/>
      <c r="C1475" s="25"/>
      <c r="D1475" s="24"/>
      <c r="E1475" s="21" t="str">
        <f aca="false">IF(OR(B1475="",N(N1475)=0,N1475=1000),IF(B1475="","","Check"),INDEX(Rules!$B:$B,N1475))</f>
        <v/>
      </c>
      <c r="F1475" s="21" t="str">
        <f aca="false">IF(OR(B1475="",N(N1475)=0,N1475=1000),"",INDEX(Rules!$C:$C,N1475))</f>
        <v/>
      </c>
      <c r="G1475" s="24"/>
      <c r="H1475" s="24"/>
      <c r="I1475" s="20" t="str">
        <f aca="false">IF(B1475="","",IF(G1475&lt;&gt;"",G1475,E1475))</f>
        <v/>
      </c>
      <c r="J1475" s="21" t="str">
        <f aca="false">IF(B1475="","",IF(H1475&lt;&gt;"",H1475,F1475))</f>
        <v/>
      </c>
      <c r="K1475" s="26" t="str">
        <f aca="false">IF(A1475="","",DATE(YEAR(A1475),MONTH(A1475),1))</f>
        <v/>
      </c>
      <c r="L1475" s="21" t="str">
        <f aca="false">IF(J1475="",IF(B1475="","",IF(N(C1475)&gt;=0,"Income","Expense")),IFERROR(INDEX(Lists!$B$2:$B$30,MATCH(J1475,Lists!$A$2:$A$30,0)),""))</f>
        <v/>
      </c>
      <c r="M1475" s="24"/>
      <c r="N1475" s="27" t="str">
        <f aca="false">IF(B1475="","",IFERROR(1000-SUMPRODUCT(MAX(ISNUMBER(SEARCH(Rules!$A$5:$A$204,B1475))*(Rules!$A$5:$A$204&lt;&gt;"")*(1000-ROW(Rules!$A$5:$A$204)))),""))</f>
        <v/>
      </c>
    </row>
    <row r="1476" customFormat="false" ht="15" hidden="false" customHeight="false" outlineLevel="0" collapsed="false">
      <c r="A1476" s="23"/>
      <c r="B1476" s="24"/>
      <c r="C1476" s="25"/>
      <c r="D1476" s="24"/>
      <c r="E1476" s="21" t="str">
        <f aca="false">IF(OR(B1476="",N(N1476)=0,N1476=1000),IF(B1476="","","Check"),INDEX(Rules!$B:$B,N1476))</f>
        <v/>
      </c>
      <c r="F1476" s="21" t="str">
        <f aca="false">IF(OR(B1476="",N(N1476)=0,N1476=1000),"",INDEX(Rules!$C:$C,N1476))</f>
        <v/>
      </c>
      <c r="G1476" s="24"/>
      <c r="H1476" s="24"/>
      <c r="I1476" s="20" t="str">
        <f aca="false">IF(B1476="","",IF(G1476&lt;&gt;"",G1476,E1476))</f>
        <v/>
      </c>
      <c r="J1476" s="21" t="str">
        <f aca="false">IF(B1476="","",IF(H1476&lt;&gt;"",H1476,F1476))</f>
        <v/>
      </c>
      <c r="K1476" s="26" t="str">
        <f aca="false">IF(A1476="","",DATE(YEAR(A1476),MONTH(A1476),1))</f>
        <v/>
      </c>
      <c r="L1476" s="21" t="str">
        <f aca="false">IF(J1476="",IF(B1476="","",IF(N(C1476)&gt;=0,"Income","Expense")),IFERROR(INDEX(Lists!$B$2:$B$30,MATCH(J1476,Lists!$A$2:$A$30,0)),""))</f>
        <v/>
      </c>
      <c r="M1476" s="24"/>
      <c r="N1476" s="27" t="str">
        <f aca="false">IF(B1476="","",IFERROR(1000-SUMPRODUCT(MAX(ISNUMBER(SEARCH(Rules!$A$5:$A$204,B1476))*(Rules!$A$5:$A$204&lt;&gt;"")*(1000-ROW(Rules!$A$5:$A$204)))),""))</f>
        <v/>
      </c>
    </row>
    <row r="1477" customFormat="false" ht="15" hidden="false" customHeight="false" outlineLevel="0" collapsed="false">
      <c r="A1477" s="23"/>
      <c r="B1477" s="24"/>
      <c r="C1477" s="25"/>
      <c r="D1477" s="24"/>
      <c r="E1477" s="21" t="str">
        <f aca="false">IF(OR(B1477="",N(N1477)=0,N1477=1000),IF(B1477="","","Check"),INDEX(Rules!$B:$B,N1477))</f>
        <v/>
      </c>
      <c r="F1477" s="21" t="str">
        <f aca="false">IF(OR(B1477="",N(N1477)=0,N1477=1000),"",INDEX(Rules!$C:$C,N1477))</f>
        <v/>
      </c>
      <c r="G1477" s="24"/>
      <c r="H1477" s="24"/>
      <c r="I1477" s="20" t="str">
        <f aca="false">IF(B1477="","",IF(G1477&lt;&gt;"",G1477,E1477))</f>
        <v/>
      </c>
      <c r="J1477" s="21" t="str">
        <f aca="false">IF(B1477="","",IF(H1477&lt;&gt;"",H1477,F1477))</f>
        <v/>
      </c>
      <c r="K1477" s="26" t="str">
        <f aca="false">IF(A1477="","",DATE(YEAR(A1477),MONTH(A1477),1))</f>
        <v/>
      </c>
      <c r="L1477" s="21" t="str">
        <f aca="false">IF(J1477="",IF(B1477="","",IF(N(C1477)&gt;=0,"Income","Expense")),IFERROR(INDEX(Lists!$B$2:$B$30,MATCH(J1477,Lists!$A$2:$A$30,0)),""))</f>
        <v/>
      </c>
      <c r="M1477" s="24"/>
      <c r="N1477" s="27" t="str">
        <f aca="false">IF(B1477="","",IFERROR(1000-SUMPRODUCT(MAX(ISNUMBER(SEARCH(Rules!$A$5:$A$204,B1477))*(Rules!$A$5:$A$204&lt;&gt;"")*(1000-ROW(Rules!$A$5:$A$204)))),""))</f>
        <v/>
      </c>
    </row>
    <row r="1478" customFormat="false" ht="15" hidden="false" customHeight="false" outlineLevel="0" collapsed="false">
      <c r="A1478" s="23"/>
      <c r="B1478" s="24"/>
      <c r="C1478" s="25"/>
      <c r="D1478" s="24"/>
      <c r="E1478" s="21" t="str">
        <f aca="false">IF(OR(B1478="",N(N1478)=0,N1478=1000),IF(B1478="","","Check"),INDEX(Rules!$B:$B,N1478))</f>
        <v/>
      </c>
      <c r="F1478" s="21" t="str">
        <f aca="false">IF(OR(B1478="",N(N1478)=0,N1478=1000),"",INDEX(Rules!$C:$C,N1478))</f>
        <v/>
      </c>
      <c r="G1478" s="24"/>
      <c r="H1478" s="24"/>
      <c r="I1478" s="20" t="str">
        <f aca="false">IF(B1478="","",IF(G1478&lt;&gt;"",G1478,E1478))</f>
        <v/>
      </c>
      <c r="J1478" s="21" t="str">
        <f aca="false">IF(B1478="","",IF(H1478&lt;&gt;"",H1478,F1478))</f>
        <v/>
      </c>
      <c r="K1478" s="26" t="str">
        <f aca="false">IF(A1478="","",DATE(YEAR(A1478),MONTH(A1478),1))</f>
        <v/>
      </c>
      <c r="L1478" s="21" t="str">
        <f aca="false">IF(J1478="",IF(B1478="","",IF(N(C1478)&gt;=0,"Income","Expense")),IFERROR(INDEX(Lists!$B$2:$B$30,MATCH(J1478,Lists!$A$2:$A$30,0)),""))</f>
        <v/>
      </c>
      <c r="M1478" s="24"/>
      <c r="N1478" s="27" t="str">
        <f aca="false">IF(B1478="","",IFERROR(1000-SUMPRODUCT(MAX(ISNUMBER(SEARCH(Rules!$A$5:$A$204,B1478))*(Rules!$A$5:$A$204&lt;&gt;"")*(1000-ROW(Rules!$A$5:$A$204)))),""))</f>
        <v/>
      </c>
    </row>
    <row r="1479" customFormat="false" ht="15" hidden="false" customHeight="false" outlineLevel="0" collapsed="false">
      <c r="A1479" s="23"/>
      <c r="B1479" s="24"/>
      <c r="C1479" s="25"/>
      <c r="D1479" s="24"/>
      <c r="E1479" s="21" t="str">
        <f aca="false">IF(OR(B1479="",N(N1479)=0,N1479=1000),IF(B1479="","","Check"),INDEX(Rules!$B:$B,N1479))</f>
        <v/>
      </c>
      <c r="F1479" s="21" t="str">
        <f aca="false">IF(OR(B1479="",N(N1479)=0,N1479=1000),"",INDEX(Rules!$C:$C,N1479))</f>
        <v/>
      </c>
      <c r="G1479" s="24"/>
      <c r="H1479" s="24"/>
      <c r="I1479" s="20" t="str">
        <f aca="false">IF(B1479="","",IF(G1479&lt;&gt;"",G1479,E1479))</f>
        <v/>
      </c>
      <c r="J1479" s="21" t="str">
        <f aca="false">IF(B1479="","",IF(H1479&lt;&gt;"",H1479,F1479))</f>
        <v/>
      </c>
      <c r="K1479" s="26" t="str">
        <f aca="false">IF(A1479="","",DATE(YEAR(A1479),MONTH(A1479),1))</f>
        <v/>
      </c>
      <c r="L1479" s="21" t="str">
        <f aca="false">IF(J1479="",IF(B1479="","",IF(N(C1479)&gt;=0,"Income","Expense")),IFERROR(INDEX(Lists!$B$2:$B$30,MATCH(J1479,Lists!$A$2:$A$30,0)),""))</f>
        <v/>
      </c>
      <c r="M1479" s="24"/>
      <c r="N1479" s="27" t="str">
        <f aca="false">IF(B1479="","",IFERROR(1000-SUMPRODUCT(MAX(ISNUMBER(SEARCH(Rules!$A$5:$A$204,B1479))*(Rules!$A$5:$A$204&lt;&gt;"")*(1000-ROW(Rules!$A$5:$A$204)))),""))</f>
        <v/>
      </c>
    </row>
    <row r="1480" customFormat="false" ht="15" hidden="false" customHeight="false" outlineLevel="0" collapsed="false">
      <c r="A1480" s="23"/>
      <c r="B1480" s="24"/>
      <c r="C1480" s="25"/>
      <c r="D1480" s="24"/>
      <c r="E1480" s="21" t="str">
        <f aca="false">IF(OR(B1480="",N(N1480)=0,N1480=1000),IF(B1480="","","Check"),INDEX(Rules!$B:$B,N1480))</f>
        <v/>
      </c>
      <c r="F1480" s="21" t="str">
        <f aca="false">IF(OR(B1480="",N(N1480)=0,N1480=1000),"",INDEX(Rules!$C:$C,N1480))</f>
        <v/>
      </c>
      <c r="G1480" s="24"/>
      <c r="H1480" s="24"/>
      <c r="I1480" s="20" t="str">
        <f aca="false">IF(B1480="","",IF(G1480&lt;&gt;"",G1480,E1480))</f>
        <v/>
      </c>
      <c r="J1480" s="21" t="str">
        <f aca="false">IF(B1480="","",IF(H1480&lt;&gt;"",H1480,F1480))</f>
        <v/>
      </c>
      <c r="K1480" s="26" t="str">
        <f aca="false">IF(A1480="","",DATE(YEAR(A1480),MONTH(A1480),1))</f>
        <v/>
      </c>
      <c r="L1480" s="21" t="str">
        <f aca="false">IF(J1480="",IF(B1480="","",IF(N(C1480)&gt;=0,"Income","Expense")),IFERROR(INDEX(Lists!$B$2:$B$30,MATCH(J1480,Lists!$A$2:$A$30,0)),""))</f>
        <v/>
      </c>
      <c r="M1480" s="24"/>
      <c r="N1480" s="27" t="str">
        <f aca="false">IF(B1480="","",IFERROR(1000-SUMPRODUCT(MAX(ISNUMBER(SEARCH(Rules!$A$5:$A$204,B1480))*(Rules!$A$5:$A$204&lt;&gt;"")*(1000-ROW(Rules!$A$5:$A$204)))),""))</f>
        <v/>
      </c>
    </row>
    <row r="1481" customFormat="false" ht="15" hidden="false" customHeight="false" outlineLevel="0" collapsed="false">
      <c r="A1481" s="23"/>
      <c r="B1481" s="24"/>
      <c r="C1481" s="25"/>
      <c r="D1481" s="24"/>
      <c r="E1481" s="21" t="str">
        <f aca="false">IF(OR(B1481="",N(N1481)=0,N1481=1000),IF(B1481="","","Check"),INDEX(Rules!$B:$B,N1481))</f>
        <v/>
      </c>
      <c r="F1481" s="21" t="str">
        <f aca="false">IF(OR(B1481="",N(N1481)=0,N1481=1000),"",INDEX(Rules!$C:$C,N1481))</f>
        <v/>
      </c>
      <c r="G1481" s="24"/>
      <c r="H1481" s="24"/>
      <c r="I1481" s="20" t="str">
        <f aca="false">IF(B1481="","",IF(G1481&lt;&gt;"",G1481,E1481))</f>
        <v/>
      </c>
      <c r="J1481" s="21" t="str">
        <f aca="false">IF(B1481="","",IF(H1481&lt;&gt;"",H1481,F1481))</f>
        <v/>
      </c>
      <c r="K1481" s="26" t="str">
        <f aca="false">IF(A1481="","",DATE(YEAR(A1481),MONTH(A1481),1))</f>
        <v/>
      </c>
      <c r="L1481" s="21" t="str">
        <f aca="false">IF(J1481="",IF(B1481="","",IF(N(C1481)&gt;=0,"Income","Expense")),IFERROR(INDEX(Lists!$B$2:$B$30,MATCH(J1481,Lists!$A$2:$A$30,0)),""))</f>
        <v/>
      </c>
      <c r="M1481" s="24"/>
      <c r="N1481" s="27" t="str">
        <f aca="false">IF(B1481="","",IFERROR(1000-SUMPRODUCT(MAX(ISNUMBER(SEARCH(Rules!$A$5:$A$204,B1481))*(Rules!$A$5:$A$204&lt;&gt;"")*(1000-ROW(Rules!$A$5:$A$204)))),""))</f>
        <v/>
      </c>
    </row>
    <row r="1482" customFormat="false" ht="15" hidden="false" customHeight="false" outlineLevel="0" collapsed="false">
      <c r="A1482" s="23"/>
      <c r="B1482" s="24"/>
      <c r="C1482" s="25"/>
      <c r="D1482" s="24"/>
      <c r="E1482" s="21" t="str">
        <f aca="false">IF(OR(B1482="",N(N1482)=0,N1482=1000),IF(B1482="","","Check"),INDEX(Rules!$B:$B,N1482))</f>
        <v/>
      </c>
      <c r="F1482" s="21" t="str">
        <f aca="false">IF(OR(B1482="",N(N1482)=0,N1482=1000),"",INDEX(Rules!$C:$C,N1482))</f>
        <v/>
      </c>
      <c r="G1482" s="24"/>
      <c r="H1482" s="24"/>
      <c r="I1482" s="20" t="str">
        <f aca="false">IF(B1482="","",IF(G1482&lt;&gt;"",G1482,E1482))</f>
        <v/>
      </c>
      <c r="J1482" s="21" t="str">
        <f aca="false">IF(B1482="","",IF(H1482&lt;&gt;"",H1482,F1482))</f>
        <v/>
      </c>
      <c r="K1482" s="26" t="str">
        <f aca="false">IF(A1482="","",DATE(YEAR(A1482),MONTH(A1482),1))</f>
        <v/>
      </c>
      <c r="L1482" s="21" t="str">
        <f aca="false">IF(J1482="",IF(B1482="","",IF(N(C1482)&gt;=0,"Income","Expense")),IFERROR(INDEX(Lists!$B$2:$B$30,MATCH(J1482,Lists!$A$2:$A$30,0)),""))</f>
        <v/>
      </c>
      <c r="M1482" s="24"/>
      <c r="N1482" s="27" t="str">
        <f aca="false">IF(B1482="","",IFERROR(1000-SUMPRODUCT(MAX(ISNUMBER(SEARCH(Rules!$A$5:$A$204,B1482))*(Rules!$A$5:$A$204&lt;&gt;"")*(1000-ROW(Rules!$A$5:$A$204)))),""))</f>
        <v/>
      </c>
    </row>
    <row r="1483" customFormat="false" ht="15" hidden="false" customHeight="false" outlineLevel="0" collapsed="false">
      <c r="A1483" s="23"/>
      <c r="B1483" s="24"/>
      <c r="C1483" s="25"/>
      <c r="D1483" s="24"/>
      <c r="E1483" s="21" t="str">
        <f aca="false">IF(OR(B1483="",N(N1483)=0,N1483=1000),IF(B1483="","","Check"),INDEX(Rules!$B:$B,N1483))</f>
        <v/>
      </c>
      <c r="F1483" s="21" t="str">
        <f aca="false">IF(OR(B1483="",N(N1483)=0,N1483=1000),"",INDEX(Rules!$C:$C,N1483))</f>
        <v/>
      </c>
      <c r="G1483" s="24"/>
      <c r="H1483" s="24"/>
      <c r="I1483" s="20" t="str">
        <f aca="false">IF(B1483="","",IF(G1483&lt;&gt;"",G1483,E1483))</f>
        <v/>
      </c>
      <c r="J1483" s="21" t="str">
        <f aca="false">IF(B1483="","",IF(H1483&lt;&gt;"",H1483,F1483))</f>
        <v/>
      </c>
      <c r="K1483" s="26" t="str">
        <f aca="false">IF(A1483="","",DATE(YEAR(A1483),MONTH(A1483),1))</f>
        <v/>
      </c>
      <c r="L1483" s="21" t="str">
        <f aca="false">IF(J1483="",IF(B1483="","",IF(N(C1483)&gt;=0,"Income","Expense")),IFERROR(INDEX(Lists!$B$2:$B$30,MATCH(J1483,Lists!$A$2:$A$30,0)),""))</f>
        <v/>
      </c>
      <c r="M1483" s="24"/>
      <c r="N1483" s="27" t="str">
        <f aca="false">IF(B1483="","",IFERROR(1000-SUMPRODUCT(MAX(ISNUMBER(SEARCH(Rules!$A$5:$A$204,B1483))*(Rules!$A$5:$A$204&lt;&gt;"")*(1000-ROW(Rules!$A$5:$A$204)))),""))</f>
        <v/>
      </c>
    </row>
    <row r="1484" customFormat="false" ht="15" hidden="false" customHeight="false" outlineLevel="0" collapsed="false">
      <c r="A1484" s="23"/>
      <c r="B1484" s="24"/>
      <c r="C1484" s="25"/>
      <c r="D1484" s="24"/>
      <c r="E1484" s="21" t="str">
        <f aca="false">IF(OR(B1484="",N(N1484)=0,N1484=1000),IF(B1484="","","Check"),INDEX(Rules!$B:$B,N1484))</f>
        <v/>
      </c>
      <c r="F1484" s="21" t="str">
        <f aca="false">IF(OR(B1484="",N(N1484)=0,N1484=1000),"",INDEX(Rules!$C:$C,N1484))</f>
        <v/>
      </c>
      <c r="G1484" s="24"/>
      <c r="H1484" s="24"/>
      <c r="I1484" s="20" t="str">
        <f aca="false">IF(B1484="","",IF(G1484&lt;&gt;"",G1484,E1484))</f>
        <v/>
      </c>
      <c r="J1484" s="21" t="str">
        <f aca="false">IF(B1484="","",IF(H1484&lt;&gt;"",H1484,F1484))</f>
        <v/>
      </c>
      <c r="K1484" s="26" t="str">
        <f aca="false">IF(A1484="","",DATE(YEAR(A1484),MONTH(A1484),1))</f>
        <v/>
      </c>
      <c r="L1484" s="21" t="str">
        <f aca="false">IF(J1484="",IF(B1484="","",IF(N(C1484)&gt;=0,"Income","Expense")),IFERROR(INDEX(Lists!$B$2:$B$30,MATCH(J1484,Lists!$A$2:$A$30,0)),""))</f>
        <v/>
      </c>
      <c r="M1484" s="24"/>
      <c r="N1484" s="27" t="str">
        <f aca="false">IF(B1484="","",IFERROR(1000-SUMPRODUCT(MAX(ISNUMBER(SEARCH(Rules!$A$5:$A$204,B1484))*(Rules!$A$5:$A$204&lt;&gt;"")*(1000-ROW(Rules!$A$5:$A$204)))),""))</f>
        <v/>
      </c>
    </row>
    <row r="1485" customFormat="false" ht="15" hidden="false" customHeight="false" outlineLevel="0" collapsed="false">
      <c r="A1485" s="23"/>
      <c r="B1485" s="24"/>
      <c r="C1485" s="25"/>
      <c r="D1485" s="24"/>
      <c r="E1485" s="21" t="str">
        <f aca="false">IF(OR(B1485="",N(N1485)=0,N1485=1000),IF(B1485="","","Check"),INDEX(Rules!$B:$B,N1485))</f>
        <v/>
      </c>
      <c r="F1485" s="21" t="str">
        <f aca="false">IF(OR(B1485="",N(N1485)=0,N1485=1000),"",INDEX(Rules!$C:$C,N1485))</f>
        <v/>
      </c>
      <c r="G1485" s="24"/>
      <c r="H1485" s="24"/>
      <c r="I1485" s="20" t="str">
        <f aca="false">IF(B1485="","",IF(G1485&lt;&gt;"",G1485,E1485))</f>
        <v/>
      </c>
      <c r="J1485" s="21" t="str">
        <f aca="false">IF(B1485="","",IF(H1485&lt;&gt;"",H1485,F1485))</f>
        <v/>
      </c>
      <c r="K1485" s="26" t="str">
        <f aca="false">IF(A1485="","",DATE(YEAR(A1485),MONTH(A1485),1))</f>
        <v/>
      </c>
      <c r="L1485" s="21" t="str">
        <f aca="false">IF(J1485="",IF(B1485="","",IF(N(C1485)&gt;=0,"Income","Expense")),IFERROR(INDEX(Lists!$B$2:$B$30,MATCH(J1485,Lists!$A$2:$A$30,0)),""))</f>
        <v/>
      </c>
      <c r="M1485" s="24"/>
      <c r="N1485" s="27" t="str">
        <f aca="false">IF(B1485="","",IFERROR(1000-SUMPRODUCT(MAX(ISNUMBER(SEARCH(Rules!$A$5:$A$204,B1485))*(Rules!$A$5:$A$204&lt;&gt;"")*(1000-ROW(Rules!$A$5:$A$204)))),""))</f>
        <v/>
      </c>
    </row>
    <row r="1486" customFormat="false" ht="15" hidden="false" customHeight="false" outlineLevel="0" collapsed="false">
      <c r="A1486" s="23"/>
      <c r="B1486" s="24"/>
      <c r="C1486" s="25"/>
      <c r="D1486" s="24"/>
      <c r="E1486" s="21" t="str">
        <f aca="false">IF(OR(B1486="",N(N1486)=0,N1486=1000),IF(B1486="","","Check"),INDEX(Rules!$B:$B,N1486))</f>
        <v/>
      </c>
      <c r="F1486" s="21" t="str">
        <f aca="false">IF(OR(B1486="",N(N1486)=0,N1486=1000),"",INDEX(Rules!$C:$C,N1486))</f>
        <v/>
      </c>
      <c r="G1486" s="24"/>
      <c r="H1486" s="24"/>
      <c r="I1486" s="20" t="str">
        <f aca="false">IF(B1486="","",IF(G1486&lt;&gt;"",G1486,E1486))</f>
        <v/>
      </c>
      <c r="J1486" s="21" t="str">
        <f aca="false">IF(B1486="","",IF(H1486&lt;&gt;"",H1486,F1486))</f>
        <v/>
      </c>
      <c r="K1486" s="26" t="str">
        <f aca="false">IF(A1486="","",DATE(YEAR(A1486),MONTH(A1486),1))</f>
        <v/>
      </c>
      <c r="L1486" s="21" t="str">
        <f aca="false">IF(J1486="",IF(B1486="","",IF(N(C1486)&gt;=0,"Income","Expense")),IFERROR(INDEX(Lists!$B$2:$B$30,MATCH(J1486,Lists!$A$2:$A$30,0)),""))</f>
        <v/>
      </c>
      <c r="M1486" s="24"/>
      <c r="N1486" s="27" t="str">
        <f aca="false">IF(B1486="","",IFERROR(1000-SUMPRODUCT(MAX(ISNUMBER(SEARCH(Rules!$A$5:$A$204,B1486))*(Rules!$A$5:$A$204&lt;&gt;"")*(1000-ROW(Rules!$A$5:$A$204)))),""))</f>
        <v/>
      </c>
    </row>
    <row r="1487" customFormat="false" ht="15" hidden="false" customHeight="false" outlineLevel="0" collapsed="false">
      <c r="A1487" s="23"/>
      <c r="B1487" s="24"/>
      <c r="C1487" s="25"/>
      <c r="D1487" s="24"/>
      <c r="E1487" s="21" t="str">
        <f aca="false">IF(OR(B1487="",N(N1487)=0,N1487=1000),IF(B1487="","","Check"),INDEX(Rules!$B:$B,N1487))</f>
        <v/>
      </c>
      <c r="F1487" s="21" t="str">
        <f aca="false">IF(OR(B1487="",N(N1487)=0,N1487=1000),"",INDEX(Rules!$C:$C,N1487))</f>
        <v/>
      </c>
      <c r="G1487" s="24"/>
      <c r="H1487" s="24"/>
      <c r="I1487" s="20" t="str">
        <f aca="false">IF(B1487="","",IF(G1487&lt;&gt;"",G1487,E1487))</f>
        <v/>
      </c>
      <c r="J1487" s="21" t="str">
        <f aca="false">IF(B1487="","",IF(H1487&lt;&gt;"",H1487,F1487))</f>
        <v/>
      </c>
      <c r="K1487" s="26" t="str">
        <f aca="false">IF(A1487="","",DATE(YEAR(A1487),MONTH(A1487),1))</f>
        <v/>
      </c>
      <c r="L1487" s="21" t="str">
        <f aca="false">IF(J1487="",IF(B1487="","",IF(N(C1487)&gt;=0,"Income","Expense")),IFERROR(INDEX(Lists!$B$2:$B$30,MATCH(J1487,Lists!$A$2:$A$30,0)),""))</f>
        <v/>
      </c>
      <c r="M1487" s="24"/>
      <c r="N1487" s="27" t="str">
        <f aca="false">IF(B1487="","",IFERROR(1000-SUMPRODUCT(MAX(ISNUMBER(SEARCH(Rules!$A$5:$A$204,B1487))*(Rules!$A$5:$A$204&lt;&gt;"")*(1000-ROW(Rules!$A$5:$A$204)))),""))</f>
        <v/>
      </c>
    </row>
    <row r="1488" customFormat="false" ht="15" hidden="false" customHeight="false" outlineLevel="0" collapsed="false">
      <c r="A1488" s="23"/>
      <c r="B1488" s="24"/>
      <c r="C1488" s="25"/>
      <c r="D1488" s="24"/>
      <c r="E1488" s="21" t="str">
        <f aca="false">IF(OR(B1488="",N(N1488)=0,N1488=1000),IF(B1488="","","Check"),INDEX(Rules!$B:$B,N1488))</f>
        <v/>
      </c>
      <c r="F1488" s="21" t="str">
        <f aca="false">IF(OR(B1488="",N(N1488)=0,N1488=1000),"",INDEX(Rules!$C:$C,N1488))</f>
        <v/>
      </c>
      <c r="G1488" s="24"/>
      <c r="H1488" s="24"/>
      <c r="I1488" s="20" t="str">
        <f aca="false">IF(B1488="","",IF(G1488&lt;&gt;"",G1488,E1488))</f>
        <v/>
      </c>
      <c r="J1488" s="21" t="str">
        <f aca="false">IF(B1488="","",IF(H1488&lt;&gt;"",H1488,F1488))</f>
        <v/>
      </c>
      <c r="K1488" s="26" t="str">
        <f aca="false">IF(A1488="","",DATE(YEAR(A1488),MONTH(A1488),1))</f>
        <v/>
      </c>
      <c r="L1488" s="21" t="str">
        <f aca="false">IF(J1488="",IF(B1488="","",IF(N(C1488)&gt;=0,"Income","Expense")),IFERROR(INDEX(Lists!$B$2:$B$30,MATCH(J1488,Lists!$A$2:$A$30,0)),""))</f>
        <v/>
      </c>
      <c r="M1488" s="24"/>
      <c r="N1488" s="27" t="str">
        <f aca="false">IF(B1488="","",IFERROR(1000-SUMPRODUCT(MAX(ISNUMBER(SEARCH(Rules!$A$5:$A$204,B1488))*(Rules!$A$5:$A$204&lt;&gt;"")*(1000-ROW(Rules!$A$5:$A$204)))),""))</f>
        <v/>
      </c>
    </row>
    <row r="1489" customFormat="false" ht="15" hidden="false" customHeight="false" outlineLevel="0" collapsed="false">
      <c r="A1489" s="23"/>
      <c r="B1489" s="24"/>
      <c r="C1489" s="25"/>
      <c r="D1489" s="24"/>
      <c r="E1489" s="21" t="str">
        <f aca="false">IF(OR(B1489="",N(N1489)=0,N1489=1000),IF(B1489="","","Check"),INDEX(Rules!$B:$B,N1489))</f>
        <v/>
      </c>
      <c r="F1489" s="21" t="str">
        <f aca="false">IF(OR(B1489="",N(N1489)=0,N1489=1000),"",INDEX(Rules!$C:$C,N1489))</f>
        <v/>
      </c>
      <c r="G1489" s="24"/>
      <c r="H1489" s="24"/>
      <c r="I1489" s="20" t="str">
        <f aca="false">IF(B1489="","",IF(G1489&lt;&gt;"",G1489,E1489))</f>
        <v/>
      </c>
      <c r="J1489" s="21" t="str">
        <f aca="false">IF(B1489="","",IF(H1489&lt;&gt;"",H1489,F1489))</f>
        <v/>
      </c>
      <c r="K1489" s="26" t="str">
        <f aca="false">IF(A1489="","",DATE(YEAR(A1489),MONTH(A1489),1))</f>
        <v/>
      </c>
      <c r="L1489" s="21" t="str">
        <f aca="false">IF(J1489="",IF(B1489="","",IF(N(C1489)&gt;=0,"Income","Expense")),IFERROR(INDEX(Lists!$B$2:$B$30,MATCH(J1489,Lists!$A$2:$A$30,0)),""))</f>
        <v/>
      </c>
      <c r="M1489" s="24"/>
      <c r="N1489" s="27" t="str">
        <f aca="false">IF(B1489="","",IFERROR(1000-SUMPRODUCT(MAX(ISNUMBER(SEARCH(Rules!$A$5:$A$204,B1489))*(Rules!$A$5:$A$204&lt;&gt;"")*(1000-ROW(Rules!$A$5:$A$204)))),""))</f>
        <v/>
      </c>
    </row>
    <row r="1490" customFormat="false" ht="15" hidden="false" customHeight="false" outlineLevel="0" collapsed="false">
      <c r="A1490" s="23"/>
      <c r="B1490" s="24"/>
      <c r="C1490" s="25"/>
      <c r="D1490" s="24"/>
      <c r="E1490" s="21" t="str">
        <f aca="false">IF(OR(B1490="",N(N1490)=0,N1490=1000),IF(B1490="","","Check"),INDEX(Rules!$B:$B,N1490))</f>
        <v/>
      </c>
      <c r="F1490" s="21" t="str">
        <f aca="false">IF(OR(B1490="",N(N1490)=0,N1490=1000),"",INDEX(Rules!$C:$C,N1490))</f>
        <v/>
      </c>
      <c r="G1490" s="24"/>
      <c r="H1490" s="24"/>
      <c r="I1490" s="20" t="str">
        <f aca="false">IF(B1490="","",IF(G1490&lt;&gt;"",G1490,E1490))</f>
        <v/>
      </c>
      <c r="J1490" s="21" t="str">
        <f aca="false">IF(B1490="","",IF(H1490&lt;&gt;"",H1490,F1490))</f>
        <v/>
      </c>
      <c r="K1490" s="26" t="str">
        <f aca="false">IF(A1490="","",DATE(YEAR(A1490),MONTH(A1490),1))</f>
        <v/>
      </c>
      <c r="L1490" s="21" t="str">
        <f aca="false">IF(J1490="",IF(B1490="","",IF(N(C1490)&gt;=0,"Income","Expense")),IFERROR(INDEX(Lists!$B$2:$B$30,MATCH(J1490,Lists!$A$2:$A$30,0)),""))</f>
        <v/>
      </c>
      <c r="M1490" s="24"/>
      <c r="N1490" s="27" t="str">
        <f aca="false">IF(B1490="","",IFERROR(1000-SUMPRODUCT(MAX(ISNUMBER(SEARCH(Rules!$A$5:$A$204,B1490))*(Rules!$A$5:$A$204&lt;&gt;"")*(1000-ROW(Rules!$A$5:$A$204)))),""))</f>
        <v/>
      </c>
    </row>
    <row r="1491" customFormat="false" ht="15" hidden="false" customHeight="false" outlineLevel="0" collapsed="false">
      <c r="A1491" s="23"/>
      <c r="B1491" s="24"/>
      <c r="C1491" s="25"/>
      <c r="D1491" s="24"/>
      <c r="E1491" s="21" t="str">
        <f aca="false">IF(OR(B1491="",N(N1491)=0,N1491=1000),IF(B1491="","","Check"),INDEX(Rules!$B:$B,N1491))</f>
        <v/>
      </c>
      <c r="F1491" s="21" t="str">
        <f aca="false">IF(OR(B1491="",N(N1491)=0,N1491=1000),"",INDEX(Rules!$C:$C,N1491))</f>
        <v/>
      </c>
      <c r="G1491" s="24"/>
      <c r="H1491" s="24"/>
      <c r="I1491" s="20" t="str">
        <f aca="false">IF(B1491="","",IF(G1491&lt;&gt;"",G1491,E1491))</f>
        <v/>
      </c>
      <c r="J1491" s="21" t="str">
        <f aca="false">IF(B1491="","",IF(H1491&lt;&gt;"",H1491,F1491))</f>
        <v/>
      </c>
      <c r="K1491" s="26" t="str">
        <f aca="false">IF(A1491="","",DATE(YEAR(A1491),MONTH(A1491),1))</f>
        <v/>
      </c>
      <c r="L1491" s="21" t="str">
        <f aca="false">IF(J1491="",IF(B1491="","",IF(N(C1491)&gt;=0,"Income","Expense")),IFERROR(INDEX(Lists!$B$2:$B$30,MATCH(J1491,Lists!$A$2:$A$30,0)),""))</f>
        <v/>
      </c>
      <c r="M1491" s="24"/>
      <c r="N1491" s="27" t="str">
        <f aca="false">IF(B1491="","",IFERROR(1000-SUMPRODUCT(MAX(ISNUMBER(SEARCH(Rules!$A$5:$A$204,B1491))*(Rules!$A$5:$A$204&lt;&gt;"")*(1000-ROW(Rules!$A$5:$A$204)))),""))</f>
        <v/>
      </c>
    </row>
    <row r="1492" customFormat="false" ht="15" hidden="false" customHeight="false" outlineLevel="0" collapsed="false">
      <c r="A1492" s="23"/>
      <c r="B1492" s="24"/>
      <c r="C1492" s="25"/>
      <c r="D1492" s="24"/>
      <c r="E1492" s="21" t="str">
        <f aca="false">IF(OR(B1492="",N(N1492)=0,N1492=1000),IF(B1492="","","Check"),INDEX(Rules!$B:$B,N1492))</f>
        <v/>
      </c>
      <c r="F1492" s="21" t="str">
        <f aca="false">IF(OR(B1492="",N(N1492)=0,N1492=1000),"",INDEX(Rules!$C:$C,N1492))</f>
        <v/>
      </c>
      <c r="G1492" s="24"/>
      <c r="H1492" s="24"/>
      <c r="I1492" s="20" t="str">
        <f aca="false">IF(B1492="","",IF(G1492&lt;&gt;"",G1492,E1492))</f>
        <v/>
      </c>
      <c r="J1492" s="21" t="str">
        <f aca="false">IF(B1492="","",IF(H1492&lt;&gt;"",H1492,F1492))</f>
        <v/>
      </c>
      <c r="K1492" s="26" t="str">
        <f aca="false">IF(A1492="","",DATE(YEAR(A1492),MONTH(A1492),1))</f>
        <v/>
      </c>
      <c r="L1492" s="21" t="str">
        <f aca="false">IF(J1492="",IF(B1492="","",IF(N(C1492)&gt;=0,"Income","Expense")),IFERROR(INDEX(Lists!$B$2:$B$30,MATCH(J1492,Lists!$A$2:$A$30,0)),""))</f>
        <v/>
      </c>
      <c r="M1492" s="24"/>
      <c r="N1492" s="27" t="str">
        <f aca="false">IF(B1492="","",IFERROR(1000-SUMPRODUCT(MAX(ISNUMBER(SEARCH(Rules!$A$5:$A$204,B1492))*(Rules!$A$5:$A$204&lt;&gt;"")*(1000-ROW(Rules!$A$5:$A$204)))),""))</f>
        <v/>
      </c>
    </row>
    <row r="1493" customFormat="false" ht="15" hidden="false" customHeight="false" outlineLevel="0" collapsed="false">
      <c r="A1493" s="23"/>
      <c r="B1493" s="24"/>
      <c r="C1493" s="25"/>
      <c r="D1493" s="24"/>
      <c r="E1493" s="21" t="str">
        <f aca="false">IF(OR(B1493="",N(N1493)=0,N1493=1000),IF(B1493="","","Check"),INDEX(Rules!$B:$B,N1493))</f>
        <v/>
      </c>
      <c r="F1493" s="21" t="str">
        <f aca="false">IF(OR(B1493="",N(N1493)=0,N1493=1000),"",INDEX(Rules!$C:$C,N1493))</f>
        <v/>
      </c>
      <c r="G1493" s="24"/>
      <c r="H1493" s="24"/>
      <c r="I1493" s="20" t="str">
        <f aca="false">IF(B1493="","",IF(G1493&lt;&gt;"",G1493,E1493))</f>
        <v/>
      </c>
      <c r="J1493" s="21" t="str">
        <f aca="false">IF(B1493="","",IF(H1493&lt;&gt;"",H1493,F1493))</f>
        <v/>
      </c>
      <c r="K1493" s="26" t="str">
        <f aca="false">IF(A1493="","",DATE(YEAR(A1493),MONTH(A1493),1))</f>
        <v/>
      </c>
      <c r="L1493" s="21" t="str">
        <f aca="false">IF(J1493="",IF(B1493="","",IF(N(C1493)&gt;=0,"Income","Expense")),IFERROR(INDEX(Lists!$B$2:$B$30,MATCH(J1493,Lists!$A$2:$A$30,0)),""))</f>
        <v/>
      </c>
      <c r="M1493" s="24"/>
      <c r="N1493" s="27" t="str">
        <f aca="false">IF(B1493="","",IFERROR(1000-SUMPRODUCT(MAX(ISNUMBER(SEARCH(Rules!$A$5:$A$204,B1493))*(Rules!$A$5:$A$204&lt;&gt;"")*(1000-ROW(Rules!$A$5:$A$204)))),""))</f>
        <v/>
      </c>
    </row>
    <row r="1494" customFormat="false" ht="15" hidden="false" customHeight="false" outlineLevel="0" collapsed="false">
      <c r="A1494" s="23"/>
      <c r="B1494" s="24"/>
      <c r="C1494" s="25"/>
      <c r="D1494" s="24"/>
      <c r="E1494" s="21" t="str">
        <f aca="false">IF(OR(B1494="",N(N1494)=0,N1494=1000),IF(B1494="","","Check"),INDEX(Rules!$B:$B,N1494))</f>
        <v/>
      </c>
      <c r="F1494" s="21" t="str">
        <f aca="false">IF(OR(B1494="",N(N1494)=0,N1494=1000),"",INDEX(Rules!$C:$C,N1494))</f>
        <v/>
      </c>
      <c r="G1494" s="24"/>
      <c r="H1494" s="24"/>
      <c r="I1494" s="20" t="str">
        <f aca="false">IF(B1494="","",IF(G1494&lt;&gt;"",G1494,E1494))</f>
        <v/>
      </c>
      <c r="J1494" s="21" t="str">
        <f aca="false">IF(B1494="","",IF(H1494&lt;&gt;"",H1494,F1494))</f>
        <v/>
      </c>
      <c r="K1494" s="26" t="str">
        <f aca="false">IF(A1494="","",DATE(YEAR(A1494),MONTH(A1494),1))</f>
        <v/>
      </c>
      <c r="L1494" s="21" t="str">
        <f aca="false">IF(J1494="",IF(B1494="","",IF(N(C1494)&gt;=0,"Income","Expense")),IFERROR(INDEX(Lists!$B$2:$B$30,MATCH(J1494,Lists!$A$2:$A$30,0)),""))</f>
        <v/>
      </c>
      <c r="M1494" s="24"/>
      <c r="N1494" s="27" t="str">
        <f aca="false">IF(B1494="","",IFERROR(1000-SUMPRODUCT(MAX(ISNUMBER(SEARCH(Rules!$A$5:$A$204,B1494))*(Rules!$A$5:$A$204&lt;&gt;"")*(1000-ROW(Rules!$A$5:$A$204)))),""))</f>
        <v/>
      </c>
    </row>
    <row r="1495" customFormat="false" ht="15" hidden="false" customHeight="false" outlineLevel="0" collapsed="false">
      <c r="A1495" s="23"/>
      <c r="B1495" s="24"/>
      <c r="C1495" s="25"/>
      <c r="D1495" s="24"/>
      <c r="E1495" s="21" t="str">
        <f aca="false">IF(OR(B1495="",N(N1495)=0,N1495=1000),IF(B1495="","","Check"),INDEX(Rules!$B:$B,N1495))</f>
        <v/>
      </c>
      <c r="F1495" s="21" t="str">
        <f aca="false">IF(OR(B1495="",N(N1495)=0,N1495=1000),"",INDEX(Rules!$C:$C,N1495))</f>
        <v/>
      </c>
      <c r="G1495" s="24"/>
      <c r="H1495" s="24"/>
      <c r="I1495" s="20" t="str">
        <f aca="false">IF(B1495="","",IF(G1495&lt;&gt;"",G1495,E1495))</f>
        <v/>
      </c>
      <c r="J1495" s="21" t="str">
        <f aca="false">IF(B1495="","",IF(H1495&lt;&gt;"",H1495,F1495))</f>
        <v/>
      </c>
      <c r="K1495" s="26" t="str">
        <f aca="false">IF(A1495="","",DATE(YEAR(A1495),MONTH(A1495),1))</f>
        <v/>
      </c>
      <c r="L1495" s="21" t="str">
        <f aca="false">IF(J1495="",IF(B1495="","",IF(N(C1495)&gt;=0,"Income","Expense")),IFERROR(INDEX(Lists!$B$2:$B$30,MATCH(J1495,Lists!$A$2:$A$30,0)),""))</f>
        <v/>
      </c>
      <c r="M1495" s="24"/>
      <c r="N1495" s="27" t="str">
        <f aca="false">IF(B1495="","",IFERROR(1000-SUMPRODUCT(MAX(ISNUMBER(SEARCH(Rules!$A$5:$A$204,B1495))*(Rules!$A$5:$A$204&lt;&gt;"")*(1000-ROW(Rules!$A$5:$A$204)))),""))</f>
        <v/>
      </c>
    </row>
    <row r="1496" customFormat="false" ht="15" hidden="false" customHeight="false" outlineLevel="0" collapsed="false">
      <c r="A1496" s="23"/>
      <c r="B1496" s="24"/>
      <c r="C1496" s="25"/>
      <c r="D1496" s="24"/>
      <c r="E1496" s="21" t="str">
        <f aca="false">IF(OR(B1496="",N(N1496)=0,N1496=1000),IF(B1496="","","Check"),INDEX(Rules!$B:$B,N1496))</f>
        <v/>
      </c>
      <c r="F1496" s="21" t="str">
        <f aca="false">IF(OR(B1496="",N(N1496)=0,N1496=1000),"",INDEX(Rules!$C:$C,N1496))</f>
        <v/>
      </c>
      <c r="G1496" s="24"/>
      <c r="H1496" s="24"/>
      <c r="I1496" s="20" t="str">
        <f aca="false">IF(B1496="","",IF(G1496&lt;&gt;"",G1496,E1496))</f>
        <v/>
      </c>
      <c r="J1496" s="21" t="str">
        <f aca="false">IF(B1496="","",IF(H1496&lt;&gt;"",H1496,F1496))</f>
        <v/>
      </c>
      <c r="K1496" s="26" t="str">
        <f aca="false">IF(A1496="","",DATE(YEAR(A1496),MONTH(A1496),1))</f>
        <v/>
      </c>
      <c r="L1496" s="21" t="str">
        <f aca="false">IF(J1496="",IF(B1496="","",IF(N(C1496)&gt;=0,"Income","Expense")),IFERROR(INDEX(Lists!$B$2:$B$30,MATCH(J1496,Lists!$A$2:$A$30,0)),""))</f>
        <v/>
      </c>
      <c r="M1496" s="24"/>
      <c r="N1496" s="27" t="str">
        <f aca="false">IF(B1496="","",IFERROR(1000-SUMPRODUCT(MAX(ISNUMBER(SEARCH(Rules!$A$5:$A$204,B1496))*(Rules!$A$5:$A$204&lt;&gt;"")*(1000-ROW(Rules!$A$5:$A$204)))),""))</f>
        <v/>
      </c>
    </row>
    <row r="1497" customFormat="false" ht="15" hidden="false" customHeight="false" outlineLevel="0" collapsed="false">
      <c r="A1497" s="23"/>
      <c r="B1497" s="24"/>
      <c r="C1497" s="25"/>
      <c r="D1497" s="24"/>
      <c r="E1497" s="21" t="str">
        <f aca="false">IF(OR(B1497="",N(N1497)=0,N1497=1000),IF(B1497="","","Check"),INDEX(Rules!$B:$B,N1497))</f>
        <v/>
      </c>
      <c r="F1497" s="21" t="str">
        <f aca="false">IF(OR(B1497="",N(N1497)=0,N1497=1000),"",INDEX(Rules!$C:$C,N1497))</f>
        <v/>
      </c>
      <c r="G1497" s="24"/>
      <c r="H1497" s="24"/>
      <c r="I1497" s="20" t="str">
        <f aca="false">IF(B1497="","",IF(G1497&lt;&gt;"",G1497,E1497))</f>
        <v/>
      </c>
      <c r="J1497" s="21" t="str">
        <f aca="false">IF(B1497="","",IF(H1497&lt;&gt;"",H1497,F1497))</f>
        <v/>
      </c>
      <c r="K1497" s="26" t="str">
        <f aca="false">IF(A1497="","",DATE(YEAR(A1497),MONTH(A1497),1))</f>
        <v/>
      </c>
      <c r="L1497" s="21" t="str">
        <f aca="false">IF(J1497="",IF(B1497="","",IF(N(C1497)&gt;=0,"Income","Expense")),IFERROR(INDEX(Lists!$B$2:$B$30,MATCH(J1497,Lists!$A$2:$A$30,0)),""))</f>
        <v/>
      </c>
      <c r="M1497" s="24"/>
      <c r="N1497" s="27" t="str">
        <f aca="false">IF(B1497="","",IFERROR(1000-SUMPRODUCT(MAX(ISNUMBER(SEARCH(Rules!$A$5:$A$204,B1497))*(Rules!$A$5:$A$204&lt;&gt;"")*(1000-ROW(Rules!$A$5:$A$204)))),""))</f>
        <v/>
      </c>
    </row>
    <row r="1498" customFormat="false" ht="15" hidden="false" customHeight="false" outlineLevel="0" collapsed="false">
      <c r="A1498" s="23"/>
      <c r="B1498" s="24"/>
      <c r="C1498" s="25"/>
      <c r="D1498" s="24"/>
      <c r="E1498" s="21" t="str">
        <f aca="false">IF(OR(B1498="",N(N1498)=0,N1498=1000),IF(B1498="","","Check"),INDEX(Rules!$B:$B,N1498))</f>
        <v/>
      </c>
      <c r="F1498" s="21" t="str">
        <f aca="false">IF(OR(B1498="",N(N1498)=0,N1498=1000),"",INDEX(Rules!$C:$C,N1498))</f>
        <v/>
      </c>
      <c r="G1498" s="24"/>
      <c r="H1498" s="24"/>
      <c r="I1498" s="20" t="str">
        <f aca="false">IF(B1498="","",IF(G1498&lt;&gt;"",G1498,E1498))</f>
        <v/>
      </c>
      <c r="J1498" s="21" t="str">
        <f aca="false">IF(B1498="","",IF(H1498&lt;&gt;"",H1498,F1498))</f>
        <v/>
      </c>
      <c r="K1498" s="26" t="str">
        <f aca="false">IF(A1498="","",DATE(YEAR(A1498),MONTH(A1498),1))</f>
        <v/>
      </c>
      <c r="L1498" s="21" t="str">
        <f aca="false">IF(J1498="",IF(B1498="","",IF(N(C1498)&gt;=0,"Income","Expense")),IFERROR(INDEX(Lists!$B$2:$B$30,MATCH(J1498,Lists!$A$2:$A$30,0)),""))</f>
        <v/>
      </c>
      <c r="M1498" s="24"/>
      <c r="N1498" s="27" t="str">
        <f aca="false">IF(B1498="","",IFERROR(1000-SUMPRODUCT(MAX(ISNUMBER(SEARCH(Rules!$A$5:$A$204,B1498))*(Rules!$A$5:$A$204&lt;&gt;"")*(1000-ROW(Rules!$A$5:$A$204)))),""))</f>
        <v/>
      </c>
    </row>
    <row r="1499" customFormat="false" ht="15" hidden="false" customHeight="false" outlineLevel="0" collapsed="false">
      <c r="A1499" s="23"/>
      <c r="B1499" s="24"/>
      <c r="C1499" s="25"/>
      <c r="D1499" s="24"/>
      <c r="E1499" s="21" t="str">
        <f aca="false">IF(OR(B1499="",N(N1499)=0,N1499=1000),IF(B1499="","","Check"),INDEX(Rules!$B:$B,N1499))</f>
        <v/>
      </c>
      <c r="F1499" s="21" t="str">
        <f aca="false">IF(OR(B1499="",N(N1499)=0,N1499=1000),"",INDEX(Rules!$C:$C,N1499))</f>
        <v/>
      </c>
      <c r="G1499" s="24"/>
      <c r="H1499" s="24"/>
      <c r="I1499" s="20" t="str">
        <f aca="false">IF(B1499="","",IF(G1499&lt;&gt;"",G1499,E1499))</f>
        <v/>
      </c>
      <c r="J1499" s="21" t="str">
        <f aca="false">IF(B1499="","",IF(H1499&lt;&gt;"",H1499,F1499))</f>
        <v/>
      </c>
      <c r="K1499" s="26" t="str">
        <f aca="false">IF(A1499="","",DATE(YEAR(A1499),MONTH(A1499),1))</f>
        <v/>
      </c>
      <c r="L1499" s="21" t="str">
        <f aca="false">IF(J1499="",IF(B1499="","",IF(N(C1499)&gt;=0,"Income","Expense")),IFERROR(INDEX(Lists!$B$2:$B$30,MATCH(J1499,Lists!$A$2:$A$30,0)),""))</f>
        <v/>
      </c>
      <c r="M1499" s="24"/>
      <c r="N1499" s="27" t="str">
        <f aca="false">IF(B1499="","",IFERROR(1000-SUMPRODUCT(MAX(ISNUMBER(SEARCH(Rules!$A$5:$A$204,B1499))*(Rules!$A$5:$A$204&lt;&gt;"")*(1000-ROW(Rules!$A$5:$A$204)))),""))</f>
        <v/>
      </c>
    </row>
    <row r="1500" customFormat="false" ht="15" hidden="false" customHeight="false" outlineLevel="0" collapsed="false">
      <c r="A1500" s="23"/>
      <c r="B1500" s="24"/>
      <c r="C1500" s="25"/>
      <c r="D1500" s="24"/>
      <c r="E1500" s="21" t="str">
        <f aca="false">IF(OR(B1500="",N(N1500)=0,N1500=1000),IF(B1500="","","Check"),INDEX(Rules!$B:$B,N1500))</f>
        <v/>
      </c>
      <c r="F1500" s="21" t="str">
        <f aca="false">IF(OR(B1500="",N(N1500)=0,N1500=1000),"",INDEX(Rules!$C:$C,N1500))</f>
        <v/>
      </c>
      <c r="G1500" s="24"/>
      <c r="H1500" s="24"/>
      <c r="I1500" s="20" t="str">
        <f aca="false">IF(B1500="","",IF(G1500&lt;&gt;"",G1500,E1500))</f>
        <v/>
      </c>
      <c r="J1500" s="21" t="str">
        <f aca="false">IF(B1500="","",IF(H1500&lt;&gt;"",H1500,F1500))</f>
        <v/>
      </c>
      <c r="K1500" s="26" t="str">
        <f aca="false">IF(A1500="","",DATE(YEAR(A1500),MONTH(A1500),1))</f>
        <v/>
      </c>
      <c r="L1500" s="21" t="str">
        <f aca="false">IF(J1500="",IF(B1500="","",IF(N(C1500)&gt;=0,"Income","Expense")),IFERROR(INDEX(Lists!$B$2:$B$30,MATCH(J1500,Lists!$A$2:$A$30,0)),""))</f>
        <v/>
      </c>
      <c r="M1500" s="24"/>
      <c r="N1500" s="27" t="str">
        <f aca="false">IF(B1500="","",IFERROR(1000-SUMPRODUCT(MAX(ISNUMBER(SEARCH(Rules!$A$5:$A$204,B1500))*(Rules!$A$5:$A$204&lt;&gt;"")*(1000-ROW(Rules!$A$5:$A$204)))),""))</f>
        <v/>
      </c>
    </row>
    <row r="1501" customFormat="false" ht="15" hidden="false" customHeight="false" outlineLevel="0" collapsed="false">
      <c r="A1501" s="23"/>
      <c r="B1501" s="24"/>
      <c r="C1501" s="25"/>
      <c r="D1501" s="24"/>
      <c r="E1501" s="21" t="str">
        <f aca="false">IF(OR(B1501="",N(N1501)=0,N1501=1000),IF(B1501="","","Check"),INDEX(Rules!$B:$B,N1501))</f>
        <v/>
      </c>
      <c r="F1501" s="21" t="str">
        <f aca="false">IF(OR(B1501="",N(N1501)=0,N1501=1000),"",INDEX(Rules!$C:$C,N1501))</f>
        <v/>
      </c>
      <c r="G1501" s="24"/>
      <c r="H1501" s="24"/>
      <c r="I1501" s="20" t="str">
        <f aca="false">IF(B1501="","",IF(G1501&lt;&gt;"",G1501,E1501))</f>
        <v/>
      </c>
      <c r="J1501" s="21" t="str">
        <f aca="false">IF(B1501="","",IF(H1501&lt;&gt;"",H1501,F1501))</f>
        <v/>
      </c>
      <c r="K1501" s="26" t="str">
        <f aca="false">IF(A1501="","",DATE(YEAR(A1501),MONTH(A1501),1))</f>
        <v/>
      </c>
      <c r="L1501" s="21" t="str">
        <f aca="false">IF(J1501="",IF(B1501="","",IF(N(C1501)&gt;=0,"Income","Expense")),IFERROR(INDEX(Lists!$B$2:$B$30,MATCH(J1501,Lists!$A$2:$A$30,0)),""))</f>
        <v/>
      </c>
      <c r="M1501" s="24"/>
      <c r="N1501" s="27" t="str">
        <f aca="false">IF(B1501="","",IFERROR(1000-SUMPRODUCT(MAX(ISNUMBER(SEARCH(Rules!$A$5:$A$204,B1501))*(Rules!$A$5:$A$204&lt;&gt;"")*(1000-ROW(Rules!$A$5:$A$204)))),""))</f>
        <v/>
      </c>
    </row>
    <row r="1502" customFormat="false" ht="15" hidden="false" customHeight="false" outlineLevel="0" collapsed="false">
      <c r="A1502" s="23"/>
      <c r="B1502" s="24"/>
      <c r="C1502" s="25"/>
      <c r="D1502" s="24"/>
      <c r="E1502" s="21" t="str">
        <f aca="false">IF(OR(B1502="",N(N1502)=0,N1502=1000),IF(B1502="","","Check"),INDEX(Rules!$B:$B,N1502))</f>
        <v/>
      </c>
      <c r="F1502" s="21" t="str">
        <f aca="false">IF(OR(B1502="",N(N1502)=0,N1502=1000),"",INDEX(Rules!$C:$C,N1502))</f>
        <v/>
      </c>
      <c r="G1502" s="24"/>
      <c r="H1502" s="24"/>
      <c r="I1502" s="20" t="str">
        <f aca="false">IF(B1502="","",IF(G1502&lt;&gt;"",G1502,E1502))</f>
        <v/>
      </c>
      <c r="J1502" s="21" t="str">
        <f aca="false">IF(B1502="","",IF(H1502&lt;&gt;"",H1502,F1502))</f>
        <v/>
      </c>
      <c r="K1502" s="26" t="str">
        <f aca="false">IF(A1502="","",DATE(YEAR(A1502),MONTH(A1502),1))</f>
        <v/>
      </c>
      <c r="L1502" s="21" t="str">
        <f aca="false">IF(J1502="",IF(B1502="","",IF(N(C1502)&gt;=0,"Income","Expense")),IFERROR(INDEX(Lists!$B$2:$B$30,MATCH(J1502,Lists!$A$2:$A$30,0)),""))</f>
        <v/>
      </c>
      <c r="M1502" s="24"/>
      <c r="N1502" s="27" t="str">
        <f aca="false">IF(B1502="","",IFERROR(1000-SUMPRODUCT(MAX(ISNUMBER(SEARCH(Rules!$A$5:$A$204,B1502))*(Rules!$A$5:$A$204&lt;&gt;"")*(1000-ROW(Rules!$A$5:$A$204)))),""))</f>
        <v/>
      </c>
    </row>
    <row r="1503" customFormat="false" ht="15" hidden="false" customHeight="false" outlineLevel="0" collapsed="false">
      <c r="A1503" s="23"/>
      <c r="B1503" s="24"/>
      <c r="C1503" s="25"/>
      <c r="D1503" s="24"/>
      <c r="E1503" s="21" t="str">
        <f aca="false">IF(OR(B1503="",N(N1503)=0,N1503=1000),IF(B1503="","","Check"),INDEX(Rules!$B:$B,N1503))</f>
        <v/>
      </c>
      <c r="F1503" s="21" t="str">
        <f aca="false">IF(OR(B1503="",N(N1503)=0,N1503=1000),"",INDEX(Rules!$C:$C,N1503))</f>
        <v/>
      </c>
      <c r="G1503" s="24"/>
      <c r="H1503" s="24"/>
      <c r="I1503" s="20" t="str">
        <f aca="false">IF(B1503="","",IF(G1503&lt;&gt;"",G1503,E1503))</f>
        <v/>
      </c>
      <c r="J1503" s="21" t="str">
        <f aca="false">IF(B1503="","",IF(H1503&lt;&gt;"",H1503,F1503))</f>
        <v/>
      </c>
      <c r="K1503" s="26" t="str">
        <f aca="false">IF(A1503="","",DATE(YEAR(A1503),MONTH(A1503),1))</f>
        <v/>
      </c>
      <c r="L1503" s="21" t="str">
        <f aca="false">IF(J1503="",IF(B1503="","",IF(N(C1503)&gt;=0,"Income","Expense")),IFERROR(INDEX(Lists!$B$2:$B$30,MATCH(J1503,Lists!$A$2:$A$30,0)),""))</f>
        <v/>
      </c>
      <c r="M1503" s="24"/>
      <c r="N1503" s="27" t="str">
        <f aca="false">IF(B1503="","",IFERROR(1000-SUMPRODUCT(MAX(ISNUMBER(SEARCH(Rules!$A$5:$A$204,B1503))*(Rules!$A$5:$A$204&lt;&gt;"")*(1000-ROW(Rules!$A$5:$A$204)))),""))</f>
        <v/>
      </c>
    </row>
    <row r="1504" customFormat="false" ht="15" hidden="false" customHeight="false" outlineLevel="0" collapsed="false">
      <c r="A1504" s="23"/>
      <c r="B1504" s="24"/>
      <c r="C1504" s="25"/>
      <c r="D1504" s="24"/>
      <c r="E1504" s="21" t="str">
        <f aca="false">IF(OR(B1504="",N(N1504)=0,N1504=1000),IF(B1504="","","Check"),INDEX(Rules!$B:$B,N1504))</f>
        <v/>
      </c>
      <c r="F1504" s="21" t="str">
        <f aca="false">IF(OR(B1504="",N(N1504)=0,N1504=1000),"",INDEX(Rules!$C:$C,N1504))</f>
        <v/>
      </c>
      <c r="G1504" s="24"/>
      <c r="H1504" s="24"/>
      <c r="I1504" s="20" t="str">
        <f aca="false">IF(B1504="","",IF(G1504&lt;&gt;"",G1504,E1504))</f>
        <v/>
      </c>
      <c r="J1504" s="21" t="str">
        <f aca="false">IF(B1504="","",IF(H1504&lt;&gt;"",H1504,F1504))</f>
        <v/>
      </c>
      <c r="K1504" s="26" t="str">
        <f aca="false">IF(A1504="","",DATE(YEAR(A1504),MONTH(A1504),1))</f>
        <v/>
      </c>
      <c r="L1504" s="21" t="str">
        <f aca="false">IF(J1504="",IF(B1504="","",IF(N(C1504)&gt;=0,"Income","Expense")),IFERROR(INDEX(Lists!$B$2:$B$30,MATCH(J1504,Lists!$A$2:$A$30,0)),""))</f>
        <v/>
      </c>
      <c r="M1504" s="24"/>
      <c r="N1504" s="27" t="str">
        <f aca="false">IF(B1504="","",IFERROR(1000-SUMPRODUCT(MAX(ISNUMBER(SEARCH(Rules!$A$5:$A$204,B1504))*(Rules!$A$5:$A$204&lt;&gt;"")*(1000-ROW(Rules!$A$5:$A$204)))),""))</f>
        <v/>
      </c>
    </row>
    <row r="1505" customFormat="false" ht="15" hidden="false" customHeight="false" outlineLevel="0" collapsed="false">
      <c r="A1505" s="23"/>
      <c r="B1505" s="24"/>
      <c r="C1505" s="25"/>
      <c r="D1505" s="24"/>
      <c r="E1505" s="21" t="str">
        <f aca="false">IF(OR(B1505="",N(N1505)=0,N1505=1000),IF(B1505="","","Check"),INDEX(Rules!$B:$B,N1505))</f>
        <v/>
      </c>
      <c r="F1505" s="21" t="str">
        <f aca="false">IF(OR(B1505="",N(N1505)=0,N1505=1000),"",INDEX(Rules!$C:$C,N1505))</f>
        <v/>
      </c>
      <c r="G1505" s="24"/>
      <c r="H1505" s="24"/>
      <c r="I1505" s="20" t="str">
        <f aca="false">IF(B1505="","",IF(G1505&lt;&gt;"",G1505,E1505))</f>
        <v/>
      </c>
      <c r="J1505" s="21" t="str">
        <f aca="false">IF(B1505="","",IF(H1505&lt;&gt;"",H1505,F1505))</f>
        <v/>
      </c>
      <c r="K1505" s="26" t="str">
        <f aca="false">IF(A1505="","",DATE(YEAR(A1505),MONTH(A1505),1))</f>
        <v/>
      </c>
      <c r="L1505" s="21" t="str">
        <f aca="false">IF(J1505="",IF(B1505="","",IF(N(C1505)&gt;=0,"Income","Expense")),IFERROR(INDEX(Lists!$B$2:$B$30,MATCH(J1505,Lists!$A$2:$A$30,0)),""))</f>
        <v/>
      </c>
      <c r="M1505" s="24"/>
      <c r="N1505" s="27" t="str">
        <f aca="false">IF(B1505="","",IFERROR(1000-SUMPRODUCT(MAX(ISNUMBER(SEARCH(Rules!$A$5:$A$204,B1505))*(Rules!$A$5:$A$204&lt;&gt;"")*(1000-ROW(Rules!$A$5:$A$204)))),""))</f>
        <v/>
      </c>
    </row>
    <row r="1506" customFormat="false" ht="15" hidden="false" customHeight="false" outlineLevel="0" collapsed="false">
      <c r="A1506" s="23"/>
      <c r="B1506" s="24"/>
      <c r="C1506" s="25"/>
      <c r="D1506" s="24"/>
      <c r="E1506" s="21" t="str">
        <f aca="false">IF(OR(B1506="",N(N1506)=0,N1506=1000),IF(B1506="","","Check"),INDEX(Rules!$B:$B,N1506))</f>
        <v/>
      </c>
      <c r="F1506" s="21" t="str">
        <f aca="false">IF(OR(B1506="",N(N1506)=0,N1506=1000),"",INDEX(Rules!$C:$C,N1506))</f>
        <v/>
      </c>
      <c r="G1506" s="24"/>
      <c r="H1506" s="24"/>
      <c r="I1506" s="20" t="str">
        <f aca="false">IF(B1506="","",IF(G1506&lt;&gt;"",G1506,E1506))</f>
        <v/>
      </c>
      <c r="J1506" s="21" t="str">
        <f aca="false">IF(B1506="","",IF(H1506&lt;&gt;"",H1506,F1506))</f>
        <v/>
      </c>
      <c r="K1506" s="26" t="str">
        <f aca="false">IF(A1506="","",DATE(YEAR(A1506),MONTH(A1506),1))</f>
        <v/>
      </c>
      <c r="L1506" s="21" t="str">
        <f aca="false">IF(J1506="",IF(B1506="","",IF(N(C1506)&gt;=0,"Income","Expense")),IFERROR(INDEX(Lists!$B$2:$B$30,MATCH(J1506,Lists!$A$2:$A$30,0)),""))</f>
        <v/>
      </c>
      <c r="M1506" s="24"/>
      <c r="N1506" s="27" t="str">
        <f aca="false">IF(B1506="","",IFERROR(1000-SUMPRODUCT(MAX(ISNUMBER(SEARCH(Rules!$A$5:$A$204,B1506))*(Rules!$A$5:$A$204&lt;&gt;"")*(1000-ROW(Rules!$A$5:$A$204)))),""))</f>
        <v/>
      </c>
    </row>
    <row r="1507" customFormat="false" ht="15" hidden="false" customHeight="false" outlineLevel="0" collapsed="false">
      <c r="A1507" s="23"/>
      <c r="B1507" s="24"/>
      <c r="C1507" s="25"/>
      <c r="D1507" s="24"/>
      <c r="E1507" s="21" t="str">
        <f aca="false">IF(OR(B1507="",N(N1507)=0,N1507=1000),IF(B1507="","","Check"),INDEX(Rules!$B:$B,N1507))</f>
        <v/>
      </c>
      <c r="F1507" s="21" t="str">
        <f aca="false">IF(OR(B1507="",N(N1507)=0,N1507=1000),"",INDEX(Rules!$C:$C,N1507))</f>
        <v/>
      </c>
      <c r="G1507" s="24"/>
      <c r="H1507" s="24"/>
      <c r="I1507" s="20" t="str">
        <f aca="false">IF(B1507="","",IF(G1507&lt;&gt;"",G1507,E1507))</f>
        <v/>
      </c>
      <c r="J1507" s="21" t="str">
        <f aca="false">IF(B1507="","",IF(H1507&lt;&gt;"",H1507,F1507))</f>
        <v/>
      </c>
      <c r="K1507" s="26" t="str">
        <f aca="false">IF(A1507="","",DATE(YEAR(A1507),MONTH(A1507),1))</f>
        <v/>
      </c>
      <c r="L1507" s="21" t="str">
        <f aca="false">IF(J1507="",IF(B1507="","",IF(N(C1507)&gt;=0,"Income","Expense")),IFERROR(INDEX(Lists!$B$2:$B$30,MATCH(J1507,Lists!$A$2:$A$30,0)),""))</f>
        <v/>
      </c>
      <c r="M1507" s="24"/>
      <c r="N1507" s="27" t="str">
        <f aca="false">IF(B1507="","",IFERROR(1000-SUMPRODUCT(MAX(ISNUMBER(SEARCH(Rules!$A$5:$A$204,B1507))*(Rules!$A$5:$A$204&lt;&gt;"")*(1000-ROW(Rules!$A$5:$A$204)))),""))</f>
        <v/>
      </c>
    </row>
    <row r="1508" customFormat="false" ht="15" hidden="false" customHeight="false" outlineLevel="0" collapsed="false">
      <c r="A1508" s="23"/>
      <c r="B1508" s="24"/>
      <c r="C1508" s="25"/>
      <c r="D1508" s="24"/>
      <c r="E1508" s="21" t="str">
        <f aca="false">IF(OR(B1508="",N(N1508)=0,N1508=1000),IF(B1508="","","Check"),INDEX(Rules!$B:$B,N1508))</f>
        <v/>
      </c>
      <c r="F1508" s="21" t="str">
        <f aca="false">IF(OR(B1508="",N(N1508)=0,N1508=1000),"",INDEX(Rules!$C:$C,N1508))</f>
        <v/>
      </c>
      <c r="G1508" s="24"/>
      <c r="H1508" s="24"/>
      <c r="I1508" s="20" t="str">
        <f aca="false">IF(B1508="","",IF(G1508&lt;&gt;"",G1508,E1508))</f>
        <v/>
      </c>
      <c r="J1508" s="21" t="str">
        <f aca="false">IF(B1508="","",IF(H1508&lt;&gt;"",H1508,F1508))</f>
        <v/>
      </c>
      <c r="K1508" s="26" t="str">
        <f aca="false">IF(A1508="","",DATE(YEAR(A1508),MONTH(A1508),1))</f>
        <v/>
      </c>
      <c r="L1508" s="21" t="str">
        <f aca="false">IF(J1508="",IF(B1508="","",IF(N(C1508)&gt;=0,"Income","Expense")),IFERROR(INDEX(Lists!$B$2:$B$30,MATCH(J1508,Lists!$A$2:$A$30,0)),""))</f>
        <v/>
      </c>
      <c r="M1508" s="24"/>
      <c r="N1508" s="27" t="str">
        <f aca="false">IF(B1508="","",IFERROR(1000-SUMPRODUCT(MAX(ISNUMBER(SEARCH(Rules!$A$5:$A$204,B1508))*(Rules!$A$5:$A$204&lt;&gt;"")*(1000-ROW(Rules!$A$5:$A$204)))),""))</f>
        <v/>
      </c>
    </row>
    <row r="1509" customFormat="false" ht="15" hidden="false" customHeight="false" outlineLevel="0" collapsed="false">
      <c r="A1509" s="23"/>
      <c r="B1509" s="24"/>
      <c r="C1509" s="25"/>
      <c r="D1509" s="24"/>
      <c r="E1509" s="21" t="str">
        <f aca="false">IF(OR(B1509="",N(N1509)=0,N1509=1000),IF(B1509="","","Check"),INDEX(Rules!$B:$B,N1509))</f>
        <v/>
      </c>
      <c r="F1509" s="21" t="str">
        <f aca="false">IF(OR(B1509="",N(N1509)=0,N1509=1000),"",INDEX(Rules!$C:$C,N1509))</f>
        <v/>
      </c>
      <c r="G1509" s="24"/>
      <c r="H1509" s="24"/>
      <c r="I1509" s="20" t="str">
        <f aca="false">IF(B1509="","",IF(G1509&lt;&gt;"",G1509,E1509))</f>
        <v/>
      </c>
      <c r="J1509" s="21" t="str">
        <f aca="false">IF(B1509="","",IF(H1509&lt;&gt;"",H1509,F1509))</f>
        <v/>
      </c>
      <c r="K1509" s="26" t="str">
        <f aca="false">IF(A1509="","",DATE(YEAR(A1509),MONTH(A1509),1))</f>
        <v/>
      </c>
      <c r="L1509" s="21" t="str">
        <f aca="false">IF(J1509="",IF(B1509="","",IF(N(C1509)&gt;=0,"Income","Expense")),IFERROR(INDEX(Lists!$B$2:$B$30,MATCH(J1509,Lists!$A$2:$A$30,0)),""))</f>
        <v/>
      </c>
      <c r="M1509" s="24"/>
      <c r="N1509" s="27" t="str">
        <f aca="false">IF(B1509="","",IFERROR(1000-SUMPRODUCT(MAX(ISNUMBER(SEARCH(Rules!$A$5:$A$204,B1509))*(Rules!$A$5:$A$204&lt;&gt;"")*(1000-ROW(Rules!$A$5:$A$204)))),""))</f>
        <v/>
      </c>
    </row>
    <row r="1510" customFormat="false" ht="15" hidden="false" customHeight="false" outlineLevel="0" collapsed="false">
      <c r="A1510" s="23"/>
      <c r="B1510" s="24"/>
      <c r="C1510" s="25"/>
      <c r="D1510" s="24"/>
      <c r="E1510" s="21" t="str">
        <f aca="false">IF(OR(B1510="",N(N1510)=0,N1510=1000),IF(B1510="","","Check"),INDEX(Rules!$B:$B,N1510))</f>
        <v/>
      </c>
      <c r="F1510" s="21" t="str">
        <f aca="false">IF(OR(B1510="",N(N1510)=0,N1510=1000),"",INDEX(Rules!$C:$C,N1510))</f>
        <v/>
      </c>
      <c r="G1510" s="24"/>
      <c r="H1510" s="24"/>
      <c r="I1510" s="20" t="str">
        <f aca="false">IF(B1510="","",IF(G1510&lt;&gt;"",G1510,E1510))</f>
        <v/>
      </c>
      <c r="J1510" s="21" t="str">
        <f aca="false">IF(B1510="","",IF(H1510&lt;&gt;"",H1510,F1510))</f>
        <v/>
      </c>
      <c r="K1510" s="26" t="str">
        <f aca="false">IF(A1510="","",DATE(YEAR(A1510),MONTH(A1510),1))</f>
        <v/>
      </c>
      <c r="L1510" s="21" t="str">
        <f aca="false">IF(J1510="",IF(B1510="","",IF(N(C1510)&gt;=0,"Income","Expense")),IFERROR(INDEX(Lists!$B$2:$B$30,MATCH(J1510,Lists!$A$2:$A$30,0)),""))</f>
        <v/>
      </c>
      <c r="M1510" s="24"/>
      <c r="N1510" s="27" t="str">
        <f aca="false">IF(B1510="","",IFERROR(1000-SUMPRODUCT(MAX(ISNUMBER(SEARCH(Rules!$A$5:$A$204,B1510))*(Rules!$A$5:$A$204&lt;&gt;"")*(1000-ROW(Rules!$A$5:$A$204)))),""))</f>
        <v/>
      </c>
    </row>
    <row r="1511" customFormat="false" ht="15" hidden="false" customHeight="false" outlineLevel="0" collapsed="false">
      <c r="A1511" s="23"/>
      <c r="B1511" s="24"/>
      <c r="C1511" s="25"/>
      <c r="D1511" s="24"/>
      <c r="E1511" s="21" t="str">
        <f aca="false">IF(OR(B1511="",N(N1511)=0,N1511=1000),IF(B1511="","","Check"),INDEX(Rules!$B:$B,N1511))</f>
        <v/>
      </c>
      <c r="F1511" s="21" t="str">
        <f aca="false">IF(OR(B1511="",N(N1511)=0,N1511=1000),"",INDEX(Rules!$C:$C,N1511))</f>
        <v/>
      </c>
      <c r="G1511" s="24"/>
      <c r="H1511" s="24"/>
      <c r="I1511" s="20" t="str">
        <f aca="false">IF(B1511="","",IF(G1511&lt;&gt;"",G1511,E1511))</f>
        <v/>
      </c>
      <c r="J1511" s="21" t="str">
        <f aca="false">IF(B1511="","",IF(H1511&lt;&gt;"",H1511,F1511))</f>
        <v/>
      </c>
      <c r="K1511" s="26" t="str">
        <f aca="false">IF(A1511="","",DATE(YEAR(A1511),MONTH(A1511),1))</f>
        <v/>
      </c>
      <c r="L1511" s="21" t="str">
        <f aca="false">IF(J1511="",IF(B1511="","",IF(N(C1511)&gt;=0,"Income","Expense")),IFERROR(INDEX(Lists!$B$2:$B$30,MATCH(J1511,Lists!$A$2:$A$30,0)),""))</f>
        <v/>
      </c>
      <c r="M1511" s="24"/>
      <c r="N1511" s="27" t="str">
        <f aca="false">IF(B1511="","",IFERROR(1000-SUMPRODUCT(MAX(ISNUMBER(SEARCH(Rules!$A$5:$A$204,B1511))*(Rules!$A$5:$A$204&lt;&gt;"")*(1000-ROW(Rules!$A$5:$A$204)))),""))</f>
        <v/>
      </c>
    </row>
    <row r="1512" customFormat="false" ht="15" hidden="false" customHeight="false" outlineLevel="0" collapsed="false">
      <c r="A1512" s="23"/>
      <c r="B1512" s="24"/>
      <c r="C1512" s="25"/>
      <c r="D1512" s="24"/>
      <c r="E1512" s="21" t="str">
        <f aca="false">IF(OR(B1512="",N(N1512)=0,N1512=1000),IF(B1512="","","Check"),INDEX(Rules!$B:$B,N1512))</f>
        <v/>
      </c>
      <c r="F1512" s="21" t="str">
        <f aca="false">IF(OR(B1512="",N(N1512)=0,N1512=1000),"",INDEX(Rules!$C:$C,N1512))</f>
        <v/>
      </c>
      <c r="G1512" s="24"/>
      <c r="H1512" s="24"/>
      <c r="I1512" s="20" t="str">
        <f aca="false">IF(B1512="","",IF(G1512&lt;&gt;"",G1512,E1512))</f>
        <v/>
      </c>
      <c r="J1512" s="21" t="str">
        <f aca="false">IF(B1512="","",IF(H1512&lt;&gt;"",H1512,F1512))</f>
        <v/>
      </c>
      <c r="K1512" s="26" t="str">
        <f aca="false">IF(A1512="","",DATE(YEAR(A1512),MONTH(A1512),1))</f>
        <v/>
      </c>
      <c r="L1512" s="21" t="str">
        <f aca="false">IF(J1512="",IF(B1512="","",IF(N(C1512)&gt;=0,"Income","Expense")),IFERROR(INDEX(Lists!$B$2:$B$30,MATCH(J1512,Lists!$A$2:$A$30,0)),""))</f>
        <v/>
      </c>
      <c r="M1512" s="24"/>
      <c r="N1512" s="27" t="str">
        <f aca="false">IF(B1512="","",IFERROR(1000-SUMPRODUCT(MAX(ISNUMBER(SEARCH(Rules!$A$5:$A$204,B1512))*(Rules!$A$5:$A$204&lt;&gt;"")*(1000-ROW(Rules!$A$5:$A$204)))),""))</f>
        <v/>
      </c>
    </row>
    <row r="1513" customFormat="false" ht="15" hidden="false" customHeight="false" outlineLevel="0" collapsed="false">
      <c r="A1513" s="23"/>
      <c r="B1513" s="24"/>
      <c r="C1513" s="25"/>
      <c r="D1513" s="24"/>
      <c r="E1513" s="21" t="str">
        <f aca="false">IF(OR(B1513="",N(N1513)=0,N1513=1000),IF(B1513="","","Check"),INDEX(Rules!$B:$B,N1513))</f>
        <v/>
      </c>
      <c r="F1513" s="21" t="str">
        <f aca="false">IF(OR(B1513="",N(N1513)=0,N1513=1000),"",INDEX(Rules!$C:$C,N1513))</f>
        <v/>
      </c>
      <c r="G1513" s="24"/>
      <c r="H1513" s="24"/>
      <c r="I1513" s="20" t="str">
        <f aca="false">IF(B1513="","",IF(G1513&lt;&gt;"",G1513,E1513))</f>
        <v/>
      </c>
      <c r="J1513" s="21" t="str">
        <f aca="false">IF(B1513="","",IF(H1513&lt;&gt;"",H1513,F1513))</f>
        <v/>
      </c>
      <c r="K1513" s="26" t="str">
        <f aca="false">IF(A1513="","",DATE(YEAR(A1513),MONTH(A1513),1))</f>
        <v/>
      </c>
      <c r="L1513" s="21" t="str">
        <f aca="false">IF(J1513="",IF(B1513="","",IF(N(C1513)&gt;=0,"Income","Expense")),IFERROR(INDEX(Lists!$B$2:$B$30,MATCH(J1513,Lists!$A$2:$A$30,0)),""))</f>
        <v/>
      </c>
      <c r="M1513" s="24"/>
      <c r="N1513" s="27" t="str">
        <f aca="false">IF(B1513="","",IFERROR(1000-SUMPRODUCT(MAX(ISNUMBER(SEARCH(Rules!$A$5:$A$204,B1513))*(Rules!$A$5:$A$204&lt;&gt;"")*(1000-ROW(Rules!$A$5:$A$204)))),""))</f>
        <v/>
      </c>
    </row>
    <row r="1514" customFormat="false" ht="15" hidden="false" customHeight="false" outlineLevel="0" collapsed="false">
      <c r="A1514" s="23"/>
      <c r="B1514" s="24"/>
      <c r="C1514" s="25"/>
      <c r="D1514" s="24"/>
      <c r="E1514" s="21" t="str">
        <f aca="false">IF(OR(B1514="",N(N1514)=0,N1514=1000),IF(B1514="","","Check"),INDEX(Rules!$B:$B,N1514))</f>
        <v/>
      </c>
      <c r="F1514" s="21" t="str">
        <f aca="false">IF(OR(B1514="",N(N1514)=0,N1514=1000),"",INDEX(Rules!$C:$C,N1514))</f>
        <v/>
      </c>
      <c r="G1514" s="24"/>
      <c r="H1514" s="24"/>
      <c r="I1514" s="20" t="str">
        <f aca="false">IF(B1514="","",IF(G1514&lt;&gt;"",G1514,E1514))</f>
        <v/>
      </c>
      <c r="J1514" s="21" t="str">
        <f aca="false">IF(B1514="","",IF(H1514&lt;&gt;"",H1514,F1514))</f>
        <v/>
      </c>
      <c r="K1514" s="26" t="str">
        <f aca="false">IF(A1514="","",DATE(YEAR(A1514),MONTH(A1514),1))</f>
        <v/>
      </c>
      <c r="L1514" s="21" t="str">
        <f aca="false">IF(J1514="",IF(B1514="","",IF(N(C1514)&gt;=0,"Income","Expense")),IFERROR(INDEX(Lists!$B$2:$B$30,MATCH(J1514,Lists!$A$2:$A$30,0)),""))</f>
        <v/>
      </c>
      <c r="M1514" s="24"/>
      <c r="N1514" s="27" t="str">
        <f aca="false">IF(B1514="","",IFERROR(1000-SUMPRODUCT(MAX(ISNUMBER(SEARCH(Rules!$A$5:$A$204,B1514))*(Rules!$A$5:$A$204&lt;&gt;"")*(1000-ROW(Rules!$A$5:$A$204)))),""))</f>
        <v/>
      </c>
    </row>
    <row r="1515" customFormat="false" ht="15" hidden="false" customHeight="false" outlineLevel="0" collapsed="false">
      <c r="A1515" s="23"/>
      <c r="B1515" s="24"/>
      <c r="C1515" s="25"/>
      <c r="D1515" s="24"/>
      <c r="E1515" s="21" t="str">
        <f aca="false">IF(OR(B1515="",N(N1515)=0,N1515=1000),IF(B1515="","","Check"),INDEX(Rules!$B:$B,N1515))</f>
        <v/>
      </c>
      <c r="F1515" s="21" t="str">
        <f aca="false">IF(OR(B1515="",N(N1515)=0,N1515=1000),"",INDEX(Rules!$C:$C,N1515))</f>
        <v/>
      </c>
      <c r="G1515" s="24"/>
      <c r="H1515" s="24"/>
      <c r="I1515" s="20" t="str">
        <f aca="false">IF(B1515="","",IF(G1515&lt;&gt;"",G1515,E1515))</f>
        <v/>
      </c>
      <c r="J1515" s="21" t="str">
        <f aca="false">IF(B1515="","",IF(H1515&lt;&gt;"",H1515,F1515))</f>
        <v/>
      </c>
      <c r="K1515" s="26" t="str">
        <f aca="false">IF(A1515="","",DATE(YEAR(A1515),MONTH(A1515),1))</f>
        <v/>
      </c>
      <c r="L1515" s="21" t="str">
        <f aca="false">IF(J1515="",IF(B1515="","",IF(N(C1515)&gt;=0,"Income","Expense")),IFERROR(INDEX(Lists!$B$2:$B$30,MATCH(J1515,Lists!$A$2:$A$30,0)),""))</f>
        <v/>
      </c>
      <c r="M1515" s="24"/>
      <c r="N1515" s="27" t="str">
        <f aca="false">IF(B1515="","",IFERROR(1000-SUMPRODUCT(MAX(ISNUMBER(SEARCH(Rules!$A$5:$A$204,B1515))*(Rules!$A$5:$A$204&lt;&gt;"")*(1000-ROW(Rules!$A$5:$A$204)))),""))</f>
        <v/>
      </c>
    </row>
    <row r="1516" customFormat="false" ht="15" hidden="false" customHeight="false" outlineLevel="0" collapsed="false">
      <c r="A1516" s="23"/>
      <c r="B1516" s="24"/>
      <c r="C1516" s="25"/>
      <c r="D1516" s="24"/>
      <c r="E1516" s="21" t="str">
        <f aca="false">IF(OR(B1516="",N(N1516)=0,N1516=1000),IF(B1516="","","Check"),INDEX(Rules!$B:$B,N1516))</f>
        <v/>
      </c>
      <c r="F1516" s="21" t="str">
        <f aca="false">IF(OR(B1516="",N(N1516)=0,N1516=1000),"",INDEX(Rules!$C:$C,N1516))</f>
        <v/>
      </c>
      <c r="G1516" s="24"/>
      <c r="H1516" s="24"/>
      <c r="I1516" s="20" t="str">
        <f aca="false">IF(B1516="","",IF(G1516&lt;&gt;"",G1516,E1516))</f>
        <v/>
      </c>
      <c r="J1516" s="21" t="str">
        <f aca="false">IF(B1516="","",IF(H1516&lt;&gt;"",H1516,F1516))</f>
        <v/>
      </c>
      <c r="K1516" s="26" t="str">
        <f aca="false">IF(A1516="","",DATE(YEAR(A1516),MONTH(A1516),1))</f>
        <v/>
      </c>
      <c r="L1516" s="21" t="str">
        <f aca="false">IF(J1516="",IF(B1516="","",IF(N(C1516)&gt;=0,"Income","Expense")),IFERROR(INDEX(Lists!$B$2:$B$30,MATCH(J1516,Lists!$A$2:$A$30,0)),""))</f>
        <v/>
      </c>
      <c r="M1516" s="24"/>
      <c r="N1516" s="27" t="str">
        <f aca="false">IF(B1516="","",IFERROR(1000-SUMPRODUCT(MAX(ISNUMBER(SEARCH(Rules!$A$5:$A$204,B1516))*(Rules!$A$5:$A$204&lt;&gt;"")*(1000-ROW(Rules!$A$5:$A$204)))),""))</f>
        <v/>
      </c>
    </row>
    <row r="1517" customFormat="false" ht="15" hidden="false" customHeight="false" outlineLevel="0" collapsed="false">
      <c r="A1517" s="23"/>
      <c r="B1517" s="24"/>
      <c r="C1517" s="25"/>
      <c r="D1517" s="24"/>
      <c r="E1517" s="21" t="str">
        <f aca="false">IF(OR(B1517="",N(N1517)=0,N1517=1000),IF(B1517="","","Check"),INDEX(Rules!$B:$B,N1517))</f>
        <v/>
      </c>
      <c r="F1517" s="21" t="str">
        <f aca="false">IF(OR(B1517="",N(N1517)=0,N1517=1000),"",INDEX(Rules!$C:$C,N1517))</f>
        <v/>
      </c>
      <c r="G1517" s="24"/>
      <c r="H1517" s="24"/>
      <c r="I1517" s="20" t="str">
        <f aca="false">IF(B1517="","",IF(G1517&lt;&gt;"",G1517,E1517))</f>
        <v/>
      </c>
      <c r="J1517" s="21" t="str">
        <f aca="false">IF(B1517="","",IF(H1517&lt;&gt;"",H1517,F1517))</f>
        <v/>
      </c>
      <c r="K1517" s="26" t="str">
        <f aca="false">IF(A1517="","",DATE(YEAR(A1517),MONTH(A1517),1))</f>
        <v/>
      </c>
      <c r="L1517" s="21" t="str">
        <f aca="false">IF(J1517="",IF(B1517="","",IF(N(C1517)&gt;=0,"Income","Expense")),IFERROR(INDEX(Lists!$B$2:$B$30,MATCH(J1517,Lists!$A$2:$A$30,0)),""))</f>
        <v/>
      </c>
      <c r="M1517" s="24"/>
      <c r="N1517" s="27" t="str">
        <f aca="false">IF(B1517="","",IFERROR(1000-SUMPRODUCT(MAX(ISNUMBER(SEARCH(Rules!$A$5:$A$204,B1517))*(Rules!$A$5:$A$204&lt;&gt;"")*(1000-ROW(Rules!$A$5:$A$204)))),""))</f>
        <v/>
      </c>
    </row>
    <row r="1518" customFormat="false" ht="15" hidden="false" customHeight="false" outlineLevel="0" collapsed="false">
      <c r="A1518" s="23"/>
      <c r="B1518" s="24"/>
      <c r="C1518" s="25"/>
      <c r="D1518" s="24"/>
      <c r="E1518" s="21" t="str">
        <f aca="false">IF(OR(B1518="",N(N1518)=0,N1518=1000),IF(B1518="","","Check"),INDEX(Rules!$B:$B,N1518))</f>
        <v/>
      </c>
      <c r="F1518" s="21" t="str">
        <f aca="false">IF(OR(B1518="",N(N1518)=0,N1518=1000),"",INDEX(Rules!$C:$C,N1518))</f>
        <v/>
      </c>
      <c r="G1518" s="24"/>
      <c r="H1518" s="24"/>
      <c r="I1518" s="20" t="str">
        <f aca="false">IF(B1518="","",IF(G1518&lt;&gt;"",G1518,E1518))</f>
        <v/>
      </c>
      <c r="J1518" s="21" t="str">
        <f aca="false">IF(B1518="","",IF(H1518&lt;&gt;"",H1518,F1518))</f>
        <v/>
      </c>
      <c r="K1518" s="26" t="str">
        <f aca="false">IF(A1518="","",DATE(YEAR(A1518),MONTH(A1518),1))</f>
        <v/>
      </c>
      <c r="L1518" s="21" t="str">
        <f aca="false">IF(J1518="",IF(B1518="","",IF(N(C1518)&gt;=0,"Income","Expense")),IFERROR(INDEX(Lists!$B$2:$B$30,MATCH(J1518,Lists!$A$2:$A$30,0)),""))</f>
        <v/>
      </c>
      <c r="M1518" s="24"/>
      <c r="N1518" s="27" t="str">
        <f aca="false">IF(B1518="","",IFERROR(1000-SUMPRODUCT(MAX(ISNUMBER(SEARCH(Rules!$A$5:$A$204,B1518))*(Rules!$A$5:$A$204&lt;&gt;"")*(1000-ROW(Rules!$A$5:$A$204)))),""))</f>
        <v/>
      </c>
    </row>
    <row r="1519" customFormat="false" ht="15" hidden="false" customHeight="false" outlineLevel="0" collapsed="false">
      <c r="A1519" s="23"/>
      <c r="B1519" s="24"/>
      <c r="C1519" s="25"/>
      <c r="D1519" s="24"/>
      <c r="E1519" s="21" t="str">
        <f aca="false">IF(OR(B1519="",N(N1519)=0,N1519=1000),IF(B1519="","","Check"),INDEX(Rules!$B:$B,N1519))</f>
        <v/>
      </c>
      <c r="F1519" s="21" t="str">
        <f aca="false">IF(OR(B1519="",N(N1519)=0,N1519=1000),"",INDEX(Rules!$C:$C,N1519))</f>
        <v/>
      </c>
      <c r="G1519" s="24"/>
      <c r="H1519" s="24"/>
      <c r="I1519" s="20" t="str">
        <f aca="false">IF(B1519="","",IF(G1519&lt;&gt;"",G1519,E1519))</f>
        <v/>
      </c>
      <c r="J1519" s="21" t="str">
        <f aca="false">IF(B1519="","",IF(H1519&lt;&gt;"",H1519,F1519))</f>
        <v/>
      </c>
      <c r="K1519" s="26" t="str">
        <f aca="false">IF(A1519="","",DATE(YEAR(A1519),MONTH(A1519),1))</f>
        <v/>
      </c>
      <c r="L1519" s="21" t="str">
        <f aca="false">IF(J1519="",IF(B1519="","",IF(N(C1519)&gt;=0,"Income","Expense")),IFERROR(INDEX(Lists!$B$2:$B$30,MATCH(J1519,Lists!$A$2:$A$30,0)),""))</f>
        <v/>
      </c>
      <c r="M1519" s="24"/>
      <c r="N1519" s="27" t="str">
        <f aca="false">IF(B1519="","",IFERROR(1000-SUMPRODUCT(MAX(ISNUMBER(SEARCH(Rules!$A$5:$A$204,B1519))*(Rules!$A$5:$A$204&lt;&gt;"")*(1000-ROW(Rules!$A$5:$A$204)))),""))</f>
        <v/>
      </c>
    </row>
    <row r="1520" customFormat="false" ht="15" hidden="false" customHeight="false" outlineLevel="0" collapsed="false">
      <c r="A1520" s="23"/>
      <c r="B1520" s="24"/>
      <c r="C1520" s="25"/>
      <c r="D1520" s="24"/>
      <c r="E1520" s="21" t="str">
        <f aca="false">IF(OR(B1520="",N(N1520)=0,N1520=1000),IF(B1520="","","Check"),INDEX(Rules!$B:$B,N1520))</f>
        <v/>
      </c>
      <c r="F1520" s="21" t="str">
        <f aca="false">IF(OR(B1520="",N(N1520)=0,N1520=1000),"",INDEX(Rules!$C:$C,N1520))</f>
        <v/>
      </c>
      <c r="G1520" s="24"/>
      <c r="H1520" s="24"/>
      <c r="I1520" s="20" t="str">
        <f aca="false">IF(B1520="","",IF(G1520&lt;&gt;"",G1520,E1520))</f>
        <v/>
      </c>
      <c r="J1520" s="21" t="str">
        <f aca="false">IF(B1520="","",IF(H1520&lt;&gt;"",H1520,F1520))</f>
        <v/>
      </c>
      <c r="K1520" s="26" t="str">
        <f aca="false">IF(A1520="","",DATE(YEAR(A1520),MONTH(A1520),1))</f>
        <v/>
      </c>
      <c r="L1520" s="21" t="str">
        <f aca="false">IF(J1520="",IF(B1520="","",IF(N(C1520)&gt;=0,"Income","Expense")),IFERROR(INDEX(Lists!$B$2:$B$30,MATCH(J1520,Lists!$A$2:$A$30,0)),""))</f>
        <v/>
      </c>
      <c r="M1520" s="24"/>
      <c r="N1520" s="27" t="str">
        <f aca="false">IF(B1520="","",IFERROR(1000-SUMPRODUCT(MAX(ISNUMBER(SEARCH(Rules!$A$5:$A$204,B1520))*(Rules!$A$5:$A$204&lt;&gt;"")*(1000-ROW(Rules!$A$5:$A$204)))),""))</f>
        <v/>
      </c>
    </row>
    <row r="1521" customFormat="false" ht="15" hidden="false" customHeight="false" outlineLevel="0" collapsed="false">
      <c r="A1521" s="23"/>
      <c r="B1521" s="24"/>
      <c r="C1521" s="25"/>
      <c r="D1521" s="24"/>
      <c r="E1521" s="21" t="str">
        <f aca="false">IF(OR(B1521="",N(N1521)=0,N1521=1000),IF(B1521="","","Check"),INDEX(Rules!$B:$B,N1521))</f>
        <v/>
      </c>
      <c r="F1521" s="21" t="str">
        <f aca="false">IF(OR(B1521="",N(N1521)=0,N1521=1000),"",INDEX(Rules!$C:$C,N1521))</f>
        <v/>
      </c>
      <c r="G1521" s="24"/>
      <c r="H1521" s="24"/>
      <c r="I1521" s="20" t="str">
        <f aca="false">IF(B1521="","",IF(G1521&lt;&gt;"",G1521,E1521))</f>
        <v/>
      </c>
      <c r="J1521" s="21" t="str">
        <f aca="false">IF(B1521="","",IF(H1521&lt;&gt;"",H1521,F1521))</f>
        <v/>
      </c>
      <c r="K1521" s="26" t="str">
        <f aca="false">IF(A1521="","",DATE(YEAR(A1521),MONTH(A1521),1))</f>
        <v/>
      </c>
      <c r="L1521" s="21" t="str">
        <f aca="false">IF(J1521="",IF(B1521="","",IF(N(C1521)&gt;=0,"Income","Expense")),IFERROR(INDEX(Lists!$B$2:$B$30,MATCH(J1521,Lists!$A$2:$A$30,0)),""))</f>
        <v/>
      </c>
      <c r="M1521" s="24"/>
      <c r="N1521" s="27" t="str">
        <f aca="false">IF(B1521="","",IFERROR(1000-SUMPRODUCT(MAX(ISNUMBER(SEARCH(Rules!$A$5:$A$204,B1521))*(Rules!$A$5:$A$204&lt;&gt;"")*(1000-ROW(Rules!$A$5:$A$204)))),""))</f>
        <v/>
      </c>
    </row>
    <row r="1522" customFormat="false" ht="15" hidden="false" customHeight="false" outlineLevel="0" collapsed="false">
      <c r="A1522" s="23"/>
      <c r="B1522" s="24"/>
      <c r="C1522" s="25"/>
      <c r="D1522" s="24"/>
      <c r="E1522" s="21" t="str">
        <f aca="false">IF(OR(B1522="",N(N1522)=0,N1522=1000),IF(B1522="","","Check"),INDEX(Rules!$B:$B,N1522))</f>
        <v/>
      </c>
      <c r="F1522" s="21" t="str">
        <f aca="false">IF(OR(B1522="",N(N1522)=0,N1522=1000),"",INDEX(Rules!$C:$C,N1522))</f>
        <v/>
      </c>
      <c r="G1522" s="24"/>
      <c r="H1522" s="24"/>
      <c r="I1522" s="20" t="str">
        <f aca="false">IF(B1522="","",IF(G1522&lt;&gt;"",G1522,E1522))</f>
        <v/>
      </c>
      <c r="J1522" s="21" t="str">
        <f aca="false">IF(B1522="","",IF(H1522&lt;&gt;"",H1522,F1522))</f>
        <v/>
      </c>
      <c r="K1522" s="26" t="str">
        <f aca="false">IF(A1522="","",DATE(YEAR(A1522),MONTH(A1522),1))</f>
        <v/>
      </c>
      <c r="L1522" s="21" t="str">
        <f aca="false">IF(J1522="",IF(B1522="","",IF(N(C1522)&gt;=0,"Income","Expense")),IFERROR(INDEX(Lists!$B$2:$B$30,MATCH(J1522,Lists!$A$2:$A$30,0)),""))</f>
        <v/>
      </c>
      <c r="M1522" s="24"/>
      <c r="N1522" s="27" t="str">
        <f aca="false">IF(B1522="","",IFERROR(1000-SUMPRODUCT(MAX(ISNUMBER(SEARCH(Rules!$A$5:$A$204,B1522))*(Rules!$A$5:$A$204&lt;&gt;"")*(1000-ROW(Rules!$A$5:$A$204)))),""))</f>
        <v/>
      </c>
    </row>
    <row r="1523" customFormat="false" ht="15" hidden="false" customHeight="false" outlineLevel="0" collapsed="false">
      <c r="A1523" s="23"/>
      <c r="B1523" s="24"/>
      <c r="C1523" s="25"/>
      <c r="D1523" s="24"/>
      <c r="E1523" s="21" t="str">
        <f aca="false">IF(OR(B1523="",N(N1523)=0,N1523=1000),IF(B1523="","","Check"),INDEX(Rules!$B:$B,N1523))</f>
        <v/>
      </c>
      <c r="F1523" s="21" t="str">
        <f aca="false">IF(OR(B1523="",N(N1523)=0,N1523=1000),"",INDEX(Rules!$C:$C,N1523))</f>
        <v/>
      </c>
      <c r="G1523" s="24"/>
      <c r="H1523" s="24"/>
      <c r="I1523" s="20" t="str">
        <f aca="false">IF(B1523="","",IF(G1523&lt;&gt;"",G1523,E1523))</f>
        <v/>
      </c>
      <c r="J1523" s="21" t="str">
        <f aca="false">IF(B1523="","",IF(H1523&lt;&gt;"",H1523,F1523))</f>
        <v/>
      </c>
      <c r="K1523" s="26" t="str">
        <f aca="false">IF(A1523="","",DATE(YEAR(A1523),MONTH(A1523),1))</f>
        <v/>
      </c>
      <c r="L1523" s="21" t="str">
        <f aca="false">IF(J1523="",IF(B1523="","",IF(N(C1523)&gt;=0,"Income","Expense")),IFERROR(INDEX(Lists!$B$2:$B$30,MATCH(J1523,Lists!$A$2:$A$30,0)),""))</f>
        <v/>
      </c>
      <c r="M1523" s="24"/>
      <c r="N1523" s="27" t="str">
        <f aca="false">IF(B1523="","",IFERROR(1000-SUMPRODUCT(MAX(ISNUMBER(SEARCH(Rules!$A$5:$A$204,B1523))*(Rules!$A$5:$A$204&lt;&gt;"")*(1000-ROW(Rules!$A$5:$A$204)))),""))</f>
        <v/>
      </c>
    </row>
    <row r="1524" customFormat="false" ht="15" hidden="false" customHeight="false" outlineLevel="0" collapsed="false">
      <c r="A1524" s="23"/>
      <c r="B1524" s="24"/>
      <c r="C1524" s="25"/>
      <c r="D1524" s="24"/>
      <c r="E1524" s="21" t="str">
        <f aca="false">IF(OR(B1524="",N(N1524)=0,N1524=1000),IF(B1524="","","Check"),INDEX(Rules!$B:$B,N1524))</f>
        <v/>
      </c>
      <c r="F1524" s="21" t="str">
        <f aca="false">IF(OR(B1524="",N(N1524)=0,N1524=1000),"",INDEX(Rules!$C:$C,N1524))</f>
        <v/>
      </c>
      <c r="G1524" s="24"/>
      <c r="H1524" s="24"/>
      <c r="I1524" s="20" t="str">
        <f aca="false">IF(B1524="","",IF(G1524&lt;&gt;"",G1524,E1524))</f>
        <v/>
      </c>
      <c r="J1524" s="21" t="str">
        <f aca="false">IF(B1524="","",IF(H1524&lt;&gt;"",H1524,F1524))</f>
        <v/>
      </c>
      <c r="K1524" s="26" t="str">
        <f aca="false">IF(A1524="","",DATE(YEAR(A1524),MONTH(A1524),1))</f>
        <v/>
      </c>
      <c r="L1524" s="21" t="str">
        <f aca="false">IF(J1524="",IF(B1524="","",IF(N(C1524)&gt;=0,"Income","Expense")),IFERROR(INDEX(Lists!$B$2:$B$30,MATCH(J1524,Lists!$A$2:$A$30,0)),""))</f>
        <v/>
      </c>
      <c r="M1524" s="24"/>
      <c r="N1524" s="27" t="str">
        <f aca="false">IF(B1524="","",IFERROR(1000-SUMPRODUCT(MAX(ISNUMBER(SEARCH(Rules!$A$5:$A$204,B1524))*(Rules!$A$5:$A$204&lt;&gt;"")*(1000-ROW(Rules!$A$5:$A$204)))),""))</f>
        <v/>
      </c>
    </row>
    <row r="1525" customFormat="false" ht="15" hidden="false" customHeight="false" outlineLevel="0" collapsed="false">
      <c r="A1525" s="23"/>
      <c r="B1525" s="24"/>
      <c r="C1525" s="25"/>
      <c r="D1525" s="24"/>
      <c r="E1525" s="21" t="str">
        <f aca="false">IF(OR(B1525="",N(N1525)=0,N1525=1000),IF(B1525="","","Check"),INDEX(Rules!$B:$B,N1525))</f>
        <v/>
      </c>
      <c r="F1525" s="21" t="str">
        <f aca="false">IF(OR(B1525="",N(N1525)=0,N1525=1000),"",INDEX(Rules!$C:$C,N1525))</f>
        <v/>
      </c>
      <c r="G1525" s="24"/>
      <c r="H1525" s="24"/>
      <c r="I1525" s="20" t="str">
        <f aca="false">IF(B1525="","",IF(G1525&lt;&gt;"",G1525,E1525))</f>
        <v/>
      </c>
      <c r="J1525" s="21" t="str">
        <f aca="false">IF(B1525="","",IF(H1525&lt;&gt;"",H1525,F1525))</f>
        <v/>
      </c>
      <c r="K1525" s="26" t="str">
        <f aca="false">IF(A1525="","",DATE(YEAR(A1525),MONTH(A1525),1))</f>
        <v/>
      </c>
      <c r="L1525" s="21" t="str">
        <f aca="false">IF(J1525="",IF(B1525="","",IF(N(C1525)&gt;=0,"Income","Expense")),IFERROR(INDEX(Lists!$B$2:$B$30,MATCH(J1525,Lists!$A$2:$A$30,0)),""))</f>
        <v/>
      </c>
      <c r="M1525" s="24"/>
      <c r="N1525" s="27" t="str">
        <f aca="false">IF(B1525="","",IFERROR(1000-SUMPRODUCT(MAX(ISNUMBER(SEARCH(Rules!$A$5:$A$204,B1525))*(Rules!$A$5:$A$204&lt;&gt;"")*(1000-ROW(Rules!$A$5:$A$204)))),""))</f>
        <v/>
      </c>
    </row>
    <row r="1526" customFormat="false" ht="15" hidden="false" customHeight="false" outlineLevel="0" collapsed="false">
      <c r="A1526" s="23"/>
      <c r="B1526" s="24"/>
      <c r="C1526" s="25"/>
      <c r="D1526" s="24"/>
      <c r="E1526" s="21" t="str">
        <f aca="false">IF(OR(B1526="",N(N1526)=0,N1526=1000),IF(B1526="","","Check"),INDEX(Rules!$B:$B,N1526))</f>
        <v/>
      </c>
      <c r="F1526" s="21" t="str">
        <f aca="false">IF(OR(B1526="",N(N1526)=0,N1526=1000),"",INDEX(Rules!$C:$C,N1526))</f>
        <v/>
      </c>
      <c r="G1526" s="24"/>
      <c r="H1526" s="24"/>
      <c r="I1526" s="20" t="str">
        <f aca="false">IF(B1526="","",IF(G1526&lt;&gt;"",G1526,E1526))</f>
        <v/>
      </c>
      <c r="J1526" s="21" t="str">
        <f aca="false">IF(B1526="","",IF(H1526&lt;&gt;"",H1526,F1526))</f>
        <v/>
      </c>
      <c r="K1526" s="26" t="str">
        <f aca="false">IF(A1526="","",DATE(YEAR(A1526),MONTH(A1526),1))</f>
        <v/>
      </c>
      <c r="L1526" s="21" t="str">
        <f aca="false">IF(J1526="",IF(B1526="","",IF(N(C1526)&gt;=0,"Income","Expense")),IFERROR(INDEX(Lists!$B$2:$B$30,MATCH(J1526,Lists!$A$2:$A$30,0)),""))</f>
        <v/>
      </c>
      <c r="M1526" s="24"/>
      <c r="N1526" s="27" t="str">
        <f aca="false">IF(B1526="","",IFERROR(1000-SUMPRODUCT(MAX(ISNUMBER(SEARCH(Rules!$A$5:$A$204,B1526))*(Rules!$A$5:$A$204&lt;&gt;"")*(1000-ROW(Rules!$A$5:$A$204)))),""))</f>
        <v/>
      </c>
    </row>
    <row r="1527" customFormat="false" ht="15" hidden="false" customHeight="false" outlineLevel="0" collapsed="false">
      <c r="A1527" s="23"/>
      <c r="B1527" s="24"/>
      <c r="C1527" s="25"/>
      <c r="D1527" s="24"/>
      <c r="E1527" s="21" t="str">
        <f aca="false">IF(OR(B1527="",N(N1527)=0,N1527=1000),IF(B1527="","","Check"),INDEX(Rules!$B:$B,N1527))</f>
        <v/>
      </c>
      <c r="F1527" s="21" t="str">
        <f aca="false">IF(OR(B1527="",N(N1527)=0,N1527=1000),"",INDEX(Rules!$C:$C,N1527))</f>
        <v/>
      </c>
      <c r="G1527" s="24"/>
      <c r="H1527" s="24"/>
      <c r="I1527" s="20" t="str">
        <f aca="false">IF(B1527="","",IF(G1527&lt;&gt;"",G1527,E1527))</f>
        <v/>
      </c>
      <c r="J1527" s="21" t="str">
        <f aca="false">IF(B1527="","",IF(H1527&lt;&gt;"",H1527,F1527))</f>
        <v/>
      </c>
      <c r="K1527" s="26" t="str">
        <f aca="false">IF(A1527="","",DATE(YEAR(A1527),MONTH(A1527),1))</f>
        <v/>
      </c>
      <c r="L1527" s="21" t="str">
        <f aca="false">IF(J1527="",IF(B1527="","",IF(N(C1527)&gt;=0,"Income","Expense")),IFERROR(INDEX(Lists!$B$2:$B$30,MATCH(J1527,Lists!$A$2:$A$30,0)),""))</f>
        <v/>
      </c>
      <c r="M1527" s="24"/>
      <c r="N1527" s="27" t="str">
        <f aca="false">IF(B1527="","",IFERROR(1000-SUMPRODUCT(MAX(ISNUMBER(SEARCH(Rules!$A$5:$A$204,B1527))*(Rules!$A$5:$A$204&lt;&gt;"")*(1000-ROW(Rules!$A$5:$A$204)))),""))</f>
        <v/>
      </c>
    </row>
    <row r="1528" customFormat="false" ht="15" hidden="false" customHeight="false" outlineLevel="0" collapsed="false">
      <c r="A1528" s="23"/>
      <c r="B1528" s="24"/>
      <c r="C1528" s="25"/>
      <c r="D1528" s="24"/>
      <c r="E1528" s="21" t="str">
        <f aca="false">IF(OR(B1528="",N(N1528)=0,N1528=1000),IF(B1528="","","Check"),INDEX(Rules!$B:$B,N1528))</f>
        <v/>
      </c>
      <c r="F1528" s="21" t="str">
        <f aca="false">IF(OR(B1528="",N(N1528)=0,N1528=1000),"",INDEX(Rules!$C:$C,N1528))</f>
        <v/>
      </c>
      <c r="G1528" s="24"/>
      <c r="H1528" s="24"/>
      <c r="I1528" s="20" t="str">
        <f aca="false">IF(B1528="","",IF(G1528&lt;&gt;"",G1528,E1528))</f>
        <v/>
      </c>
      <c r="J1528" s="21" t="str">
        <f aca="false">IF(B1528="","",IF(H1528&lt;&gt;"",H1528,F1528))</f>
        <v/>
      </c>
      <c r="K1528" s="26" t="str">
        <f aca="false">IF(A1528="","",DATE(YEAR(A1528),MONTH(A1528),1))</f>
        <v/>
      </c>
      <c r="L1528" s="21" t="str">
        <f aca="false">IF(J1528="",IF(B1528="","",IF(N(C1528)&gt;=0,"Income","Expense")),IFERROR(INDEX(Lists!$B$2:$B$30,MATCH(J1528,Lists!$A$2:$A$30,0)),""))</f>
        <v/>
      </c>
      <c r="M1528" s="24"/>
      <c r="N1528" s="27" t="str">
        <f aca="false">IF(B1528="","",IFERROR(1000-SUMPRODUCT(MAX(ISNUMBER(SEARCH(Rules!$A$5:$A$204,B1528))*(Rules!$A$5:$A$204&lt;&gt;"")*(1000-ROW(Rules!$A$5:$A$204)))),""))</f>
        <v/>
      </c>
    </row>
    <row r="1529" customFormat="false" ht="15" hidden="false" customHeight="false" outlineLevel="0" collapsed="false">
      <c r="A1529" s="23"/>
      <c r="B1529" s="24"/>
      <c r="C1529" s="25"/>
      <c r="D1529" s="24"/>
      <c r="E1529" s="21" t="str">
        <f aca="false">IF(OR(B1529="",N(N1529)=0,N1529=1000),IF(B1529="","","Check"),INDEX(Rules!$B:$B,N1529))</f>
        <v/>
      </c>
      <c r="F1529" s="21" t="str">
        <f aca="false">IF(OR(B1529="",N(N1529)=0,N1529=1000),"",INDEX(Rules!$C:$C,N1529))</f>
        <v/>
      </c>
      <c r="G1529" s="24"/>
      <c r="H1529" s="24"/>
      <c r="I1529" s="20" t="str">
        <f aca="false">IF(B1529="","",IF(G1529&lt;&gt;"",G1529,E1529))</f>
        <v/>
      </c>
      <c r="J1529" s="21" t="str">
        <f aca="false">IF(B1529="","",IF(H1529&lt;&gt;"",H1529,F1529))</f>
        <v/>
      </c>
      <c r="K1529" s="26" t="str">
        <f aca="false">IF(A1529="","",DATE(YEAR(A1529),MONTH(A1529),1))</f>
        <v/>
      </c>
      <c r="L1529" s="21" t="str">
        <f aca="false">IF(J1529="",IF(B1529="","",IF(N(C1529)&gt;=0,"Income","Expense")),IFERROR(INDEX(Lists!$B$2:$B$30,MATCH(J1529,Lists!$A$2:$A$30,0)),""))</f>
        <v/>
      </c>
      <c r="M1529" s="24"/>
      <c r="N1529" s="27" t="str">
        <f aca="false">IF(B1529="","",IFERROR(1000-SUMPRODUCT(MAX(ISNUMBER(SEARCH(Rules!$A$5:$A$204,B1529))*(Rules!$A$5:$A$204&lt;&gt;"")*(1000-ROW(Rules!$A$5:$A$204)))),""))</f>
        <v/>
      </c>
    </row>
    <row r="1530" customFormat="false" ht="15" hidden="false" customHeight="false" outlineLevel="0" collapsed="false">
      <c r="A1530" s="23"/>
      <c r="B1530" s="24"/>
      <c r="C1530" s="25"/>
      <c r="D1530" s="24"/>
      <c r="E1530" s="21" t="str">
        <f aca="false">IF(OR(B1530="",N(N1530)=0,N1530=1000),IF(B1530="","","Check"),INDEX(Rules!$B:$B,N1530))</f>
        <v/>
      </c>
      <c r="F1530" s="21" t="str">
        <f aca="false">IF(OR(B1530="",N(N1530)=0,N1530=1000),"",INDEX(Rules!$C:$C,N1530))</f>
        <v/>
      </c>
      <c r="G1530" s="24"/>
      <c r="H1530" s="24"/>
      <c r="I1530" s="20" t="str">
        <f aca="false">IF(B1530="","",IF(G1530&lt;&gt;"",G1530,E1530))</f>
        <v/>
      </c>
      <c r="J1530" s="21" t="str">
        <f aca="false">IF(B1530="","",IF(H1530&lt;&gt;"",H1530,F1530))</f>
        <v/>
      </c>
      <c r="K1530" s="26" t="str">
        <f aca="false">IF(A1530="","",DATE(YEAR(A1530),MONTH(A1530),1))</f>
        <v/>
      </c>
      <c r="L1530" s="21" t="str">
        <f aca="false">IF(J1530="",IF(B1530="","",IF(N(C1530)&gt;=0,"Income","Expense")),IFERROR(INDEX(Lists!$B$2:$B$30,MATCH(J1530,Lists!$A$2:$A$30,0)),""))</f>
        <v/>
      </c>
      <c r="M1530" s="24"/>
      <c r="N1530" s="27" t="str">
        <f aca="false">IF(B1530="","",IFERROR(1000-SUMPRODUCT(MAX(ISNUMBER(SEARCH(Rules!$A$5:$A$204,B1530))*(Rules!$A$5:$A$204&lt;&gt;"")*(1000-ROW(Rules!$A$5:$A$204)))),""))</f>
        <v/>
      </c>
    </row>
    <row r="1531" customFormat="false" ht="15" hidden="false" customHeight="false" outlineLevel="0" collapsed="false">
      <c r="A1531" s="23"/>
      <c r="B1531" s="24"/>
      <c r="C1531" s="25"/>
      <c r="D1531" s="24"/>
      <c r="E1531" s="21" t="str">
        <f aca="false">IF(OR(B1531="",N(N1531)=0,N1531=1000),IF(B1531="","","Check"),INDEX(Rules!$B:$B,N1531))</f>
        <v/>
      </c>
      <c r="F1531" s="21" t="str">
        <f aca="false">IF(OR(B1531="",N(N1531)=0,N1531=1000),"",INDEX(Rules!$C:$C,N1531))</f>
        <v/>
      </c>
      <c r="G1531" s="24"/>
      <c r="H1531" s="24"/>
      <c r="I1531" s="20" t="str">
        <f aca="false">IF(B1531="","",IF(G1531&lt;&gt;"",G1531,E1531))</f>
        <v/>
      </c>
      <c r="J1531" s="21" t="str">
        <f aca="false">IF(B1531="","",IF(H1531&lt;&gt;"",H1531,F1531))</f>
        <v/>
      </c>
      <c r="K1531" s="26" t="str">
        <f aca="false">IF(A1531="","",DATE(YEAR(A1531),MONTH(A1531),1))</f>
        <v/>
      </c>
      <c r="L1531" s="21" t="str">
        <f aca="false">IF(J1531="",IF(B1531="","",IF(N(C1531)&gt;=0,"Income","Expense")),IFERROR(INDEX(Lists!$B$2:$B$30,MATCH(J1531,Lists!$A$2:$A$30,0)),""))</f>
        <v/>
      </c>
      <c r="M1531" s="24"/>
      <c r="N1531" s="27" t="str">
        <f aca="false">IF(B1531="","",IFERROR(1000-SUMPRODUCT(MAX(ISNUMBER(SEARCH(Rules!$A$5:$A$204,B1531))*(Rules!$A$5:$A$204&lt;&gt;"")*(1000-ROW(Rules!$A$5:$A$204)))),""))</f>
        <v/>
      </c>
    </row>
    <row r="1532" customFormat="false" ht="15" hidden="false" customHeight="false" outlineLevel="0" collapsed="false">
      <c r="A1532" s="23"/>
      <c r="B1532" s="24"/>
      <c r="C1532" s="25"/>
      <c r="D1532" s="24"/>
      <c r="E1532" s="21" t="str">
        <f aca="false">IF(OR(B1532="",N(N1532)=0,N1532=1000),IF(B1532="","","Check"),INDEX(Rules!$B:$B,N1532))</f>
        <v/>
      </c>
      <c r="F1532" s="21" t="str">
        <f aca="false">IF(OR(B1532="",N(N1532)=0,N1532=1000),"",INDEX(Rules!$C:$C,N1532))</f>
        <v/>
      </c>
      <c r="G1532" s="24"/>
      <c r="H1532" s="24"/>
      <c r="I1532" s="20" t="str">
        <f aca="false">IF(B1532="","",IF(G1532&lt;&gt;"",G1532,E1532))</f>
        <v/>
      </c>
      <c r="J1532" s="21" t="str">
        <f aca="false">IF(B1532="","",IF(H1532&lt;&gt;"",H1532,F1532))</f>
        <v/>
      </c>
      <c r="K1532" s="26" t="str">
        <f aca="false">IF(A1532="","",DATE(YEAR(A1532),MONTH(A1532),1))</f>
        <v/>
      </c>
      <c r="L1532" s="21" t="str">
        <f aca="false">IF(J1532="",IF(B1532="","",IF(N(C1532)&gt;=0,"Income","Expense")),IFERROR(INDEX(Lists!$B$2:$B$30,MATCH(J1532,Lists!$A$2:$A$30,0)),""))</f>
        <v/>
      </c>
      <c r="M1532" s="24"/>
      <c r="N1532" s="27" t="str">
        <f aca="false">IF(B1532="","",IFERROR(1000-SUMPRODUCT(MAX(ISNUMBER(SEARCH(Rules!$A$5:$A$204,B1532))*(Rules!$A$5:$A$204&lt;&gt;"")*(1000-ROW(Rules!$A$5:$A$204)))),""))</f>
        <v/>
      </c>
    </row>
    <row r="1533" customFormat="false" ht="15" hidden="false" customHeight="false" outlineLevel="0" collapsed="false">
      <c r="A1533" s="23"/>
      <c r="B1533" s="24"/>
      <c r="C1533" s="25"/>
      <c r="D1533" s="24"/>
      <c r="E1533" s="21" t="str">
        <f aca="false">IF(OR(B1533="",N(N1533)=0,N1533=1000),IF(B1533="","","Check"),INDEX(Rules!$B:$B,N1533))</f>
        <v/>
      </c>
      <c r="F1533" s="21" t="str">
        <f aca="false">IF(OR(B1533="",N(N1533)=0,N1533=1000),"",INDEX(Rules!$C:$C,N1533))</f>
        <v/>
      </c>
      <c r="G1533" s="24"/>
      <c r="H1533" s="24"/>
      <c r="I1533" s="20" t="str">
        <f aca="false">IF(B1533="","",IF(G1533&lt;&gt;"",G1533,E1533))</f>
        <v/>
      </c>
      <c r="J1533" s="21" t="str">
        <f aca="false">IF(B1533="","",IF(H1533&lt;&gt;"",H1533,F1533))</f>
        <v/>
      </c>
      <c r="K1533" s="26" t="str">
        <f aca="false">IF(A1533="","",DATE(YEAR(A1533),MONTH(A1533),1))</f>
        <v/>
      </c>
      <c r="L1533" s="21" t="str">
        <f aca="false">IF(J1533="",IF(B1533="","",IF(N(C1533)&gt;=0,"Income","Expense")),IFERROR(INDEX(Lists!$B$2:$B$30,MATCH(J1533,Lists!$A$2:$A$30,0)),""))</f>
        <v/>
      </c>
      <c r="M1533" s="24"/>
      <c r="N1533" s="27" t="str">
        <f aca="false">IF(B1533="","",IFERROR(1000-SUMPRODUCT(MAX(ISNUMBER(SEARCH(Rules!$A$5:$A$204,B1533))*(Rules!$A$5:$A$204&lt;&gt;"")*(1000-ROW(Rules!$A$5:$A$204)))),""))</f>
        <v/>
      </c>
    </row>
    <row r="1534" customFormat="false" ht="15" hidden="false" customHeight="false" outlineLevel="0" collapsed="false">
      <c r="A1534" s="23"/>
      <c r="B1534" s="24"/>
      <c r="C1534" s="25"/>
      <c r="D1534" s="24"/>
      <c r="E1534" s="21" t="str">
        <f aca="false">IF(OR(B1534="",N(N1534)=0,N1534=1000),IF(B1534="","","Check"),INDEX(Rules!$B:$B,N1534))</f>
        <v/>
      </c>
      <c r="F1534" s="21" t="str">
        <f aca="false">IF(OR(B1534="",N(N1534)=0,N1534=1000),"",INDEX(Rules!$C:$C,N1534))</f>
        <v/>
      </c>
      <c r="G1534" s="24"/>
      <c r="H1534" s="24"/>
      <c r="I1534" s="20" t="str">
        <f aca="false">IF(B1534="","",IF(G1534&lt;&gt;"",G1534,E1534))</f>
        <v/>
      </c>
      <c r="J1534" s="21" t="str">
        <f aca="false">IF(B1534="","",IF(H1534&lt;&gt;"",H1534,F1534))</f>
        <v/>
      </c>
      <c r="K1534" s="26" t="str">
        <f aca="false">IF(A1534="","",DATE(YEAR(A1534),MONTH(A1534),1))</f>
        <v/>
      </c>
      <c r="L1534" s="21" t="str">
        <f aca="false">IF(J1534="",IF(B1534="","",IF(N(C1534)&gt;=0,"Income","Expense")),IFERROR(INDEX(Lists!$B$2:$B$30,MATCH(J1534,Lists!$A$2:$A$30,0)),""))</f>
        <v/>
      </c>
      <c r="M1534" s="24"/>
      <c r="N1534" s="27" t="str">
        <f aca="false">IF(B1534="","",IFERROR(1000-SUMPRODUCT(MAX(ISNUMBER(SEARCH(Rules!$A$5:$A$204,B1534))*(Rules!$A$5:$A$204&lt;&gt;"")*(1000-ROW(Rules!$A$5:$A$204)))),""))</f>
        <v/>
      </c>
    </row>
    <row r="1535" customFormat="false" ht="15" hidden="false" customHeight="false" outlineLevel="0" collapsed="false">
      <c r="A1535" s="23"/>
      <c r="B1535" s="24"/>
      <c r="C1535" s="25"/>
      <c r="D1535" s="24"/>
      <c r="E1535" s="21" t="str">
        <f aca="false">IF(OR(B1535="",N(N1535)=0,N1535=1000),IF(B1535="","","Check"),INDEX(Rules!$B:$B,N1535))</f>
        <v/>
      </c>
      <c r="F1535" s="21" t="str">
        <f aca="false">IF(OR(B1535="",N(N1535)=0,N1535=1000),"",INDEX(Rules!$C:$C,N1535))</f>
        <v/>
      </c>
      <c r="G1535" s="24"/>
      <c r="H1535" s="24"/>
      <c r="I1535" s="20" t="str">
        <f aca="false">IF(B1535="","",IF(G1535&lt;&gt;"",G1535,E1535))</f>
        <v/>
      </c>
      <c r="J1535" s="21" t="str">
        <f aca="false">IF(B1535="","",IF(H1535&lt;&gt;"",H1535,F1535))</f>
        <v/>
      </c>
      <c r="K1535" s="26" t="str">
        <f aca="false">IF(A1535="","",DATE(YEAR(A1535),MONTH(A1535),1))</f>
        <v/>
      </c>
      <c r="L1535" s="21" t="str">
        <f aca="false">IF(J1535="",IF(B1535="","",IF(N(C1535)&gt;=0,"Income","Expense")),IFERROR(INDEX(Lists!$B$2:$B$30,MATCH(J1535,Lists!$A$2:$A$30,0)),""))</f>
        <v/>
      </c>
      <c r="M1535" s="24"/>
      <c r="N1535" s="27" t="str">
        <f aca="false">IF(B1535="","",IFERROR(1000-SUMPRODUCT(MAX(ISNUMBER(SEARCH(Rules!$A$5:$A$204,B1535))*(Rules!$A$5:$A$204&lt;&gt;"")*(1000-ROW(Rules!$A$5:$A$204)))),""))</f>
        <v/>
      </c>
    </row>
    <row r="1536" customFormat="false" ht="15" hidden="false" customHeight="false" outlineLevel="0" collapsed="false">
      <c r="A1536" s="23"/>
      <c r="B1536" s="24"/>
      <c r="C1536" s="25"/>
      <c r="D1536" s="24"/>
      <c r="E1536" s="21" t="str">
        <f aca="false">IF(OR(B1536="",N(N1536)=0,N1536=1000),IF(B1536="","","Check"),INDEX(Rules!$B:$B,N1536))</f>
        <v/>
      </c>
      <c r="F1536" s="21" t="str">
        <f aca="false">IF(OR(B1536="",N(N1536)=0,N1536=1000),"",INDEX(Rules!$C:$C,N1536))</f>
        <v/>
      </c>
      <c r="G1536" s="24"/>
      <c r="H1536" s="24"/>
      <c r="I1536" s="20" t="str">
        <f aca="false">IF(B1536="","",IF(G1536&lt;&gt;"",G1536,E1536))</f>
        <v/>
      </c>
      <c r="J1536" s="21" t="str">
        <f aca="false">IF(B1536="","",IF(H1536&lt;&gt;"",H1536,F1536))</f>
        <v/>
      </c>
      <c r="K1536" s="26" t="str">
        <f aca="false">IF(A1536="","",DATE(YEAR(A1536),MONTH(A1536),1))</f>
        <v/>
      </c>
      <c r="L1536" s="21" t="str">
        <f aca="false">IF(J1536="",IF(B1536="","",IF(N(C1536)&gt;=0,"Income","Expense")),IFERROR(INDEX(Lists!$B$2:$B$30,MATCH(J1536,Lists!$A$2:$A$30,0)),""))</f>
        <v/>
      </c>
      <c r="M1536" s="24"/>
      <c r="N1536" s="27" t="str">
        <f aca="false">IF(B1536="","",IFERROR(1000-SUMPRODUCT(MAX(ISNUMBER(SEARCH(Rules!$A$5:$A$204,B1536))*(Rules!$A$5:$A$204&lt;&gt;"")*(1000-ROW(Rules!$A$5:$A$204)))),""))</f>
        <v/>
      </c>
    </row>
    <row r="1537" customFormat="false" ht="15" hidden="false" customHeight="false" outlineLevel="0" collapsed="false">
      <c r="A1537" s="23"/>
      <c r="B1537" s="24"/>
      <c r="C1537" s="25"/>
      <c r="D1537" s="24"/>
      <c r="E1537" s="21" t="str">
        <f aca="false">IF(OR(B1537="",N(N1537)=0,N1537=1000),IF(B1537="","","Check"),INDEX(Rules!$B:$B,N1537))</f>
        <v/>
      </c>
      <c r="F1537" s="21" t="str">
        <f aca="false">IF(OR(B1537="",N(N1537)=0,N1537=1000),"",INDEX(Rules!$C:$C,N1537))</f>
        <v/>
      </c>
      <c r="G1537" s="24"/>
      <c r="H1537" s="24"/>
      <c r="I1537" s="20" t="str">
        <f aca="false">IF(B1537="","",IF(G1537&lt;&gt;"",G1537,E1537))</f>
        <v/>
      </c>
      <c r="J1537" s="21" t="str">
        <f aca="false">IF(B1537="","",IF(H1537&lt;&gt;"",H1537,F1537))</f>
        <v/>
      </c>
      <c r="K1537" s="26" t="str">
        <f aca="false">IF(A1537="","",DATE(YEAR(A1537),MONTH(A1537),1))</f>
        <v/>
      </c>
      <c r="L1537" s="21" t="str">
        <f aca="false">IF(J1537="",IF(B1537="","",IF(N(C1537)&gt;=0,"Income","Expense")),IFERROR(INDEX(Lists!$B$2:$B$30,MATCH(J1537,Lists!$A$2:$A$30,0)),""))</f>
        <v/>
      </c>
      <c r="M1537" s="24"/>
      <c r="N1537" s="27" t="str">
        <f aca="false">IF(B1537="","",IFERROR(1000-SUMPRODUCT(MAX(ISNUMBER(SEARCH(Rules!$A$5:$A$204,B1537))*(Rules!$A$5:$A$204&lt;&gt;"")*(1000-ROW(Rules!$A$5:$A$204)))),""))</f>
        <v/>
      </c>
    </row>
    <row r="1538" customFormat="false" ht="15" hidden="false" customHeight="false" outlineLevel="0" collapsed="false">
      <c r="A1538" s="23"/>
      <c r="B1538" s="24"/>
      <c r="C1538" s="25"/>
      <c r="D1538" s="24"/>
      <c r="E1538" s="21" t="str">
        <f aca="false">IF(OR(B1538="",N(N1538)=0,N1538=1000),IF(B1538="","","Check"),INDEX(Rules!$B:$B,N1538))</f>
        <v/>
      </c>
      <c r="F1538" s="21" t="str">
        <f aca="false">IF(OR(B1538="",N(N1538)=0,N1538=1000),"",INDEX(Rules!$C:$C,N1538))</f>
        <v/>
      </c>
      <c r="G1538" s="24"/>
      <c r="H1538" s="24"/>
      <c r="I1538" s="20" t="str">
        <f aca="false">IF(B1538="","",IF(G1538&lt;&gt;"",G1538,E1538))</f>
        <v/>
      </c>
      <c r="J1538" s="21" t="str">
        <f aca="false">IF(B1538="","",IF(H1538&lt;&gt;"",H1538,F1538))</f>
        <v/>
      </c>
      <c r="K1538" s="26" t="str">
        <f aca="false">IF(A1538="","",DATE(YEAR(A1538),MONTH(A1538),1))</f>
        <v/>
      </c>
      <c r="L1538" s="21" t="str">
        <f aca="false">IF(J1538="",IF(B1538="","",IF(N(C1538)&gt;=0,"Income","Expense")),IFERROR(INDEX(Lists!$B$2:$B$30,MATCH(J1538,Lists!$A$2:$A$30,0)),""))</f>
        <v/>
      </c>
      <c r="M1538" s="24"/>
      <c r="N1538" s="27" t="str">
        <f aca="false">IF(B1538="","",IFERROR(1000-SUMPRODUCT(MAX(ISNUMBER(SEARCH(Rules!$A$5:$A$204,B1538))*(Rules!$A$5:$A$204&lt;&gt;"")*(1000-ROW(Rules!$A$5:$A$204)))),""))</f>
        <v/>
      </c>
    </row>
    <row r="1539" customFormat="false" ht="15" hidden="false" customHeight="false" outlineLevel="0" collapsed="false">
      <c r="A1539" s="23"/>
      <c r="B1539" s="24"/>
      <c r="C1539" s="25"/>
      <c r="D1539" s="24"/>
      <c r="E1539" s="21" t="str">
        <f aca="false">IF(OR(B1539="",N(N1539)=0,N1539=1000),IF(B1539="","","Check"),INDEX(Rules!$B:$B,N1539))</f>
        <v/>
      </c>
      <c r="F1539" s="21" t="str">
        <f aca="false">IF(OR(B1539="",N(N1539)=0,N1539=1000),"",INDEX(Rules!$C:$C,N1539))</f>
        <v/>
      </c>
      <c r="G1539" s="24"/>
      <c r="H1539" s="24"/>
      <c r="I1539" s="20" t="str">
        <f aca="false">IF(B1539="","",IF(G1539&lt;&gt;"",G1539,E1539))</f>
        <v/>
      </c>
      <c r="J1539" s="21" t="str">
        <f aca="false">IF(B1539="","",IF(H1539&lt;&gt;"",H1539,F1539))</f>
        <v/>
      </c>
      <c r="K1539" s="26" t="str">
        <f aca="false">IF(A1539="","",DATE(YEAR(A1539),MONTH(A1539),1))</f>
        <v/>
      </c>
      <c r="L1539" s="21" t="str">
        <f aca="false">IF(J1539="",IF(B1539="","",IF(N(C1539)&gt;=0,"Income","Expense")),IFERROR(INDEX(Lists!$B$2:$B$30,MATCH(J1539,Lists!$A$2:$A$30,0)),""))</f>
        <v/>
      </c>
      <c r="M1539" s="24"/>
      <c r="N1539" s="27" t="str">
        <f aca="false">IF(B1539="","",IFERROR(1000-SUMPRODUCT(MAX(ISNUMBER(SEARCH(Rules!$A$5:$A$204,B1539))*(Rules!$A$5:$A$204&lt;&gt;"")*(1000-ROW(Rules!$A$5:$A$204)))),""))</f>
        <v/>
      </c>
    </row>
    <row r="1540" customFormat="false" ht="15" hidden="false" customHeight="false" outlineLevel="0" collapsed="false">
      <c r="A1540" s="23"/>
      <c r="B1540" s="24"/>
      <c r="C1540" s="25"/>
      <c r="D1540" s="24"/>
      <c r="E1540" s="21" t="str">
        <f aca="false">IF(OR(B1540="",N(N1540)=0,N1540=1000),IF(B1540="","","Check"),INDEX(Rules!$B:$B,N1540))</f>
        <v/>
      </c>
      <c r="F1540" s="21" t="str">
        <f aca="false">IF(OR(B1540="",N(N1540)=0,N1540=1000),"",INDEX(Rules!$C:$C,N1540))</f>
        <v/>
      </c>
      <c r="G1540" s="24"/>
      <c r="H1540" s="24"/>
      <c r="I1540" s="20" t="str">
        <f aca="false">IF(B1540="","",IF(G1540&lt;&gt;"",G1540,E1540))</f>
        <v/>
      </c>
      <c r="J1540" s="21" t="str">
        <f aca="false">IF(B1540="","",IF(H1540&lt;&gt;"",H1540,F1540))</f>
        <v/>
      </c>
      <c r="K1540" s="26" t="str">
        <f aca="false">IF(A1540="","",DATE(YEAR(A1540),MONTH(A1540),1))</f>
        <v/>
      </c>
      <c r="L1540" s="21" t="str">
        <f aca="false">IF(J1540="",IF(B1540="","",IF(N(C1540)&gt;=0,"Income","Expense")),IFERROR(INDEX(Lists!$B$2:$B$30,MATCH(J1540,Lists!$A$2:$A$30,0)),""))</f>
        <v/>
      </c>
      <c r="M1540" s="24"/>
      <c r="N1540" s="27" t="str">
        <f aca="false">IF(B1540="","",IFERROR(1000-SUMPRODUCT(MAX(ISNUMBER(SEARCH(Rules!$A$5:$A$204,B1540))*(Rules!$A$5:$A$204&lt;&gt;"")*(1000-ROW(Rules!$A$5:$A$204)))),""))</f>
        <v/>
      </c>
    </row>
    <row r="1541" customFormat="false" ht="15" hidden="false" customHeight="false" outlineLevel="0" collapsed="false">
      <c r="A1541" s="23"/>
      <c r="B1541" s="24"/>
      <c r="C1541" s="25"/>
      <c r="D1541" s="24"/>
      <c r="E1541" s="21" t="str">
        <f aca="false">IF(OR(B1541="",N(N1541)=0,N1541=1000),IF(B1541="","","Check"),INDEX(Rules!$B:$B,N1541))</f>
        <v/>
      </c>
      <c r="F1541" s="21" t="str">
        <f aca="false">IF(OR(B1541="",N(N1541)=0,N1541=1000),"",INDEX(Rules!$C:$C,N1541))</f>
        <v/>
      </c>
      <c r="G1541" s="24"/>
      <c r="H1541" s="24"/>
      <c r="I1541" s="20" t="str">
        <f aca="false">IF(B1541="","",IF(G1541&lt;&gt;"",G1541,E1541))</f>
        <v/>
      </c>
      <c r="J1541" s="21" t="str">
        <f aca="false">IF(B1541="","",IF(H1541&lt;&gt;"",H1541,F1541))</f>
        <v/>
      </c>
      <c r="K1541" s="26" t="str">
        <f aca="false">IF(A1541="","",DATE(YEAR(A1541),MONTH(A1541),1))</f>
        <v/>
      </c>
      <c r="L1541" s="21" t="str">
        <f aca="false">IF(J1541="",IF(B1541="","",IF(N(C1541)&gt;=0,"Income","Expense")),IFERROR(INDEX(Lists!$B$2:$B$30,MATCH(J1541,Lists!$A$2:$A$30,0)),""))</f>
        <v/>
      </c>
      <c r="M1541" s="24"/>
      <c r="N1541" s="27" t="str">
        <f aca="false">IF(B1541="","",IFERROR(1000-SUMPRODUCT(MAX(ISNUMBER(SEARCH(Rules!$A$5:$A$204,B1541))*(Rules!$A$5:$A$204&lt;&gt;"")*(1000-ROW(Rules!$A$5:$A$204)))),""))</f>
        <v/>
      </c>
    </row>
    <row r="1542" customFormat="false" ht="15" hidden="false" customHeight="false" outlineLevel="0" collapsed="false">
      <c r="A1542" s="23"/>
      <c r="B1542" s="24"/>
      <c r="C1542" s="25"/>
      <c r="D1542" s="24"/>
      <c r="E1542" s="21" t="str">
        <f aca="false">IF(OR(B1542="",N(N1542)=0,N1542=1000),IF(B1542="","","Check"),INDEX(Rules!$B:$B,N1542))</f>
        <v/>
      </c>
      <c r="F1542" s="21" t="str">
        <f aca="false">IF(OR(B1542="",N(N1542)=0,N1542=1000),"",INDEX(Rules!$C:$C,N1542))</f>
        <v/>
      </c>
      <c r="G1542" s="24"/>
      <c r="H1542" s="24"/>
      <c r="I1542" s="20" t="str">
        <f aca="false">IF(B1542="","",IF(G1542&lt;&gt;"",G1542,E1542))</f>
        <v/>
      </c>
      <c r="J1542" s="21" t="str">
        <f aca="false">IF(B1542="","",IF(H1542&lt;&gt;"",H1542,F1542))</f>
        <v/>
      </c>
      <c r="K1542" s="26" t="str">
        <f aca="false">IF(A1542="","",DATE(YEAR(A1542),MONTH(A1542),1))</f>
        <v/>
      </c>
      <c r="L1542" s="21" t="str">
        <f aca="false">IF(J1542="",IF(B1542="","",IF(N(C1542)&gt;=0,"Income","Expense")),IFERROR(INDEX(Lists!$B$2:$B$30,MATCH(J1542,Lists!$A$2:$A$30,0)),""))</f>
        <v/>
      </c>
      <c r="M1542" s="24"/>
      <c r="N1542" s="27" t="str">
        <f aca="false">IF(B1542="","",IFERROR(1000-SUMPRODUCT(MAX(ISNUMBER(SEARCH(Rules!$A$5:$A$204,B1542))*(Rules!$A$5:$A$204&lt;&gt;"")*(1000-ROW(Rules!$A$5:$A$204)))),""))</f>
        <v/>
      </c>
    </row>
    <row r="1543" customFormat="false" ht="15" hidden="false" customHeight="false" outlineLevel="0" collapsed="false">
      <c r="A1543" s="23"/>
      <c r="B1543" s="24"/>
      <c r="C1543" s="25"/>
      <c r="D1543" s="24"/>
      <c r="E1543" s="21" t="str">
        <f aca="false">IF(OR(B1543="",N(N1543)=0,N1543=1000),IF(B1543="","","Check"),INDEX(Rules!$B:$B,N1543))</f>
        <v/>
      </c>
      <c r="F1543" s="21" t="str">
        <f aca="false">IF(OR(B1543="",N(N1543)=0,N1543=1000),"",INDEX(Rules!$C:$C,N1543))</f>
        <v/>
      </c>
      <c r="G1543" s="24"/>
      <c r="H1543" s="24"/>
      <c r="I1543" s="20" t="str">
        <f aca="false">IF(B1543="","",IF(G1543&lt;&gt;"",G1543,E1543))</f>
        <v/>
      </c>
      <c r="J1543" s="21" t="str">
        <f aca="false">IF(B1543="","",IF(H1543&lt;&gt;"",H1543,F1543))</f>
        <v/>
      </c>
      <c r="K1543" s="26" t="str">
        <f aca="false">IF(A1543="","",DATE(YEAR(A1543),MONTH(A1543),1))</f>
        <v/>
      </c>
      <c r="L1543" s="21" t="str">
        <f aca="false">IF(J1543="",IF(B1543="","",IF(N(C1543)&gt;=0,"Income","Expense")),IFERROR(INDEX(Lists!$B$2:$B$30,MATCH(J1543,Lists!$A$2:$A$30,0)),""))</f>
        <v/>
      </c>
      <c r="M1543" s="24"/>
      <c r="N1543" s="27" t="str">
        <f aca="false">IF(B1543="","",IFERROR(1000-SUMPRODUCT(MAX(ISNUMBER(SEARCH(Rules!$A$5:$A$204,B1543))*(Rules!$A$5:$A$204&lt;&gt;"")*(1000-ROW(Rules!$A$5:$A$204)))),""))</f>
        <v/>
      </c>
    </row>
    <row r="1544" customFormat="false" ht="15" hidden="false" customHeight="false" outlineLevel="0" collapsed="false">
      <c r="A1544" s="23"/>
      <c r="B1544" s="24"/>
      <c r="C1544" s="25"/>
      <c r="D1544" s="24"/>
      <c r="E1544" s="21" t="str">
        <f aca="false">IF(OR(B1544="",N(N1544)=0,N1544=1000),IF(B1544="","","Check"),INDEX(Rules!$B:$B,N1544))</f>
        <v/>
      </c>
      <c r="F1544" s="21" t="str">
        <f aca="false">IF(OR(B1544="",N(N1544)=0,N1544=1000),"",INDEX(Rules!$C:$C,N1544))</f>
        <v/>
      </c>
      <c r="G1544" s="24"/>
      <c r="H1544" s="24"/>
      <c r="I1544" s="20" t="str">
        <f aca="false">IF(B1544="","",IF(G1544&lt;&gt;"",G1544,E1544))</f>
        <v/>
      </c>
      <c r="J1544" s="21" t="str">
        <f aca="false">IF(B1544="","",IF(H1544&lt;&gt;"",H1544,F1544))</f>
        <v/>
      </c>
      <c r="K1544" s="26" t="str">
        <f aca="false">IF(A1544="","",DATE(YEAR(A1544),MONTH(A1544),1))</f>
        <v/>
      </c>
      <c r="L1544" s="21" t="str">
        <f aca="false">IF(J1544="",IF(B1544="","",IF(N(C1544)&gt;=0,"Income","Expense")),IFERROR(INDEX(Lists!$B$2:$B$30,MATCH(J1544,Lists!$A$2:$A$30,0)),""))</f>
        <v/>
      </c>
      <c r="M1544" s="24"/>
      <c r="N1544" s="27" t="str">
        <f aca="false">IF(B1544="","",IFERROR(1000-SUMPRODUCT(MAX(ISNUMBER(SEARCH(Rules!$A$5:$A$204,B1544))*(Rules!$A$5:$A$204&lt;&gt;"")*(1000-ROW(Rules!$A$5:$A$204)))),""))</f>
        <v/>
      </c>
    </row>
    <row r="1545" customFormat="false" ht="15" hidden="false" customHeight="false" outlineLevel="0" collapsed="false">
      <c r="A1545" s="23"/>
      <c r="B1545" s="24"/>
      <c r="C1545" s="25"/>
      <c r="D1545" s="24"/>
      <c r="E1545" s="21" t="str">
        <f aca="false">IF(OR(B1545="",N(N1545)=0,N1545=1000),IF(B1545="","","Check"),INDEX(Rules!$B:$B,N1545))</f>
        <v/>
      </c>
      <c r="F1545" s="21" t="str">
        <f aca="false">IF(OR(B1545="",N(N1545)=0,N1545=1000),"",INDEX(Rules!$C:$C,N1545))</f>
        <v/>
      </c>
      <c r="G1545" s="24"/>
      <c r="H1545" s="24"/>
      <c r="I1545" s="20" t="str">
        <f aca="false">IF(B1545="","",IF(G1545&lt;&gt;"",G1545,E1545))</f>
        <v/>
      </c>
      <c r="J1545" s="21" t="str">
        <f aca="false">IF(B1545="","",IF(H1545&lt;&gt;"",H1545,F1545))</f>
        <v/>
      </c>
      <c r="K1545" s="26" t="str">
        <f aca="false">IF(A1545="","",DATE(YEAR(A1545),MONTH(A1545),1))</f>
        <v/>
      </c>
      <c r="L1545" s="21" t="str">
        <f aca="false">IF(J1545="",IF(B1545="","",IF(N(C1545)&gt;=0,"Income","Expense")),IFERROR(INDEX(Lists!$B$2:$B$30,MATCH(J1545,Lists!$A$2:$A$30,0)),""))</f>
        <v/>
      </c>
      <c r="M1545" s="24"/>
      <c r="N1545" s="27" t="str">
        <f aca="false">IF(B1545="","",IFERROR(1000-SUMPRODUCT(MAX(ISNUMBER(SEARCH(Rules!$A$5:$A$204,B1545))*(Rules!$A$5:$A$204&lt;&gt;"")*(1000-ROW(Rules!$A$5:$A$204)))),""))</f>
        <v/>
      </c>
    </row>
    <row r="1546" customFormat="false" ht="15" hidden="false" customHeight="false" outlineLevel="0" collapsed="false">
      <c r="A1546" s="23"/>
      <c r="B1546" s="24"/>
      <c r="C1546" s="25"/>
      <c r="D1546" s="24"/>
      <c r="E1546" s="21" t="str">
        <f aca="false">IF(OR(B1546="",N(N1546)=0,N1546=1000),IF(B1546="","","Check"),INDEX(Rules!$B:$B,N1546))</f>
        <v/>
      </c>
      <c r="F1546" s="21" t="str">
        <f aca="false">IF(OR(B1546="",N(N1546)=0,N1546=1000),"",INDEX(Rules!$C:$C,N1546))</f>
        <v/>
      </c>
      <c r="G1546" s="24"/>
      <c r="H1546" s="24"/>
      <c r="I1546" s="20" t="str">
        <f aca="false">IF(B1546="","",IF(G1546&lt;&gt;"",G1546,E1546))</f>
        <v/>
      </c>
      <c r="J1546" s="21" t="str">
        <f aca="false">IF(B1546="","",IF(H1546&lt;&gt;"",H1546,F1546))</f>
        <v/>
      </c>
      <c r="K1546" s="26" t="str">
        <f aca="false">IF(A1546="","",DATE(YEAR(A1546),MONTH(A1546),1))</f>
        <v/>
      </c>
      <c r="L1546" s="21" t="str">
        <f aca="false">IF(J1546="",IF(B1546="","",IF(N(C1546)&gt;=0,"Income","Expense")),IFERROR(INDEX(Lists!$B$2:$B$30,MATCH(J1546,Lists!$A$2:$A$30,0)),""))</f>
        <v/>
      </c>
      <c r="M1546" s="24"/>
      <c r="N1546" s="27" t="str">
        <f aca="false">IF(B1546="","",IFERROR(1000-SUMPRODUCT(MAX(ISNUMBER(SEARCH(Rules!$A$5:$A$204,B1546))*(Rules!$A$5:$A$204&lt;&gt;"")*(1000-ROW(Rules!$A$5:$A$204)))),""))</f>
        <v/>
      </c>
    </row>
    <row r="1547" customFormat="false" ht="15" hidden="false" customHeight="false" outlineLevel="0" collapsed="false">
      <c r="A1547" s="23"/>
      <c r="B1547" s="24"/>
      <c r="C1547" s="25"/>
      <c r="D1547" s="24"/>
      <c r="E1547" s="21" t="str">
        <f aca="false">IF(OR(B1547="",N(N1547)=0,N1547=1000),IF(B1547="","","Check"),INDEX(Rules!$B:$B,N1547))</f>
        <v/>
      </c>
      <c r="F1547" s="21" t="str">
        <f aca="false">IF(OR(B1547="",N(N1547)=0,N1547=1000),"",INDEX(Rules!$C:$C,N1547))</f>
        <v/>
      </c>
      <c r="G1547" s="24"/>
      <c r="H1547" s="24"/>
      <c r="I1547" s="20" t="str">
        <f aca="false">IF(B1547="","",IF(G1547&lt;&gt;"",G1547,E1547))</f>
        <v/>
      </c>
      <c r="J1547" s="21" t="str">
        <f aca="false">IF(B1547="","",IF(H1547&lt;&gt;"",H1547,F1547))</f>
        <v/>
      </c>
      <c r="K1547" s="26" t="str">
        <f aca="false">IF(A1547="","",DATE(YEAR(A1547),MONTH(A1547),1))</f>
        <v/>
      </c>
      <c r="L1547" s="21" t="str">
        <f aca="false">IF(J1547="",IF(B1547="","",IF(N(C1547)&gt;=0,"Income","Expense")),IFERROR(INDEX(Lists!$B$2:$B$30,MATCH(J1547,Lists!$A$2:$A$30,0)),""))</f>
        <v/>
      </c>
      <c r="M1547" s="24"/>
      <c r="N1547" s="27" t="str">
        <f aca="false">IF(B1547="","",IFERROR(1000-SUMPRODUCT(MAX(ISNUMBER(SEARCH(Rules!$A$5:$A$204,B1547))*(Rules!$A$5:$A$204&lt;&gt;"")*(1000-ROW(Rules!$A$5:$A$204)))),""))</f>
        <v/>
      </c>
    </row>
    <row r="1548" customFormat="false" ht="15" hidden="false" customHeight="false" outlineLevel="0" collapsed="false">
      <c r="A1548" s="23"/>
      <c r="B1548" s="24"/>
      <c r="C1548" s="25"/>
      <c r="D1548" s="24"/>
      <c r="E1548" s="21" t="str">
        <f aca="false">IF(OR(B1548="",N(N1548)=0,N1548=1000),IF(B1548="","","Check"),INDEX(Rules!$B:$B,N1548))</f>
        <v/>
      </c>
      <c r="F1548" s="21" t="str">
        <f aca="false">IF(OR(B1548="",N(N1548)=0,N1548=1000),"",INDEX(Rules!$C:$C,N1548))</f>
        <v/>
      </c>
      <c r="G1548" s="24"/>
      <c r="H1548" s="24"/>
      <c r="I1548" s="20" t="str">
        <f aca="false">IF(B1548="","",IF(G1548&lt;&gt;"",G1548,E1548))</f>
        <v/>
      </c>
      <c r="J1548" s="21" t="str">
        <f aca="false">IF(B1548="","",IF(H1548&lt;&gt;"",H1548,F1548))</f>
        <v/>
      </c>
      <c r="K1548" s="26" t="str">
        <f aca="false">IF(A1548="","",DATE(YEAR(A1548),MONTH(A1548),1))</f>
        <v/>
      </c>
      <c r="L1548" s="21" t="str">
        <f aca="false">IF(J1548="",IF(B1548="","",IF(N(C1548)&gt;=0,"Income","Expense")),IFERROR(INDEX(Lists!$B$2:$B$30,MATCH(J1548,Lists!$A$2:$A$30,0)),""))</f>
        <v/>
      </c>
      <c r="M1548" s="24"/>
      <c r="N1548" s="27" t="str">
        <f aca="false">IF(B1548="","",IFERROR(1000-SUMPRODUCT(MAX(ISNUMBER(SEARCH(Rules!$A$5:$A$204,B1548))*(Rules!$A$5:$A$204&lt;&gt;"")*(1000-ROW(Rules!$A$5:$A$204)))),""))</f>
        <v/>
      </c>
    </row>
    <row r="1549" customFormat="false" ht="15" hidden="false" customHeight="false" outlineLevel="0" collapsed="false">
      <c r="A1549" s="23"/>
      <c r="B1549" s="24"/>
      <c r="C1549" s="25"/>
      <c r="D1549" s="24"/>
      <c r="E1549" s="21" t="str">
        <f aca="false">IF(OR(B1549="",N(N1549)=0,N1549=1000),IF(B1549="","","Check"),INDEX(Rules!$B:$B,N1549))</f>
        <v/>
      </c>
      <c r="F1549" s="21" t="str">
        <f aca="false">IF(OR(B1549="",N(N1549)=0,N1549=1000),"",INDEX(Rules!$C:$C,N1549))</f>
        <v/>
      </c>
      <c r="G1549" s="24"/>
      <c r="H1549" s="24"/>
      <c r="I1549" s="20" t="str">
        <f aca="false">IF(B1549="","",IF(G1549&lt;&gt;"",G1549,E1549))</f>
        <v/>
      </c>
      <c r="J1549" s="21" t="str">
        <f aca="false">IF(B1549="","",IF(H1549&lt;&gt;"",H1549,F1549))</f>
        <v/>
      </c>
      <c r="K1549" s="26" t="str">
        <f aca="false">IF(A1549="","",DATE(YEAR(A1549),MONTH(A1549),1))</f>
        <v/>
      </c>
      <c r="L1549" s="21" t="str">
        <f aca="false">IF(J1549="",IF(B1549="","",IF(N(C1549)&gt;=0,"Income","Expense")),IFERROR(INDEX(Lists!$B$2:$B$30,MATCH(J1549,Lists!$A$2:$A$30,0)),""))</f>
        <v/>
      </c>
      <c r="M1549" s="24"/>
      <c r="N1549" s="27" t="str">
        <f aca="false">IF(B1549="","",IFERROR(1000-SUMPRODUCT(MAX(ISNUMBER(SEARCH(Rules!$A$5:$A$204,B1549))*(Rules!$A$5:$A$204&lt;&gt;"")*(1000-ROW(Rules!$A$5:$A$204)))),""))</f>
        <v/>
      </c>
    </row>
    <row r="1550" customFormat="false" ht="15" hidden="false" customHeight="false" outlineLevel="0" collapsed="false">
      <c r="A1550" s="23"/>
      <c r="B1550" s="24"/>
      <c r="C1550" s="25"/>
      <c r="D1550" s="24"/>
      <c r="E1550" s="21" t="str">
        <f aca="false">IF(OR(B1550="",N(N1550)=0,N1550=1000),IF(B1550="","","Check"),INDEX(Rules!$B:$B,N1550))</f>
        <v/>
      </c>
      <c r="F1550" s="21" t="str">
        <f aca="false">IF(OR(B1550="",N(N1550)=0,N1550=1000),"",INDEX(Rules!$C:$C,N1550))</f>
        <v/>
      </c>
      <c r="G1550" s="24"/>
      <c r="H1550" s="24"/>
      <c r="I1550" s="20" t="str">
        <f aca="false">IF(B1550="","",IF(G1550&lt;&gt;"",G1550,E1550))</f>
        <v/>
      </c>
      <c r="J1550" s="21" t="str">
        <f aca="false">IF(B1550="","",IF(H1550&lt;&gt;"",H1550,F1550))</f>
        <v/>
      </c>
      <c r="K1550" s="26" t="str">
        <f aca="false">IF(A1550="","",DATE(YEAR(A1550),MONTH(A1550),1))</f>
        <v/>
      </c>
      <c r="L1550" s="21" t="str">
        <f aca="false">IF(J1550="",IF(B1550="","",IF(N(C1550)&gt;=0,"Income","Expense")),IFERROR(INDEX(Lists!$B$2:$B$30,MATCH(J1550,Lists!$A$2:$A$30,0)),""))</f>
        <v/>
      </c>
      <c r="M1550" s="24"/>
      <c r="N1550" s="27" t="str">
        <f aca="false">IF(B1550="","",IFERROR(1000-SUMPRODUCT(MAX(ISNUMBER(SEARCH(Rules!$A$5:$A$204,B1550))*(Rules!$A$5:$A$204&lt;&gt;"")*(1000-ROW(Rules!$A$5:$A$204)))),""))</f>
        <v/>
      </c>
    </row>
    <row r="1551" customFormat="false" ht="15" hidden="false" customHeight="false" outlineLevel="0" collapsed="false">
      <c r="A1551" s="23"/>
      <c r="B1551" s="24"/>
      <c r="C1551" s="25"/>
      <c r="D1551" s="24"/>
      <c r="E1551" s="21" t="str">
        <f aca="false">IF(OR(B1551="",N(N1551)=0,N1551=1000),IF(B1551="","","Check"),INDEX(Rules!$B:$B,N1551))</f>
        <v/>
      </c>
      <c r="F1551" s="21" t="str">
        <f aca="false">IF(OR(B1551="",N(N1551)=0,N1551=1000),"",INDEX(Rules!$C:$C,N1551))</f>
        <v/>
      </c>
      <c r="G1551" s="24"/>
      <c r="H1551" s="24"/>
      <c r="I1551" s="20" t="str">
        <f aca="false">IF(B1551="","",IF(G1551&lt;&gt;"",G1551,E1551))</f>
        <v/>
      </c>
      <c r="J1551" s="21" t="str">
        <f aca="false">IF(B1551="","",IF(H1551&lt;&gt;"",H1551,F1551))</f>
        <v/>
      </c>
      <c r="K1551" s="26" t="str">
        <f aca="false">IF(A1551="","",DATE(YEAR(A1551),MONTH(A1551),1))</f>
        <v/>
      </c>
      <c r="L1551" s="21" t="str">
        <f aca="false">IF(J1551="",IF(B1551="","",IF(N(C1551)&gt;=0,"Income","Expense")),IFERROR(INDEX(Lists!$B$2:$B$30,MATCH(J1551,Lists!$A$2:$A$30,0)),""))</f>
        <v/>
      </c>
      <c r="M1551" s="24"/>
      <c r="N1551" s="27" t="str">
        <f aca="false">IF(B1551="","",IFERROR(1000-SUMPRODUCT(MAX(ISNUMBER(SEARCH(Rules!$A$5:$A$204,B1551))*(Rules!$A$5:$A$204&lt;&gt;"")*(1000-ROW(Rules!$A$5:$A$204)))),""))</f>
        <v/>
      </c>
    </row>
    <row r="1552" customFormat="false" ht="15" hidden="false" customHeight="false" outlineLevel="0" collapsed="false">
      <c r="A1552" s="23"/>
      <c r="B1552" s="24"/>
      <c r="C1552" s="25"/>
      <c r="D1552" s="24"/>
      <c r="E1552" s="21" t="str">
        <f aca="false">IF(OR(B1552="",N(N1552)=0,N1552=1000),IF(B1552="","","Check"),INDEX(Rules!$B:$B,N1552))</f>
        <v/>
      </c>
      <c r="F1552" s="21" t="str">
        <f aca="false">IF(OR(B1552="",N(N1552)=0,N1552=1000),"",INDEX(Rules!$C:$C,N1552))</f>
        <v/>
      </c>
      <c r="G1552" s="24"/>
      <c r="H1552" s="24"/>
      <c r="I1552" s="20" t="str">
        <f aca="false">IF(B1552="","",IF(G1552&lt;&gt;"",G1552,E1552))</f>
        <v/>
      </c>
      <c r="J1552" s="21" t="str">
        <f aca="false">IF(B1552="","",IF(H1552&lt;&gt;"",H1552,F1552))</f>
        <v/>
      </c>
      <c r="K1552" s="26" t="str">
        <f aca="false">IF(A1552="","",DATE(YEAR(A1552),MONTH(A1552),1))</f>
        <v/>
      </c>
      <c r="L1552" s="21" t="str">
        <f aca="false">IF(J1552="",IF(B1552="","",IF(N(C1552)&gt;=0,"Income","Expense")),IFERROR(INDEX(Lists!$B$2:$B$30,MATCH(J1552,Lists!$A$2:$A$30,0)),""))</f>
        <v/>
      </c>
      <c r="M1552" s="24"/>
      <c r="N1552" s="27" t="str">
        <f aca="false">IF(B1552="","",IFERROR(1000-SUMPRODUCT(MAX(ISNUMBER(SEARCH(Rules!$A$5:$A$204,B1552))*(Rules!$A$5:$A$204&lt;&gt;"")*(1000-ROW(Rules!$A$5:$A$204)))),""))</f>
        <v/>
      </c>
    </row>
    <row r="1553" customFormat="false" ht="15" hidden="false" customHeight="false" outlineLevel="0" collapsed="false">
      <c r="A1553" s="23"/>
      <c r="B1553" s="24"/>
      <c r="C1553" s="25"/>
      <c r="D1553" s="24"/>
      <c r="E1553" s="21" t="str">
        <f aca="false">IF(OR(B1553="",N(N1553)=0,N1553=1000),IF(B1553="","","Check"),INDEX(Rules!$B:$B,N1553))</f>
        <v/>
      </c>
      <c r="F1553" s="21" t="str">
        <f aca="false">IF(OR(B1553="",N(N1553)=0,N1553=1000),"",INDEX(Rules!$C:$C,N1553))</f>
        <v/>
      </c>
      <c r="G1553" s="24"/>
      <c r="H1553" s="24"/>
      <c r="I1553" s="20" t="str">
        <f aca="false">IF(B1553="","",IF(G1553&lt;&gt;"",G1553,E1553))</f>
        <v/>
      </c>
      <c r="J1553" s="21" t="str">
        <f aca="false">IF(B1553="","",IF(H1553&lt;&gt;"",H1553,F1553))</f>
        <v/>
      </c>
      <c r="K1553" s="26" t="str">
        <f aca="false">IF(A1553="","",DATE(YEAR(A1553),MONTH(A1553),1))</f>
        <v/>
      </c>
      <c r="L1553" s="21" t="str">
        <f aca="false">IF(J1553="",IF(B1553="","",IF(N(C1553)&gt;=0,"Income","Expense")),IFERROR(INDEX(Lists!$B$2:$B$30,MATCH(J1553,Lists!$A$2:$A$30,0)),""))</f>
        <v/>
      </c>
      <c r="M1553" s="24"/>
      <c r="N1553" s="27" t="str">
        <f aca="false">IF(B1553="","",IFERROR(1000-SUMPRODUCT(MAX(ISNUMBER(SEARCH(Rules!$A$5:$A$204,B1553))*(Rules!$A$5:$A$204&lt;&gt;"")*(1000-ROW(Rules!$A$5:$A$204)))),""))</f>
        <v/>
      </c>
    </row>
    <row r="1554" customFormat="false" ht="15" hidden="false" customHeight="false" outlineLevel="0" collapsed="false">
      <c r="A1554" s="23"/>
      <c r="B1554" s="24"/>
      <c r="C1554" s="25"/>
      <c r="D1554" s="24"/>
      <c r="E1554" s="21" t="str">
        <f aca="false">IF(OR(B1554="",N(N1554)=0,N1554=1000),IF(B1554="","","Check"),INDEX(Rules!$B:$B,N1554))</f>
        <v/>
      </c>
      <c r="F1554" s="21" t="str">
        <f aca="false">IF(OR(B1554="",N(N1554)=0,N1554=1000),"",INDEX(Rules!$C:$C,N1554))</f>
        <v/>
      </c>
      <c r="G1554" s="24"/>
      <c r="H1554" s="24"/>
      <c r="I1554" s="20" t="str">
        <f aca="false">IF(B1554="","",IF(G1554&lt;&gt;"",G1554,E1554))</f>
        <v/>
      </c>
      <c r="J1554" s="21" t="str">
        <f aca="false">IF(B1554="","",IF(H1554&lt;&gt;"",H1554,F1554))</f>
        <v/>
      </c>
      <c r="K1554" s="26" t="str">
        <f aca="false">IF(A1554="","",DATE(YEAR(A1554),MONTH(A1554),1))</f>
        <v/>
      </c>
      <c r="L1554" s="21" t="str">
        <f aca="false">IF(J1554="",IF(B1554="","",IF(N(C1554)&gt;=0,"Income","Expense")),IFERROR(INDEX(Lists!$B$2:$B$30,MATCH(J1554,Lists!$A$2:$A$30,0)),""))</f>
        <v/>
      </c>
      <c r="M1554" s="24"/>
      <c r="N1554" s="27" t="str">
        <f aca="false">IF(B1554="","",IFERROR(1000-SUMPRODUCT(MAX(ISNUMBER(SEARCH(Rules!$A$5:$A$204,B1554))*(Rules!$A$5:$A$204&lt;&gt;"")*(1000-ROW(Rules!$A$5:$A$204)))),""))</f>
        <v/>
      </c>
    </row>
    <row r="1555" customFormat="false" ht="15" hidden="false" customHeight="false" outlineLevel="0" collapsed="false">
      <c r="A1555" s="23"/>
      <c r="B1555" s="24"/>
      <c r="C1555" s="25"/>
      <c r="D1555" s="24"/>
      <c r="E1555" s="21" t="str">
        <f aca="false">IF(OR(B1555="",N(N1555)=0,N1555=1000),IF(B1555="","","Check"),INDEX(Rules!$B:$B,N1555))</f>
        <v/>
      </c>
      <c r="F1555" s="21" t="str">
        <f aca="false">IF(OR(B1555="",N(N1555)=0,N1555=1000),"",INDEX(Rules!$C:$C,N1555))</f>
        <v/>
      </c>
      <c r="G1555" s="24"/>
      <c r="H1555" s="24"/>
      <c r="I1555" s="20" t="str">
        <f aca="false">IF(B1555="","",IF(G1555&lt;&gt;"",G1555,E1555))</f>
        <v/>
      </c>
      <c r="J1555" s="21" t="str">
        <f aca="false">IF(B1555="","",IF(H1555&lt;&gt;"",H1555,F1555))</f>
        <v/>
      </c>
      <c r="K1555" s="26" t="str">
        <f aca="false">IF(A1555="","",DATE(YEAR(A1555),MONTH(A1555),1))</f>
        <v/>
      </c>
      <c r="L1555" s="21" t="str">
        <f aca="false">IF(J1555="",IF(B1555="","",IF(N(C1555)&gt;=0,"Income","Expense")),IFERROR(INDEX(Lists!$B$2:$B$30,MATCH(J1555,Lists!$A$2:$A$30,0)),""))</f>
        <v/>
      </c>
      <c r="M1555" s="24"/>
      <c r="N1555" s="27" t="str">
        <f aca="false">IF(B1555="","",IFERROR(1000-SUMPRODUCT(MAX(ISNUMBER(SEARCH(Rules!$A$5:$A$204,B1555))*(Rules!$A$5:$A$204&lt;&gt;"")*(1000-ROW(Rules!$A$5:$A$204)))),""))</f>
        <v/>
      </c>
    </row>
    <row r="1556" customFormat="false" ht="15" hidden="false" customHeight="false" outlineLevel="0" collapsed="false">
      <c r="A1556" s="23"/>
      <c r="B1556" s="24"/>
      <c r="C1556" s="25"/>
      <c r="D1556" s="24"/>
      <c r="E1556" s="21" t="str">
        <f aca="false">IF(OR(B1556="",N(N1556)=0,N1556=1000),IF(B1556="","","Check"),INDEX(Rules!$B:$B,N1556))</f>
        <v/>
      </c>
      <c r="F1556" s="21" t="str">
        <f aca="false">IF(OR(B1556="",N(N1556)=0,N1556=1000),"",INDEX(Rules!$C:$C,N1556))</f>
        <v/>
      </c>
      <c r="G1556" s="24"/>
      <c r="H1556" s="24"/>
      <c r="I1556" s="20" t="str">
        <f aca="false">IF(B1556="","",IF(G1556&lt;&gt;"",G1556,E1556))</f>
        <v/>
      </c>
      <c r="J1556" s="21" t="str">
        <f aca="false">IF(B1556="","",IF(H1556&lt;&gt;"",H1556,F1556))</f>
        <v/>
      </c>
      <c r="K1556" s="26" t="str">
        <f aca="false">IF(A1556="","",DATE(YEAR(A1556),MONTH(A1556),1))</f>
        <v/>
      </c>
      <c r="L1556" s="21" t="str">
        <f aca="false">IF(J1556="",IF(B1556="","",IF(N(C1556)&gt;=0,"Income","Expense")),IFERROR(INDEX(Lists!$B$2:$B$30,MATCH(J1556,Lists!$A$2:$A$30,0)),""))</f>
        <v/>
      </c>
      <c r="M1556" s="24"/>
      <c r="N1556" s="27" t="str">
        <f aca="false">IF(B1556="","",IFERROR(1000-SUMPRODUCT(MAX(ISNUMBER(SEARCH(Rules!$A$5:$A$204,B1556))*(Rules!$A$5:$A$204&lt;&gt;"")*(1000-ROW(Rules!$A$5:$A$204)))),""))</f>
        <v/>
      </c>
    </row>
    <row r="1557" customFormat="false" ht="15" hidden="false" customHeight="false" outlineLevel="0" collapsed="false">
      <c r="A1557" s="23"/>
      <c r="B1557" s="24"/>
      <c r="C1557" s="25"/>
      <c r="D1557" s="24"/>
      <c r="E1557" s="21" t="str">
        <f aca="false">IF(OR(B1557="",N(N1557)=0,N1557=1000),IF(B1557="","","Check"),INDEX(Rules!$B:$B,N1557))</f>
        <v/>
      </c>
      <c r="F1557" s="21" t="str">
        <f aca="false">IF(OR(B1557="",N(N1557)=0,N1557=1000),"",INDEX(Rules!$C:$C,N1557))</f>
        <v/>
      </c>
      <c r="G1557" s="24"/>
      <c r="H1557" s="24"/>
      <c r="I1557" s="20" t="str">
        <f aca="false">IF(B1557="","",IF(G1557&lt;&gt;"",G1557,E1557))</f>
        <v/>
      </c>
      <c r="J1557" s="21" t="str">
        <f aca="false">IF(B1557="","",IF(H1557&lt;&gt;"",H1557,F1557))</f>
        <v/>
      </c>
      <c r="K1557" s="26" t="str">
        <f aca="false">IF(A1557="","",DATE(YEAR(A1557),MONTH(A1557),1))</f>
        <v/>
      </c>
      <c r="L1557" s="21" t="str">
        <f aca="false">IF(J1557="",IF(B1557="","",IF(N(C1557)&gt;=0,"Income","Expense")),IFERROR(INDEX(Lists!$B$2:$B$30,MATCH(J1557,Lists!$A$2:$A$30,0)),""))</f>
        <v/>
      </c>
      <c r="M1557" s="24"/>
      <c r="N1557" s="27" t="str">
        <f aca="false">IF(B1557="","",IFERROR(1000-SUMPRODUCT(MAX(ISNUMBER(SEARCH(Rules!$A$5:$A$204,B1557))*(Rules!$A$5:$A$204&lt;&gt;"")*(1000-ROW(Rules!$A$5:$A$204)))),""))</f>
        <v/>
      </c>
    </row>
    <row r="1558" customFormat="false" ht="15" hidden="false" customHeight="false" outlineLevel="0" collapsed="false">
      <c r="A1558" s="23"/>
      <c r="B1558" s="24"/>
      <c r="C1558" s="25"/>
      <c r="D1558" s="24"/>
      <c r="E1558" s="21" t="str">
        <f aca="false">IF(OR(B1558="",N(N1558)=0,N1558=1000),IF(B1558="","","Check"),INDEX(Rules!$B:$B,N1558))</f>
        <v/>
      </c>
      <c r="F1558" s="21" t="str">
        <f aca="false">IF(OR(B1558="",N(N1558)=0,N1558=1000),"",INDEX(Rules!$C:$C,N1558))</f>
        <v/>
      </c>
      <c r="G1558" s="24"/>
      <c r="H1558" s="24"/>
      <c r="I1558" s="20" t="str">
        <f aca="false">IF(B1558="","",IF(G1558&lt;&gt;"",G1558,E1558))</f>
        <v/>
      </c>
      <c r="J1558" s="21" t="str">
        <f aca="false">IF(B1558="","",IF(H1558&lt;&gt;"",H1558,F1558))</f>
        <v/>
      </c>
      <c r="K1558" s="26" t="str">
        <f aca="false">IF(A1558="","",DATE(YEAR(A1558),MONTH(A1558),1))</f>
        <v/>
      </c>
      <c r="L1558" s="21" t="str">
        <f aca="false">IF(J1558="",IF(B1558="","",IF(N(C1558)&gt;=0,"Income","Expense")),IFERROR(INDEX(Lists!$B$2:$B$30,MATCH(J1558,Lists!$A$2:$A$30,0)),""))</f>
        <v/>
      </c>
      <c r="M1558" s="24"/>
      <c r="N1558" s="27" t="str">
        <f aca="false">IF(B1558="","",IFERROR(1000-SUMPRODUCT(MAX(ISNUMBER(SEARCH(Rules!$A$5:$A$204,B1558))*(Rules!$A$5:$A$204&lt;&gt;"")*(1000-ROW(Rules!$A$5:$A$204)))),""))</f>
        <v/>
      </c>
    </row>
    <row r="1559" customFormat="false" ht="15" hidden="false" customHeight="false" outlineLevel="0" collapsed="false">
      <c r="A1559" s="23"/>
      <c r="B1559" s="24"/>
      <c r="C1559" s="25"/>
      <c r="D1559" s="24"/>
      <c r="E1559" s="21" t="str">
        <f aca="false">IF(OR(B1559="",N(N1559)=0,N1559=1000),IF(B1559="","","Check"),INDEX(Rules!$B:$B,N1559))</f>
        <v/>
      </c>
      <c r="F1559" s="21" t="str">
        <f aca="false">IF(OR(B1559="",N(N1559)=0,N1559=1000),"",INDEX(Rules!$C:$C,N1559))</f>
        <v/>
      </c>
      <c r="G1559" s="24"/>
      <c r="H1559" s="24"/>
      <c r="I1559" s="20" t="str">
        <f aca="false">IF(B1559="","",IF(G1559&lt;&gt;"",G1559,E1559))</f>
        <v/>
      </c>
      <c r="J1559" s="21" t="str">
        <f aca="false">IF(B1559="","",IF(H1559&lt;&gt;"",H1559,F1559))</f>
        <v/>
      </c>
      <c r="K1559" s="26" t="str">
        <f aca="false">IF(A1559="","",DATE(YEAR(A1559),MONTH(A1559),1))</f>
        <v/>
      </c>
      <c r="L1559" s="21" t="str">
        <f aca="false">IF(J1559="",IF(B1559="","",IF(N(C1559)&gt;=0,"Income","Expense")),IFERROR(INDEX(Lists!$B$2:$B$30,MATCH(J1559,Lists!$A$2:$A$30,0)),""))</f>
        <v/>
      </c>
      <c r="M1559" s="24"/>
      <c r="N1559" s="27" t="str">
        <f aca="false">IF(B1559="","",IFERROR(1000-SUMPRODUCT(MAX(ISNUMBER(SEARCH(Rules!$A$5:$A$204,B1559))*(Rules!$A$5:$A$204&lt;&gt;"")*(1000-ROW(Rules!$A$5:$A$204)))),""))</f>
        <v/>
      </c>
    </row>
    <row r="1560" customFormat="false" ht="15" hidden="false" customHeight="false" outlineLevel="0" collapsed="false">
      <c r="A1560" s="23"/>
      <c r="B1560" s="24"/>
      <c r="C1560" s="25"/>
      <c r="D1560" s="24"/>
      <c r="E1560" s="21" t="str">
        <f aca="false">IF(OR(B1560="",N(N1560)=0,N1560=1000),IF(B1560="","","Check"),INDEX(Rules!$B:$B,N1560))</f>
        <v/>
      </c>
      <c r="F1560" s="21" t="str">
        <f aca="false">IF(OR(B1560="",N(N1560)=0,N1560=1000),"",INDEX(Rules!$C:$C,N1560))</f>
        <v/>
      </c>
      <c r="G1560" s="24"/>
      <c r="H1560" s="24"/>
      <c r="I1560" s="20" t="str">
        <f aca="false">IF(B1560="","",IF(G1560&lt;&gt;"",G1560,E1560))</f>
        <v/>
      </c>
      <c r="J1560" s="21" t="str">
        <f aca="false">IF(B1560="","",IF(H1560&lt;&gt;"",H1560,F1560))</f>
        <v/>
      </c>
      <c r="K1560" s="26" t="str">
        <f aca="false">IF(A1560="","",DATE(YEAR(A1560),MONTH(A1560),1))</f>
        <v/>
      </c>
      <c r="L1560" s="21" t="str">
        <f aca="false">IF(J1560="",IF(B1560="","",IF(N(C1560)&gt;=0,"Income","Expense")),IFERROR(INDEX(Lists!$B$2:$B$30,MATCH(J1560,Lists!$A$2:$A$30,0)),""))</f>
        <v/>
      </c>
      <c r="M1560" s="24"/>
      <c r="N1560" s="27" t="str">
        <f aca="false">IF(B1560="","",IFERROR(1000-SUMPRODUCT(MAX(ISNUMBER(SEARCH(Rules!$A$5:$A$204,B1560))*(Rules!$A$5:$A$204&lt;&gt;"")*(1000-ROW(Rules!$A$5:$A$204)))),""))</f>
        <v/>
      </c>
    </row>
    <row r="1561" customFormat="false" ht="15" hidden="false" customHeight="false" outlineLevel="0" collapsed="false">
      <c r="A1561" s="23"/>
      <c r="B1561" s="24"/>
      <c r="C1561" s="25"/>
      <c r="D1561" s="24"/>
      <c r="E1561" s="21" t="str">
        <f aca="false">IF(OR(B1561="",N(N1561)=0,N1561=1000),IF(B1561="","","Check"),INDEX(Rules!$B:$B,N1561))</f>
        <v/>
      </c>
      <c r="F1561" s="21" t="str">
        <f aca="false">IF(OR(B1561="",N(N1561)=0,N1561=1000),"",INDEX(Rules!$C:$C,N1561))</f>
        <v/>
      </c>
      <c r="G1561" s="24"/>
      <c r="H1561" s="24"/>
      <c r="I1561" s="20" t="str">
        <f aca="false">IF(B1561="","",IF(G1561&lt;&gt;"",G1561,E1561))</f>
        <v/>
      </c>
      <c r="J1561" s="21" t="str">
        <f aca="false">IF(B1561="","",IF(H1561&lt;&gt;"",H1561,F1561))</f>
        <v/>
      </c>
      <c r="K1561" s="26" t="str">
        <f aca="false">IF(A1561="","",DATE(YEAR(A1561),MONTH(A1561),1))</f>
        <v/>
      </c>
      <c r="L1561" s="21" t="str">
        <f aca="false">IF(J1561="",IF(B1561="","",IF(N(C1561)&gt;=0,"Income","Expense")),IFERROR(INDEX(Lists!$B$2:$B$30,MATCH(J1561,Lists!$A$2:$A$30,0)),""))</f>
        <v/>
      </c>
      <c r="M1561" s="24"/>
      <c r="N1561" s="27" t="str">
        <f aca="false">IF(B1561="","",IFERROR(1000-SUMPRODUCT(MAX(ISNUMBER(SEARCH(Rules!$A$5:$A$204,B1561))*(Rules!$A$5:$A$204&lt;&gt;"")*(1000-ROW(Rules!$A$5:$A$204)))),""))</f>
        <v/>
      </c>
    </row>
    <row r="1562" customFormat="false" ht="15" hidden="false" customHeight="false" outlineLevel="0" collapsed="false">
      <c r="A1562" s="23"/>
      <c r="B1562" s="24"/>
      <c r="C1562" s="25"/>
      <c r="D1562" s="24"/>
      <c r="E1562" s="21" t="str">
        <f aca="false">IF(OR(B1562="",N(N1562)=0,N1562=1000),IF(B1562="","","Check"),INDEX(Rules!$B:$B,N1562))</f>
        <v/>
      </c>
      <c r="F1562" s="21" t="str">
        <f aca="false">IF(OR(B1562="",N(N1562)=0,N1562=1000),"",INDEX(Rules!$C:$C,N1562))</f>
        <v/>
      </c>
      <c r="G1562" s="24"/>
      <c r="H1562" s="24"/>
      <c r="I1562" s="20" t="str">
        <f aca="false">IF(B1562="","",IF(G1562&lt;&gt;"",G1562,E1562))</f>
        <v/>
      </c>
      <c r="J1562" s="21" t="str">
        <f aca="false">IF(B1562="","",IF(H1562&lt;&gt;"",H1562,F1562))</f>
        <v/>
      </c>
      <c r="K1562" s="26" t="str">
        <f aca="false">IF(A1562="","",DATE(YEAR(A1562),MONTH(A1562),1))</f>
        <v/>
      </c>
      <c r="L1562" s="21" t="str">
        <f aca="false">IF(J1562="",IF(B1562="","",IF(N(C1562)&gt;=0,"Income","Expense")),IFERROR(INDEX(Lists!$B$2:$B$30,MATCH(J1562,Lists!$A$2:$A$30,0)),""))</f>
        <v/>
      </c>
      <c r="M1562" s="24"/>
      <c r="N1562" s="27" t="str">
        <f aca="false">IF(B1562="","",IFERROR(1000-SUMPRODUCT(MAX(ISNUMBER(SEARCH(Rules!$A$5:$A$204,B1562))*(Rules!$A$5:$A$204&lt;&gt;"")*(1000-ROW(Rules!$A$5:$A$204)))),""))</f>
        <v/>
      </c>
    </row>
    <row r="1563" customFormat="false" ht="15" hidden="false" customHeight="false" outlineLevel="0" collapsed="false">
      <c r="A1563" s="23"/>
      <c r="B1563" s="24"/>
      <c r="C1563" s="25"/>
      <c r="D1563" s="24"/>
      <c r="E1563" s="21" t="str">
        <f aca="false">IF(OR(B1563="",N(N1563)=0,N1563=1000),IF(B1563="","","Check"),INDEX(Rules!$B:$B,N1563))</f>
        <v/>
      </c>
      <c r="F1563" s="21" t="str">
        <f aca="false">IF(OR(B1563="",N(N1563)=0,N1563=1000),"",INDEX(Rules!$C:$C,N1563))</f>
        <v/>
      </c>
      <c r="G1563" s="24"/>
      <c r="H1563" s="24"/>
      <c r="I1563" s="20" t="str">
        <f aca="false">IF(B1563="","",IF(G1563&lt;&gt;"",G1563,E1563))</f>
        <v/>
      </c>
      <c r="J1563" s="21" t="str">
        <f aca="false">IF(B1563="","",IF(H1563&lt;&gt;"",H1563,F1563))</f>
        <v/>
      </c>
      <c r="K1563" s="26" t="str">
        <f aca="false">IF(A1563="","",DATE(YEAR(A1563),MONTH(A1563),1))</f>
        <v/>
      </c>
      <c r="L1563" s="21" t="str">
        <f aca="false">IF(J1563="",IF(B1563="","",IF(N(C1563)&gt;=0,"Income","Expense")),IFERROR(INDEX(Lists!$B$2:$B$30,MATCH(J1563,Lists!$A$2:$A$30,0)),""))</f>
        <v/>
      </c>
      <c r="M1563" s="24"/>
      <c r="N1563" s="27" t="str">
        <f aca="false">IF(B1563="","",IFERROR(1000-SUMPRODUCT(MAX(ISNUMBER(SEARCH(Rules!$A$5:$A$204,B1563))*(Rules!$A$5:$A$204&lt;&gt;"")*(1000-ROW(Rules!$A$5:$A$204)))),""))</f>
        <v/>
      </c>
    </row>
    <row r="1564" customFormat="false" ht="15" hidden="false" customHeight="false" outlineLevel="0" collapsed="false">
      <c r="A1564" s="23"/>
      <c r="B1564" s="24"/>
      <c r="C1564" s="25"/>
      <c r="D1564" s="24"/>
      <c r="E1564" s="21" t="str">
        <f aca="false">IF(OR(B1564="",N(N1564)=0,N1564=1000),IF(B1564="","","Check"),INDEX(Rules!$B:$B,N1564))</f>
        <v/>
      </c>
      <c r="F1564" s="21" t="str">
        <f aca="false">IF(OR(B1564="",N(N1564)=0,N1564=1000),"",INDEX(Rules!$C:$C,N1564))</f>
        <v/>
      </c>
      <c r="G1564" s="24"/>
      <c r="H1564" s="24"/>
      <c r="I1564" s="20" t="str">
        <f aca="false">IF(B1564="","",IF(G1564&lt;&gt;"",G1564,E1564))</f>
        <v/>
      </c>
      <c r="J1564" s="21" t="str">
        <f aca="false">IF(B1564="","",IF(H1564&lt;&gt;"",H1564,F1564))</f>
        <v/>
      </c>
      <c r="K1564" s="26" t="str">
        <f aca="false">IF(A1564="","",DATE(YEAR(A1564),MONTH(A1564),1))</f>
        <v/>
      </c>
      <c r="L1564" s="21" t="str">
        <f aca="false">IF(J1564="",IF(B1564="","",IF(N(C1564)&gt;=0,"Income","Expense")),IFERROR(INDEX(Lists!$B$2:$B$30,MATCH(J1564,Lists!$A$2:$A$30,0)),""))</f>
        <v/>
      </c>
      <c r="M1564" s="24"/>
      <c r="N1564" s="27" t="str">
        <f aca="false">IF(B1564="","",IFERROR(1000-SUMPRODUCT(MAX(ISNUMBER(SEARCH(Rules!$A$5:$A$204,B1564))*(Rules!$A$5:$A$204&lt;&gt;"")*(1000-ROW(Rules!$A$5:$A$204)))),""))</f>
        <v/>
      </c>
    </row>
    <row r="1565" customFormat="false" ht="15" hidden="false" customHeight="false" outlineLevel="0" collapsed="false">
      <c r="A1565" s="23"/>
      <c r="B1565" s="24"/>
      <c r="C1565" s="25"/>
      <c r="D1565" s="24"/>
      <c r="E1565" s="21" t="str">
        <f aca="false">IF(OR(B1565="",N(N1565)=0,N1565=1000),IF(B1565="","","Check"),INDEX(Rules!$B:$B,N1565))</f>
        <v/>
      </c>
      <c r="F1565" s="21" t="str">
        <f aca="false">IF(OR(B1565="",N(N1565)=0,N1565=1000),"",INDEX(Rules!$C:$C,N1565))</f>
        <v/>
      </c>
      <c r="G1565" s="24"/>
      <c r="H1565" s="24"/>
      <c r="I1565" s="20" t="str">
        <f aca="false">IF(B1565="","",IF(G1565&lt;&gt;"",G1565,E1565))</f>
        <v/>
      </c>
      <c r="J1565" s="21" t="str">
        <f aca="false">IF(B1565="","",IF(H1565&lt;&gt;"",H1565,F1565))</f>
        <v/>
      </c>
      <c r="K1565" s="26" t="str">
        <f aca="false">IF(A1565="","",DATE(YEAR(A1565),MONTH(A1565),1))</f>
        <v/>
      </c>
      <c r="L1565" s="21" t="str">
        <f aca="false">IF(J1565="",IF(B1565="","",IF(N(C1565)&gt;=0,"Income","Expense")),IFERROR(INDEX(Lists!$B$2:$B$30,MATCH(J1565,Lists!$A$2:$A$30,0)),""))</f>
        <v/>
      </c>
      <c r="M1565" s="24"/>
      <c r="N1565" s="27" t="str">
        <f aca="false">IF(B1565="","",IFERROR(1000-SUMPRODUCT(MAX(ISNUMBER(SEARCH(Rules!$A$5:$A$204,B1565))*(Rules!$A$5:$A$204&lt;&gt;"")*(1000-ROW(Rules!$A$5:$A$204)))),""))</f>
        <v/>
      </c>
    </row>
    <row r="1566" customFormat="false" ht="15" hidden="false" customHeight="false" outlineLevel="0" collapsed="false">
      <c r="A1566" s="23"/>
      <c r="B1566" s="24"/>
      <c r="C1566" s="25"/>
      <c r="D1566" s="24"/>
      <c r="E1566" s="21" t="str">
        <f aca="false">IF(OR(B1566="",N(N1566)=0,N1566=1000),IF(B1566="","","Check"),INDEX(Rules!$B:$B,N1566))</f>
        <v/>
      </c>
      <c r="F1566" s="21" t="str">
        <f aca="false">IF(OR(B1566="",N(N1566)=0,N1566=1000),"",INDEX(Rules!$C:$C,N1566))</f>
        <v/>
      </c>
      <c r="G1566" s="24"/>
      <c r="H1566" s="24"/>
      <c r="I1566" s="20" t="str">
        <f aca="false">IF(B1566="","",IF(G1566&lt;&gt;"",G1566,E1566))</f>
        <v/>
      </c>
      <c r="J1566" s="21" t="str">
        <f aca="false">IF(B1566="","",IF(H1566&lt;&gt;"",H1566,F1566))</f>
        <v/>
      </c>
      <c r="K1566" s="26" t="str">
        <f aca="false">IF(A1566="","",DATE(YEAR(A1566),MONTH(A1566),1))</f>
        <v/>
      </c>
      <c r="L1566" s="21" t="str">
        <f aca="false">IF(J1566="",IF(B1566="","",IF(N(C1566)&gt;=0,"Income","Expense")),IFERROR(INDEX(Lists!$B$2:$B$30,MATCH(J1566,Lists!$A$2:$A$30,0)),""))</f>
        <v/>
      </c>
      <c r="M1566" s="24"/>
      <c r="N1566" s="27" t="str">
        <f aca="false">IF(B1566="","",IFERROR(1000-SUMPRODUCT(MAX(ISNUMBER(SEARCH(Rules!$A$5:$A$204,B1566))*(Rules!$A$5:$A$204&lt;&gt;"")*(1000-ROW(Rules!$A$5:$A$204)))),""))</f>
        <v/>
      </c>
    </row>
    <row r="1567" customFormat="false" ht="15" hidden="false" customHeight="false" outlineLevel="0" collapsed="false">
      <c r="A1567" s="23"/>
      <c r="B1567" s="24"/>
      <c r="C1567" s="25"/>
      <c r="D1567" s="24"/>
      <c r="E1567" s="21" t="str">
        <f aca="false">IF(OR(B1567="",N(N1567)=0,N1567=1000),IF(B1567="","","Check"),INDEX(Rules!$B:$B,N1567))</f>
        <v/>
      </c>
      <c r="F1567" s="21" t="str">
        <f aca="false">IF(OR(B1567="",N(N1567)=0,N1567=1000),"",INDEX(Rules!$C:$C,N1567))</f>
        <v/>
      </c>
      <c r="G1567" s="24"/>
      <c r="H1567" s="24"/>
      <c r="I1567" s="20" t="str">
        <f aca="false">IF(B1567="","",IF(G1567&lt;&gt;"",G1567,E1567))</f>
        <v/>
      </c>
      <c r="J1567" s="21" t="str">
        <f aca="false">IF(B1567="","",IF(H1567&lt;&gt;"",H1567,F1567))</f>
        <v/>
      </c>
      <c r="K1567" s="26" t="str">
        <f aca="false">IF(A1567="","",DATE(YEAR(A1567),MONTH(A1567),1))</f>
        <v/>
      </c>
      <c r="L1567" s="21" t="str">
        <f aca="false">IF(J1567="",IF(B1567="","",IF(N(C1567)&gt;=0,"Income","Expense")),IFERROR(INDEX(Lists!$B$2:$B$30,MATCH(J1567,Lists!$A$2:$A$30,0)),""))</f>
        <v/>
      </c>
      <c r="M1567" s="24"/>
      <c r="N1567" s="27" t="str">
        <f aca="false">IF(B1567="","",IFERROR(1000-SUMPRODUCT(MAX(ISNUMBER(SEARCH(Rules!$A$5:$A$204,B1567))*(Rules!$A$5:$A$204&lt;&gt;"")*(1000-ROW(Rules!$A$5:$A$204)))),""))</f>
        <v/>
      </c>
    </row>
    <row r="1568" customFormat="false" ht="15" hidden="false" customHeight="false" outlineLevel="0" collapsed="false">
      <c r="A1568" s="23"/>
      <c r="B1568" s="24"/>
      <c r="C1568" s="25"/>
      <c r="D1568" s="24"/>
      <c r="E1568" s="21" t="str">
        <f aca="false">IF(OR(B1568="",N(N1568)=0,N1568=1000),IF(B1568="","","Check"),INDEX(Rules!$B:$B,N1568))</f>
        <v/>
      </c>
      <c r="F1568" s="21" t="str">
        <f aca="false">IF(OR(B1568="",N(N1568)=0,N1568=1000),"",INDEX(Rules!$C:$C,N1568))</f>
        <v/>
      </c>
      <c r="G1568" s="24"/>
      <c r="H1568" s="24"/>
      <c r="I1568" s="20" t="str">
        <f aca="false">IF(B1568="","",IF(G1568&lt;&gt;"",G1568,E1568))</f>
        <v/>
      </c>
      <c r="J1568" s="21" t="str">
        <f aca="false">IF(B1568="","",IF(H1568&lt;&gt;"",H1568,F1568))</f>
        <v/>
      </c>
      <c r="K1568" s="26" t="str">
        <f aca="false">IF(A1568="","",DATE(YEAR(A1568),MONTH(A1568),1))</f>
        <v/>
      </c>
      <c r="L1568" s="21" t="str">
        <f aca="false">IF(J1568="",IF(B1568="","",IF(N(C1568)&gt;=0,"Income","Expense")),IFERROR(INDEX(Lists!$B$2:$B$30,MATCH(J1568,Lists!$A$2:$A$30,0)),""))</f>
        <v/>
      </c>
      <c r="M1568" s="24"/>
      <c r="N1568" s="27" t="str">
        <f aca="false">IF(B1568="","",IFERROR(1000-SUMPRODUCT(MAX(ISNUMBER(SEARCH(Rules!$A$5:$A$204,B1568))*(Rules!$A$5:$A$204&lt;&gt;"")*(1000-ROW(Rules!$A$5:$A$204)))),""))</f>
        <v/>
      </c>
    </row>
    <row r="1569" customFormat="false" ht="15" hidden="false" customHeight="false" outlineLevel="0" collapsed="false">
      <c r="A1569" s="23"/>
      <c r="B1569" s="24"/>
      <c r="C1569" s="25"/>
      <c r="D1569" s="24"/>
      <c r="E1569" s="21" t="str">
        <f aca="false">IF(OR(B1569="",N(N1569)=0,N1569=1000),IF(B1569="","","Check"),INDEX(Rules!$B:$B,N1569))</f>
        <v/>
      </c>
      <c r="F1569" s="21" t="str">
        <f aca="false">IF(OR(B1569="",N(N1569)=0,N1569=1000),"",INDEX(Rules!$C:$C,N1569))</f>
        <v/>
      </c>
      <c r="G1569" s="24"/>
      <c r="H1569" s="24"/>
      <c r="I1569" s="20" t="str">
        <f aca="false">IF(B1569="","",IF(G1569&lt;&gt;"",G1569,E1569))</f>
        <v/>
      </c>
      <c r="J1569" s="21" t="str">
        <f aca="false">IF(B1569="","",IF(H1569&lt;&gt;"",H1569,F1569))</f>
        <v/>
      </c>
      <c r="K1569" s="26" t="str">
        <f aca="false">IF(A1569="","",DATE(YEAR(A1569),MONTH(A1569),1))</f>
        <v/>
      </c>
      <c r="L1569" s="21" t="str">
        <f aca="false">IF(J1569="",IF(B1569="","",IF(N(C1569)&gt;=0,"Income","Expense")),IFERROR(INDEX(Lists!$B$2:$B$30,MATCH(J1569,Lists!$A$2:$A$30,0)),""))</f>
        <v/>
      </c>
      <c r="M1569" s="24"/>
      <c r="N1569" s="27" t="str">
        <f aca="false">IF(B1569="","",IFERROR(1000-SUMPRODUCT(MAX(ISNUMBER(SEARCH(Rules!$A$5:$A$204,B1569))*(Rules!$A$5:$A$204&lt;&gt;"")*(1000-ROW(Rules!$A$5:$A$204)))),""))</f>
        <v/>
      </c>
    </row>
    <row r="1570" customFormat="false" ht="15" hidden="false" customHeight="false" outlineLevel="0" collapsed="false">
      <c r="A1570" s="23"/>
      <c r="B1570" s="24"/>
      <c r="C1570" s="25"/>
      <c r="D1570" s="24"/>
      <c r="E1570" s="21" t="str">
        <f aca="false">IF(OR(B1570="",N(N1570)=0,N1570=1000),IF(B1570="","","Check"),INDEX(Rules!$B:$B,N1570))</f>
        <v/>
      </c>
      <c r="F1570" s="21" t="str">
        <f aca="false">IF(OR(B1570="",N(N1570)=0,N1570=1000),"",INDEX(Rules!$C:$C,N1570))</f>
        <v/>
      </c>
      <c r="G1570" s="24"/>
      <c r="H1570" s="24"/>
      <c r="I1570" s="20" t="str">
        <f aca="false">IF(B1570="","",IF(G1570&lt;&gt;"",G1570,E1570))</f>
        <v/>
      </c>
      <c r="J1570" s="21" t="str">
        <f aca="false">IF(B1570="","",IF(H1570&lt;&gt;"",H1570,F1570))</f>
        <v/>
      </c>
      <c r="K1570" s="26" t="str">
        <f aca="false">IF(A1570="","",DATE(YEAR(A1570),MONTH(A1570),1))</f>
        <v/>
      </c>
      <c r="L1570" s="21" t="str">
        <f aca="false">IF(J1570="",IF(B1570="","",IF(N(C1570)&gt;=0,"Income","Expense")),IFERROR(INDEX(Lists!$B$2:$B$30,MATCH(J1570,Lists!$A$2:$A$30,0)),""))</f>
        <v/>
      </c>
      <c r="M1570" s="24"/>
      <c r="N1570" s="27" t="str">
        <f aca="false">IF(B1570="","",IFERROR(1000-SUMPRODUCT(MAX(ISNUMBER(SEARCH(Rules!$A$5:$A$204,B1570))*(Rules!$A$5:$A$204&lt;&gt;"")*(1000-ROW(Rules!$A$5:$A$204)))),""))</f>
        <v/>
      </c>
    </row>
    <row r="1571" customFormat="false" ht="15" hidden="false" customHeight="false" outlineLevel="0" collapsed="false">
      <c r="A1571" s="23"/>
      <c r="B1571" s="24"/>
      <c r="C1571" s="25"/>
      <c r="D1571" s="24"/>
      <c r="E1571" s="21" t="str">
        <f aca="false">IF(OR(B1571="",N(N1571)=0,N1571=1000),IF(B1571="","","Check"),INDEX(Rules!$B:$B,N1571))</f>
        <v/>
      </c>
      <c r="F1571" s="21" t="str">
        <f aca="false">IF(OR(B1571="",N(N1571)=0,N1571=1000),"",INDEX(Rules!$C:$C,N1571))</f>
        <v/>
      </c>
      <c r="G1571" s="24"/>
      <c r="H1571" s="24"/>
      <c r="I1571" s="20" t="str">
        <f aca="false">IF(B1571="","",IF(G1571&lt;&gt;"",G1571,E1571))</f>
        <v/>
      </c>
      <c r="J1571" s="21" t="str">
        <f aca="false">IF(B1571="","",IF(H1571&lt;&gt;"",H1571,F1571))</f>
        <v/>
      </c>
      <c r="K1571" s="26" t="str">
        <f aca="false">IF(A1571="","",DATE(YEAR(A1571),MONTH(A1571),1))</f>
        <v/>
      </c>
      <c r="L1571" s="21" t="str">
        <f aca="false">IF(J1571="",IF(B1571="","",IF(N(C1571)&gt;=0,"Income","Expense")),IFERROR(INDEX(Lists!$B$2:$B$30,MATCH(J1571,Lists!$A$2:$A$30,0)),""))</f>
        <v/>
      </c>
      <c r="M1571" s="24"/>
      <c r="N1571" s="27" t="str">
        <f aca="false">IF(B1571="","",IFERROR(1000-SUMPRODUCT(MAX(ISNUMBER(SEARCH(Rules!$A$5:$A$204,B1571))*(Rules!$A$5:$A$204&lt;&gt;"")*(1000-ROW(Rules!$A$5:$A$204)))),""))</f>
        <v/>
      </c>
    </row>
    <row r="1572" customFormat="false" ht="15" hidden="false" customHeight="false" outlineLevel="0" collapsed="false">
      <c r="A1572" s="23"/>
      <c r="B1572" s="24"/>
      <c r="C1572" s="25"/>
      <c r="D1572" s="24"/>
      <c r="E1572" s="21" t="str">
        <f aca="false">IF(OR(B1572="",N(N1572)=0,N1572=1000),IF(B1572="","","Check"),INDEX(Rules!$B:$B,N1572))</f>
        <v/>
      </c>
      <c r="F1572" s="21" t="str">
        <f aca="false">IF(OR(B1572="",N(N1572)=0,N1572=1000),"",INDEX(Rules!$C:$C,N1572))</f>
        <v/>
      </c>
      <c r="G1572" s="24"/>
      <c r="H1572" s="24"/>
      <c r="I1572" s="20" t="str">
        <f aca="false">IF(B1572="","",IF(G1572&lt;&gt;"",G1572,E1572))</f>
        <v/>
      </c>
      <c r="J1572" s="21" t="str">
        <f aca="false">IF(B1572="","",IF(H1572&lt;&gt;"",H1572,F1572))</f>
        <v/>
      </c>
      <c r="K1572" s="26" t="str">
        <f aca="false">IF(A1572="","",DATE(YEAR(A1572),MONTH(A1572),1))</f>
        <v/>
      </c>
      <c r="L1572" s="21" t="str">
        <f aca="false">IF(J1572="",IF(B1572="","",IF(N(C1572)&gt;=0,"Income","Expense")),IFERROR(INDEX(Lists!$B$2:$B$30,MATCH(J1572,Lists!$A$2:$A$30,0)),""))</f>
        <v/>
      </c>
      <c r="M1572" s="24"/>
      <c r="N1572" s="27" t="str">
        <f aca="false">IF(B1572="","",IFERROR(1000-SUMPRODUCT(MAX(ISNUMBER(SEARCH(Rules!$A$5:$A$204,B1572))*(Rules!$A$5:$A$204&lt;&gt;"")*(1000-ROW(Rules!$A$5:$A$204)))),""))</f>
        <v/>
      </c>
    </row>
    <row r="1573" customFormat="false" ht="15" hidden="false" customHeight="false" outlineLevel="0" collapsed="false">
      <c r="A1573" s="23"/>
      <c r="B1573" s="24"/>
      <c r="C1573" s="25"/>
      <c r="D1573" s="24"/>
      <c r="E1573" s="21" t="str">
        <f aca="false">IF(OR(B1573="",N(N1573)=0,N1573=1000),IF(B1573="","","Check"),INDEX(Rules!$B:$B,N1573))</f>
        <v/>
      </c>
      <c r="F1573" s="21" t="str">
        <f aca="false">IF(OR(B1573="",N(N1573)=0,N1573=1000),"",INDEX(Rules!$C:$C,N1573))</f>
        <v/>
      </c>
      <c r="G1573" s="24"/>
      <c r="H1573" s="24"/>
      <c r="I1573" s="20" t="str">
        <f aca="false">IF(B1573="","",IF(G1573&lt;&gt;"",G1573,E1573))</f>
        <v/>
      </c>
      <c r="J1573" s="21" t="str">
        <f aca="false">IF(B1573="","",IF(H1573&lt;&gt;"",H1573,F1573))</f>
        <v/>
      </c>
      <c r="K1573" s="26" t="str">
        <f aca="false">IF(A1573="","",DATE(YEAR(A1573),MONTH(A1573),1))</f>
        <v/>
      </c>
      <c r="L1573" s="21" t="str">
        <f aca="false">IF(J1573="",IF(B1573="","",IF(N(C1573)&gt;=0,"Income","Expense")),IFERROR(INDEX(Lists!$B$2:$B$30,MATCH(J1573,Lists!$A$2:$A$30,0)),""))</f>
        <v/>
      </c>
      <c r="M1573" s="24"/>
      <c r="N1573" s="27" t="str">
        <f aca="false">IF(B1573="","",IFERROR(1000-SUMPRODUCT(MAX(ISNUMBER(SEARCH(Rules!$A$5:$A$204,B1573))*(Rules!$A$5:$A$204&lt;&gt;"")*(1000-ROW(Rules!$A$5:$A$204)))),""))</f>
        <v/>
      </c>
    </row>
    <row r="1574" customFormat="false" ht="15" hidden="false" customHeight="false" outlineLevel="0" collapsed="false">
      <c r="A1574" s="23"/>
      <c r="B1574" s="24"/>
      <c r="C1574" s="25"/>
      <c r="D1574" s="24"/>
      <c r="E1574" s="21" t="str">
        <f aca="false">IF(OR(B1574="",N(N1574)=0,N1574=1000),IF(B1574="","","Check"),INDEX(Rules!$B:$B,N1574))</f>
        <v/>
      </c>
      <c r="F1574" s="21" t="str">
        <f aca="false">IF(OR(B1574="",N(N1574)=0,N1574=1000),"",INDEX(Rules!$C:$C,N1574))</f>
        <v/>
      </c>
      <c r="G1574" s="24"/>
      <c r="H1574" s="24"/>
      <c r="I1574" s="20" t="str">
        <f aca="false">IF(B1574="","",IF(G1574&lt;&gt;"",G1574,E1574))</f>
        <v/>
      </c>
      <c r="J1574" s="21" t="str">
        <f aca="false">IF(B1574="","",IF(H1574&lt;&gt;"",H1574,F1574))</f>
        <v/>
      </c>
      <c r="K1574" s="26" t="str">
        <f aca="false">IF(A1574="","",DATE(YEAR(A1574),MONTH(A1574),1))</f>
        <v/>
      </c>
      <c r="L1574" s="21" t="str">
        <f aca="false">IF(J1574="",IF(B1574="","",IF(N(C1574)&gt;=0,"Income","Expense")),IFERROR(INDEX(Lists!$B$2:$B$30,MATCH(J1574,Lists!$A$2:$A$30,0)),""))</f>
        <v/>
      </c>
      <c r="M1574" s="24"/>
      <c r="N1574" s="27" t="str">
        <f aca="false">IF(B1574="","",IFERROR(1000-SUMPRODUCT(MAX(ISNUMBER(SEARCH(Rules!$A$5:$A$204,B1574))*(Rules!$A$5:$A$204&lt;&gt;"")*(1000-ROW(Rules!$A$5:$A$204)))),""))</f>
        <v/>
      </c>
    </row>
    <row r="1575" customFormat="false" ht="15" hidden="false" customHeight="false" outlineLevel="0" collapsed="false">
      <c r="A1575" s="23"/>
      <c r="B1575" s="24"/>
      <c r="C1575" s="25"/>
      <c r="D1575" s="24"/>
      <c r="E1575" s="21" t="str">
        <f aca="false">IF(OR(B1575="",N(N1575)=0,N1575=1000),IF(B1575="","","Check"),INDEX(Rules!$B:$B,N1575))</f>
        <v/>
      </c>
      <c r="F1575" s="21" t="str">
        <f aca="false">IF(OR(B1575="",N(N1575)=0,N1575=1000),"",INDEX(Rules!$C:$C,N1575))</f>
        <v/>
      </c>
      <c r="G1575" s="24"/>
      <c r="H1575" s="24"/>
      <c r="I1575" s="20" t="str">
        <f aca="false">IF(B1575="","",IF(G1575&lt;&gt;"",G1575,E1575))</f>
        <v/>
      </c>
      <c r="J1575" s="21" t="str">
        <f aca="false">IF(B1575="","",IF(H1575&lt;&gt;"",H1575,F1575))</f>
        <v/>
      </c>
      <c r="K1575" s="26" t="str">
        <f aca="false">IF(A1575="","",DATE(YEAR(A1575),MONTH(A1575),1))</f>
        <v/>
      </c>
      <c r="L1575" s="21" t="str">
        <f aca="false">IF(J1575="",IF(B1575="","",IF(N(C1575)&gt;=0,"Income","Expense")),IFERROR(INDEX(Lists!$B$2:$B$30,MATCH(J1575,Lists!$A$2:$A$30,0)),""))</f>
        <v/>
      </c>
      <c r="M1575" s="24"/>
      <c r="N1575" s="27" t="str">
        <f aca="false">IF(B1575="","",IFERROR(1000-SUMPRODUCT(MAX(ISNUMBER(SEARCH(Rules!$A$5:$A$204,B1575))*(Rules!$A$5:$A$204&lt;&gt;"")*(1000-ROW(Rules!$A$5:$A$204)))),""))</f>
        <v/>
      </c>
    </row>
    <row r="1576" customFormat="false" ht="15" hidden="false" customHeight="false" outlineLevel="0" collapsed="false">
      <c r="A1576" s="23"/>
      <c r="B1576" s="24"/>
      <c r="C1576" s="25"/>
      <c r="D1576" s="24"/>
      <c r="E1576" s="21" t="str">
        <f aca="false">IF(OR(B1576="",N(N1576)=0,N1576=1000),IF(B1576="","","Check"),INDEX(Rules!$B:$B,N1576))</f>
        <v/>
      </c>
      <c r="F1576" s="21" t="str">
        <f aca="false">IF(OR(B1576="",N(N1576)=0,N1576=1000),"",INDEX(Rules!$C:$C,N1576))</f>
        <v/>
      </c>
      <c r="G1576" s="24"/>
      <c r="H1576" s="24"/>
      <c r="I1576" s="20" t="str">
        <f aca="false">IF(B1576="","",IF(G1576&lt;&gt;"",G1576,E1576))</f>
        <v/>
      </c>
      <c r="J1576" s="21" t="str">
        <f aca="false">IF(B1576="","",IF(H1576&lt;&gt;"",H1576,F1576))</f>
        <v/>
      </c>
      <c r="K1576" s="26" t="str">
        <f aca="false">IF(A1576="","",DATE(YEAR(A1576),MONTH(A1576),1))</f>
        <v/>
      </c>
      <c r="L1576" s="21" t="str">
        <f aca="false">IF(J1576="",IF(B1576="","",IF(N(C1576)&gt;=0,"Income","Expense")),IFERROR(INDEX(Lists!$B$2:$B$30,MATCH(J1576,Lists!$A$2:$A$30,0)),""))</f>
        <v/>
      </c>
      <c r="M1576" s="24"/>
      <c r="N1576" s="27" t="str">
        <f aca="false">IF(B1576="","",IFERROR(1000-SUMPRODUCT(MAX(ISNUMBER(SEARCH(Rules!$A$5:$A$204,B1576))*(Rules!$A$5:$A$204&lt;&gt;"")*(1000-ROW(Rules!$A$5:$A$204)))),""))</f>
        <v/>
      </c>
    </row>
    <row r="1577" customFormat="false" ht="15" hidden="false" customHeight="false" outlineLevel="0" collapsed="false">
      <c r="A1577" s="23"/>
      <c r="B1577" s="24"/>
      <c r="C1577" s="25"/>
      <c r="D1577" s="24"/>
      <c r="E1577" s="21" t="str">
        <f aca="false">IF(OR(B1577="",N(N1577)=0,N1577=1000),IF(B1577="","","Check"),INDEX(Rules!$B:$B,N1577))</f>
        <v/>
      </c>
      <c r="F1577" s="21" t="str">
        <f aca="false">IF(OR(B1577="",N(N1577)=0,N1577=1000),"",INDEX(Rules!$C:$C,N1577))</f>
        <v/>
      </c>
      <c r="G1577" s="24"/>
      <c r="H1577" s="24"/>
      <c r="I1577" s="20" t="str">
        <f aca="false">IF(B1577="","",IF(G1577&lt;&gt;"",G1577,E1577))</f>
        <v/>
      </c>
      <c r="J1577" s="21" t="str">
        <f aca="false">IF(B1577="","",IF(H1577&lt;&gt;"",H1577,F1577))</f>
        <v/>
      </c>
      <c r="K1577" s="26" t="str">
        <f aca="false">IF(A1577="","",DATE(YEAR(A1577),MONTH(A1577),1))</f>
        <v/>
      </c>
      <c r="L1577" s="21" t="str">
        <f aca="false">IF(J1577="",IF(B1577="","",IF(N(C1577)&gt;=0,"Income","Expense")),IFERROR(INDEX(Lists!$B$2:$B$30,MATCH(J1577,Lists!$A$2:$A$30,0)),""))</f>
        <v/>
      </c>
      <c r="M1577" s="24"/>
      <c r="N1577" s="27" t="str">
        <f aca="false">IF(B1577="","",IFERROR(1000-SUMPRODUCT(MAX(ISNUMBER(SEARCH(Rules!$A$5:$A$204,B1577))*(Rules!$A$5:$A$204&lt;&gt;"")*(1000-ROW(Rules!$A$5:$A$204)))),""))</f>
        <v/>
      </c>
    </row>
    <row r="1578" customFormat="false" ht="15" hidden="false" customHeight="false" outlineLevel="0" collapsed="false">
      <c r="A1578" s="23"/>
      <c r="B1578" s="24"/>
      <c r="C1578" s="25"/>
      <c r="D1578" s="24"/>
      <c r="E1578" s="21" t="str">
        <f aca="false">IF(OR(B1578="",N(N1578)=0,N1578=1000),IF(B1578="","","Check"),INDEX(Rules!$B:$B,N1578))</f>
        <v/>
      </c>
      <c r="F1578" s="21" t="str">
        <f aca="false">IF(OR(B1578="",N(N1578)=0,N1578=1000),"",INDEX(Rules!$C:$C,N1578))</f>
        <v/>
      </c>
      <c r="G1578" s="24"/>
      <c r="H1578" s="24"/>
      <c r="I1578" s="20" t="str">
        <f aca="false">IF(B1578="","",IF(G1578&lt;&gt;"",G1578,E1578))</f>
        <v/>
      </c>
      <c r="J1578" s="21" t="str">
        <f aca="false">IF(B1578="","",IF(H1578&lt;&gt;"",H1578,F1578))</f>
        <v/>
      </c>
      <c r="K1578" s="26" t="str">
        <f aca="false">IF(A1578="","",DATE(YEAR(A1578),MONTH(A1578),1))</f>
        <v/>
      </c>
      <c r="L1578" s="21" t="str">
        <f aca="false">IF(J1578="",IF(B1578="","",IF(N(C1578)&gt;=0,"Income","Expense")),IFERROR(INDEX(Lists!$B$2:$B$30,MATCH(J1578,Lists!$A$2:$A$30,0)),""))</f>
        <v/>
      </c>
      <c r="M1578" s="24"/>
      <c r="N1578" s="27" t="str">
        <f aca="false">IF(B1578="","",IFERROR(1000-SUMPRODUCT(MAX(ISNUMBER(SEARCH(Rules!$A$5:$A$204,B1578))*(Rules!$A$5:$A$204&lt;&gt;"")*(1000-ROW(Rules!$A$5:$A$204)))),""))</f>
        <v/>
      </c>
    </row>
    <row r="1579" customFormat="false" ht="15" hidden="false" customHeight="false" outlineLevel="0" collapsed="false">
      <c r="A1579" s="23"/>
      <c r="B1579" s="24"/>
      <c r="C1579" s="25"/>
      <c r="D1579" s="24"/>
      <c r="E1579" s="21" t="str">
        <f aca="false">IF(OR(B1579="",N(N1579)=0,N1579=1000),IF(B1579="","","Check"),INDEX(Rules!$B:$B,N1579))</f>
        <v/>
      </c>
      <c r="F1579" s="21" t="str">
        <f aca="false">IF(OR(B1579="",N(N1579)=0,N1579=1000),"",INDEX(Rules!$C:$C,N1579))</f>
        <v/>
      </c>
      <c r="G1579" s="24"/>
      <c r="H1579" s="24"/>
      <c r="I1579" s="20" t="str">
        <f aca="false">IF(B1579="","",IF(G1579&lt;&gt;"",G1579,E1579))</f>
        <v/>
      </c>
      <c r="J1579" s="21" t="str">
        <f aca="false">IF(B1579="","",IF(H1579&lt;&gt;"",H1579,F1579))</f>
        <v/>
      </c>
      <c r="K1579" s="26" t="str">
        <f aca="false">IF(A1579="","",DATE(YEAR(A1579),MONTH(A1579),1))</f>
        <v/>
      </c>
      <c r="L1579" s="21" t="str">
        <f aca="false">IF(J1579="",IF(B1579="","",IF(N(C1579)&gt;=0,"Income","Expense")),IFERROR(INDEX(Lists!$B$2:$B$30,MATCH(J1579,Lists!$A$2:$A$30,0)),""))</f>
        <v/>
      </c>
      <c r="M1579" s="24"/>
      <c r="N1579" s="27" t="str">
        <f aca="false">IF(B1579="","",IFERROR(1000-SUMPRODUCT(MAX(ISNUMBER(SEARCH(Rules!$A$5:$A$204,B1579))*(Rules!$A$5:$A$204&lt;&gt;"")*(1000-ROW(Rules!$A$5:$A$204)))),""))</f>
        <v/>
      </c>
    </row>
    <row r="1580" customFormat="false" ht="15" hidden="false" customHeight="false" outlineLevel="0" collapsed="false">
      <c r="A1580" s="23"/>
      <c r="B1580" s="24"/>
      <c r="C1580" s="25"/>
      <c r="D1580" s="24"/>
      <c r="E1580" s="21" t="str">
        <f aca="false">IF(OR(B1580="",N(N1580)=0,N1580=1000),IF(B1580="","","Check"),INDEX(Rules!$B:$B,N1580))</f>
        <v/>
      </c>
      <c r="F1580" s="21" t="str">
        <f aca="false">IF(OR(B1580="",N(N1580)=0,N1580=1000),"",INDEX(Rules!$C:$C,N1580))</f>
        <v/>
      </c>
      <c r="G1580" s="24"/>
      <c r="H1580" s="24"/>
      <c r="I1580" s="20" t="str">
        <f aca="false">IF(B1580="","",IF(G1580&lt;&gt;"",G1580,E1580))</f>
        <v/>
      </c>
      <c r="J1580" s="21" t="str">
        <f aca="false">IF(B1580="","",IF(H1580&lt;&gt;"",H1580,F1580))</f>
        <v/>
      </c>
      <c r="K1580" s="26" t="str">
        <f aca="false">IF(A1580="","",DATE(YEAR(A1580),MONTH(A1580),1))</f>
        <v/>
      </c>
      <c r="L1580" s="21" t="str">
        <f aca="false">IF(J1580="",IF(B1580="","",IF(N(C1580)&gt;=0,"Income","Expense")),IFERROR(INDEX(Lists!$B$2:$B$30,MATCH(J1580,Lists!$A$2:$A$30,0)),""))</f>
        <v/>
      </c>
      <c r="M1580" s="24"/>
      <c r="N1580" s="27" t="str">
        <f aca="false">IF(B1580="","",IFERROR(1000-SUMPRODUCT(MAX(ISNUMBER(SEARCH(Rules!$A$5:$A$204,B1580))*(Rules!$A$5:$A$204&lt;&gt;"")*(1000-ROW(Rules!$A$5:$A$204)))),""))</f>
        <v/>
      </c>
    </row>
    <row r="1581" customFormat="false" ht="15" hidden="false" customHeight="false" outlineLevel="0" collapsed="false">
      <c r="A1581" s="23"/>
      <c r="B1581" s="24"/>
      <c r="C1581" s="25"/>
      <c r="D1581" s="24"/>
      <c r="E1581" s="21" t="str">
        <f aca="false">IF(OR(B1581="",N(N1581)=0,N1581=1000),IF(B1581="","","Check"),INDEX(Rules!$B:$B,N1581))</f>
        <v/>
      </c>
      <c r="F1581" s="21" t="str">
        <f aca="false">IF(OR(B1581="",N(N1581)=0,N1581=1000),"",INDEX(Rules!$C:$C,N1581))</f>
        <v/>
      </c>
      <c r="G1581" s="24"/>
      <c r="H1581" s="24"/>
      <c r="I1581" s="20" t="str">
        <f aca="false">IF(B1581="","",IF(G1581&lt;&gt;"",G1581,E1581))</f>
        <v/>
      </c>
      <c r="J1581" s="21" t="str">
        <f aca="false">IF(B1581="","",IF(H1581&lt;&gt;"",H1581,F1581))</f>
        <v/>
      </c>
      <c r="K1581" s="26" t="str">
        <f aca="false">IF(A1581="","",DATE(YEAR(A1581),MONTH(A1581),1))</f>
        <v/>
      </c>
      <c r="L1581" s="21" t="str">
        <f aca="false">IF(J1581="",IF(B1581="","",IF(N(C1581)&gt;=0,"Income","Expense")),IFERROR(INDEX(Lists!$B$2:$B$30,MATCH(J1581,Lists!$A$2:$A$30,0)),""))</f>
        <v/>
      </c>
      <c r="M1581" s="24"/>
      <c r="N1581" s="27" t="str">
        <f aca="false">IF(B1581="","",IFERROR(1000-SUMPRODUCT(MAX(ISNUMBER(SEARCH(Rules!$A$5:$A$204,B1581))*(Rules!$A$5:$A$204&lt;&gt;"")*(1000-ROW(Rules!$A$5:$A$204)))),""))</f>
        <v/>
      </c>
    </row>
    <row r="1582" customFormat="false" ht="15" hidden="false" customHeight="false" outlineLevel="0" collapsed="false">
      <c r="A1582" s="23"/>
      <c r="B1582" s="24"/>
      <c r="C1582" s="25"/>
      <c r="D1582" s="24"/>
      <c r="E1582" s="21" t="str">
        <f aca="false">IF(OR(B1582="",N(N1582)=0,N1582=1000),IF(B1582="","","Check"),INDEX(Rules!$B:$B,N1582))</f>
        <v/>
      </c>
      <c r="F1582" s="21" t="str">
        <f aca="false">IF(OR(B1582="",N(N1582)=0,N1582=1000),"",INDEX(Rules!$C:$C,N1582))</f>
        <v/>
      </c>
      <c r="G1582" s="24"/>
      <c r="H1582" s="24"/>
      <c r="I1582" s="20" t="str">
        <f aca="false">IF(B1582="","",IF(G1582&lt;&gt;"",G1582,E1582))</f>
        <v/>
      </c>
      <c r="J1582" s="21" t="str">
        <f aca="false">IF(B1582="","",IF(H1582&lt;&gt;"",H1582,F1582))</f>
        <v/>
      </c>
      <c r="K1582" s="26" t="str">
        <f aca="false">IF(A1582="","",DATE(YEAR(A1582),MONTH(A1582),1))</f>
        <v/>
      </c>
      <c r="L1582" s="21" t="str">
        <f aca="false">IF(J1582="",IF(B1582="","",IF(N(C1582)&gt;=0,"Income","Expense")),IFERROR(INDEX(Lists!$B$2:$B$30,MATCH(J1582,Lists!$A$2:$A$30,0)),""))</f>
        <v/>
      </c>
      <c r="M1582" s="24"/>
      <c r="N1582" s="27" t="str">
        <f aca="false">IF(B1582="","",IFERROR(1000-SUMPRODUCT(MAX(ISNUMBER(SEARCH(Rules!$A$5:$A$204,B1582))*(Rules!$A$5:$A$204&lt;&gt;"")*(1000-ROW(Rules!$A$5:$A$204)))),""))</f>
        <v/>
      </c>
    </row>
    <row r="1583" customFormat="false" ht="15" hidden="false" customHeight="false" outlineLevel="0" collapsed="false">
      <c r="A1583" s="23"/>
      <c r="B1583" s="24"/>
      <c r="C1583" s="25"/>
      <c r="D1583" s="24"/>
      <c r="E1583" s="21" t="str">
        <f aca="false">IF(OR(B1583="",N(N1583)=0,N1583=1000),IF(B1583="","","Check"),INDEX(Rules!$B:$B,N1583))</f>
        <v/>
      </c>
      <c r="F1583" s="21" t="str">
        <f aca="false">IF(OR(B1583="",N(N1583)=0,N1583=1000),"",INDEX(Rules!$C:$C,N1583))</f>
        <v/>
      </c>
      <c r="G1583" s="24"/>
      <c r="H1583" s="24"/>
      <c r="I1583" s="20" t="str">
        <f aca="false">IF(B1583="","",IF(G1583&lt;&gt;"",G1583,E1583))</f>
        <v/>
      </c>
      <c r="J1583" s="21" t="str">
        <f aca="false">IF(B1583="","",IF(H1583&lt;&gt;"",H1583,F1583))</f>
        <v/>
      </c>
      <c r="K1583" s="26" t="str">
        <f aca="false">IF(A1583="","",DATE(YEAR(A1583),MONTH(A1583),1))</f>
        <v/>
      </c>
      <c r="L1583" s="21" t="str">
        <f aca="false">IF(J1583="",IF(B1583="","",IF(N(C1583)&gt;=0,"Income","Expense")),IFERROR(INDEX(Lists!$B$2:$B$30,MATCH(J1583,Lists!$A$2:$A$30,0)),""))</f>
        <v/>
      </c>
      <c r="M1583" s="24"/>
      <c r="N1583" s="27" t="str">
        <f aca="false">IF(B1583="","",IFERROR(1000-SUMPRODUCT(MAX(ISNUMBER(SEARCH(Rules!$A$5:$A$204,B1583))*(Rules!$A$5:$A$204&lt;&gt;"")*(1000-ROW(Rules!$A$5:$A$204)))),""))</f>
        <v/>
      </c>
    </row>
    <row r="1584" customFormat="false" ht="15" hidden="false" customHeight="false" outlineLevel="0" collapsed="false">
      <c r="A1584" s="23"/>
      <c r="B1584" s="24"/>
      <c r="C1584" s="25"/>
      <c r="D1584" s="24"/>
      <c r="E1584" s="21" t="str">
        <f aca="false">IF(OR(B1584="",N(N1584)=0,N1584=1000),IF(B1584="","","Check"),INDEX(Rules!$B:$B,N1584))</f>
        <v/>
      </c>
      <c r="F1584" s="21" t="str">
        <f aca="false">IF(OR(B1584="",N(N1584)=0,N1584=1000),"",INDEX(Rules!$C:$C,N1584))</f>
        <v/>
      </c>
      <c r="G1584" s="24"/>
      <c r="H1584" s="24"/>
      <c r="I1584" s="20" t="str">
        <f aca="false">IF(B1584="","",IF(G1584&lt;&gt;"",G1584,E1584))</f>
        <v/>
      </c>
      <c r="J1584" s="21" t="str">
        <f aca="false">IF(B1584="","",IF(H1584&lt;&gt;"",H1584,F1584))</f>
        <v/>
      </c>
      <c r="K1584" s="26" t="str">
        <f aca="false">IF(A1584="","",DATE(YEAR(A1584),MONTH(A1584),1))</f>
        <v/>
      </c>
      <c r="L1584" s="21" t="str">
        <f aca="false">IF(J1584="",IF(B1584="","",IF(N(C1584)&gt;=0,"Income","Expense")),IFERROR(INDEX(Lists!$B$2:$B$30,MATCH(J1584,Lists!$A$2:$A$30,0)),""))</f>
        <v/>
      </c>
      <c r="M1584" s="24"/>
      <c r="N1584" s="27" t="str">
        <f aca="false">IF(B1584="","",IFERROR(1000-SUMPRODUCT(MAX(ISNUMBER(SEARCH(Rules!$A$5:$A$204,B1584))*(Rules!$A$5:$A$204&lt;&gt;"")*(1000-ROW(Rules!$A$5:$A$204)))),""))</f>
        <v/>
      </c>
    </row>
    <row r="1585" customFormat="false" ht="15" hidden="false" customHeight="false" outlineLevel="0" collapsed="false">
      <c r="A1585" s="23"/>
      <c r="B1585" s="24"/>
      <c r="C1585" s="25"/>
      <c r="D1585" s="24"/>
      <c r="E1585" s="21" t="str">
        <f aca="false">IF(OR(B1585="",N(N1585)=0,N1585=1000),IF(B1585="","","Check"),INDEX(Rules!$B:$B,N1585))</f>
        <v/>
      </c>
      <c r="F1585" s="21" t="str">
        <f aca="false">IF(OR(B1585="",N(N1585)=0,N1585=1000),"",INDEX(Rules!$C:$C,N1585))</f>
        <v/>
      </c>
      <c r="G1585" s="24"/>
      <c r="H1585" s="24"/>
      <c r="I1585" s="20" t="str">
        <f aca="false">IF(B1585="","",IF(G1585&lt;&gt;"",G1585,E1585))</f>
        <v/>
      </c>
      <c r="J1585" s="21" t="str">
        <f aca="false">IF(B1585="","",IF(H1585&lt;&gt;"",H1585,F1585))</f>
        <v/>
      </c>
      <c r="K1585" s="26" t="str">
        <f aca="false">IF(A1585="","",DATE(YEAR(A1585),MONTH(A1585),1))</f>
        <v/>
      </c>
      <c r="L1585" s="21" t="str">
        <f aca="false">IF(J1585="",IF(B1585="","",IF(N(C1585)&gt;=0,"Income","Expense")),IFERROR(INDEX(Lists!$B$2:$B$30,MATCH(J1585,Lists!$A$2:$A$30,0)),""))</f>
        <v/>
      </c>
      <c r="M1585" s="24"/>
      <c r="N1585" s="27" t="str">
        <f aca="false">IF(B1585="","",IFERROR(1000-SUMPRODUCT(MAX(ISNUMBER(SEARCH(Rules!$A$5:$A$204,B1585))*(Rules!$A$5:$A$204&lt;&gt;"")*(1000-ROW(Rules!$A$5:$A$204)))),""))</f>
        <v/>
      </c>
    </row>
    <row r="1586" customFormat="false" ht="15" hidden="false" customHeight="false" outlineLevel="0" collapsed="false">
      <c r="A1586" s="23"/>
      <c r="B1586" s="24"/>
      <c r="C1586" s="25"/>
      <c r="D1586" s="24"/>
      <c r="E1586" s="21" t="str">
        <f aca="false">IF(OR(B1586="",N(N1586)=0,N1586=1000),IF(B1586="","","Check"),INDEX(Rules!$B:$B,N1586))</f>
        <v/>
      </c>
      <c r="F1586" s="21" t="str">
        <f aca="false">IF(OR(B1586="",N(N1586)=0,N1586=1000),"",INDEX(Rules!$C:$C,N1586))</f>
        <v/>
      </c>
      <c r="G1586" s="24"/>
      <c r="H1586" s="24"/>
      <c r="I1586" s="20" t="str">
        <f aca="false">IF(B1586="","",IF(G1586&lt;&gt;"",G1586,E1586))</f>
        <v/>
      </c>
      <c r="J1586" s="21" t="str">
        <f aca="false">IF(B1586="","",IF(H1586&lt;&gt;"",H1586,F1586))</f>
        <v/>
      </c>
      <c r="K1586" s="26" t="str">
        <f aca="false">IF(A1586="","",DATE(YEAR(A1586),MONTH(A1586),1))</f>
        <v/>
      </c>
      <c r="L1586" s="21" t="str">
        <f aca="false">IF(J1586="",IF(B1586="","",IF(N(C1586)&gt;=0,"Income","Expense")),IFERROR(INDEX(Lists!$B$2:$B$30,MATCH(J1586,Lists!$A$2:$A$30,0)),""))</f>
        <v/>
      </c>
      <c r="M1586" s="24"/>
      <c r="N1586" s="27" t="str">
        <f aca="false">IF(B1586="","",IFERROR(1000-SUMPRODUCT(MAX(ISNUMBER(SEARCH(Rules!$A$5:$A$204,B1586))*(Rules!$A$5:$A$204&lt;&gt;"")*(1000-ROW(Rules!$A$5:$A$204)))),""))</f>
        <v/>
      </c>
    </row>
    <row r="1587" customFormat="false" ht="15" hidden="false" customHeight="false" outlineLevel="0" collapsed="false">
      <c r="A1587" s="23"/>
      <c r="B1587" s="24"/>
      <c r="C1587" s="25"/>
      <c r="D1587" s="24"/>
      <c r="E1587" s="21" t="str">
        <f aca="false">IF(OR(B1587="",N(N1587)=0,N1587=1000),IF(B1587="","","Check"),INDEX(Rules!$B:$B,N1587))</f>
        <v/>
      </c>
      <c r="F1587" s="21" t="str">
        <f aca="false">IF(OR(B1587="",N(N1587)=0,N1587=1000),"",INDEX(Rules!$C:$C,N1587))</f>
        <v/>
      </c>
      <c r="G1587" s="24"/>
      <c r="H1587" s="24"/>
      <c r="I1587" s="20" t="str">
        <f aca="false">IF(B1587="","",IF(G1587&lt;&gt;"",G1587,E1587))</f>
        <v/>
      </c>
      <c r="J1587" s="21" t="str">
        <f aca="false">IF(B1587="","",IF(H1587&lt;&gt;"",H1587,F1587))</f>
        <v/>
      </c>
      <c r="K1587" s="26" t="str">
        <f aca="false">IF(A1587="","",DATE(YEAR(A1587),MONTH(A1587),1))</f>
        <v/>
      </c>
      <c r="L1587" s="21" t="str">
        <f aca="false">IF(J1587="",IF(B1587="","",IF(N(C1587)&gt;=0,"Income","Expense")),IFERROR(INDEX(Lists!$B$2:$B$30,MATCH(J1587,Lists!$A$2:$A$30,0)),""))</f>
        <v/>
      </c>
      <c r="M1587" s="24"/>
      <c r="N1587" s="27" t="str">
        <f aca="false">IF(B1587="","",IFERROR(1000-SUMPRODUCT(MAX(ISNUMBER(SEARCH(Rules!$A$5:$A$204,B1587))*(Rules!$A$5:$A$204&lt;&gt;"")*(1000-ROW(Rules!$A$5:$A$204)))),""))</f>
        <v/>
      </c>
    </row>
    <row r="1588" customFormat="false" ht="15" hidden="false" customHeight="false" outlineLevel="0" collapsed="false">
      <c r="A1588" s="23"/>
      <c r="B1588" s="24"/>
      <c r="C1588" s="25"/>
      <c r="D1588" s="24"/>
      <c r="E1588" s="21" t="str">
        <f aca="false">IF(OR(B1588="",N(N1588)=0,N1588=1000),IF(B1588="","","Check"),INDEX(Rules!$B:$B,N1588))</f>
        <v/>
      </c>
      <c r="F1588" s="21" t="str">
        <f aca="false">IF(OR(B1588="",N(N1588)=0,N1588=1000),"",INDEX(Rules!$C:$C,N1588))</f>
        <v/>
      </c>
      <c r="G1588" s="24"/>
      <c r="H1588" s="24"/>
      <c r="I1588" s="20" t="str">
        <f aca="false">IF(B1588="","",IF(G1588&lt;&gt;"",G1588,E1588))</f>
        <v/>
      </c>
      <c r="J1588" s="21" t="str">
        <f aca="false">IF(B1588="","",IF(H1588&lt;&gt;"",H1588,F1588))</f>
        <v/>
      </c>
      <c r="K1588" s="26" t="str">
        <f aca="false">IF(A1588="","",DATE(YEAR(A1588),MONTH(A1588),1))</f>
        <v/>
      </c>
      <c r="L1588" s="21" t="str">
        <f aca="false">IF(J1588="",IF(B1588="","",IF(N(C1588)&gt;=0,"Income","Expense")),IFERROR(INDEX(Lists!$B$2:$B$30,MATCH(J1588,Lists!$A$2:$A$30,0)),""))</f>
        <v/>
      </c>
      <c r="M1588" s="24"/>
      <c r="N1588" s="27" t="str">
        <f aca="false">IF(B1588="","",IFERROR(1000-SUMPRODUCT(MAX(ISNUMBER(SEARCH(Rules!$A$5:$A$204,B1588))*(Rules!$A$5:$A$204&lt;&gt;"")*(1000-ROW(Rules!$A$5:$A$204)))),""))</f>
        <v/>
      </c>
    </row>
    <row r="1589" customFormat="false" ht="15" hidden="false" customHeight="false" outlineLevel="0" collapsed="false">
      <c r="A1589" s="23"/>
      <c r="B1589" s="24"/>
      <c r="C1589" s="25"/>
      <c r="D1589" s="24"/>
      <c r="E1589" s="21" t="str">
        <f aca="false">IF(OR(B1589="",N(N1589)=0,N1589=1000),IF(B1589="","","Check"),INDEX(Rules!$B:$B,N1589))</f>
        <v/>
      </c>
      <c r="F1589" s="21" t="str">
        <f aca="false">IF(OR(B1589="",N(N1589)=0,N1589=1000),"",INDEX(Rules!$C:$C,N1589))</f>
        <v/>
      </c>
      <c r="G1589" s="24"/>
      <c r="H1589" s="24"/>
      <c r="I1589" s="20" t="str">
        <f aca="false">IF(B1589="","",IF(G1589&lt;&gt;"",G1589,E1589))</f>
        <v/>
      </c>
      <c r="J1589" s="21" t="str">
        <f aca="false">IF(B1589="","",IF(H1589&lt;&gt;"",H1589,F1589))</f>
        <v/>
      </c>
      <c r="K1589" s="26" t="str">
        <f aca="false">IF(A1589="","",DATE(YEAR(A1589),MONTH(A1589),1))</f>
        <v/>
      </c>
      <c r="L1589" s="21" t="str">
        <f aca="false">IF(J1589="",IF(B1589="","",IF(N(C1589)&gt;=0,"Income","Expense")),IFERROR(INDEX(Lists!$B$2:$B$30,MATCH(J1589,Lists!$A$2:$A$30,0)),""))</f>
        <v/>
      </c>
      <c r="M1589" s="24"/>
      <c r="N1589" s="27" t="str">
        <f aca="false">IF(B1589="","",IFERROR(1000-SUMPRODUCT(MAX(ISNUMBER(SEARCH(Rules!$A$5:$A$204,B1589))*(Rules!$A$5:$A$204&lt;&gt;"")*(1000-ROW(Rules!$A$5:$A$204)))),""))</f>
        <v/>
      </c>
    </row>
    <row r="1590" customFormat="false" ht="15" hidden="false" customHeight="false" outlineLevel="0" collapsed="false">
      <c r="A1590" s="23"/>
      <c r="B1590" s="24"/>
      <c r="C1590" s="25"/>
      <c r="D1590" s="24"/>
      <c r="E1590" s="21" t="str">
        <f aca="false">IF(OR(B1590="",N(N1590)=0,N1590=1000),IF(B1590="","","Check"),INDEX(Rules!$B:$B,N1590))</f>
        <v/>
      </c>
      <c r="F1590" s="21" t="str">
        <f aca="false">IF(OR(B1590="",N(N1590)=0,N1590=1000),"",INDEX(Rules!$C:$C,N1590))</f>
        <v/>
      </c>
      <c r="G1590" s="24"/>
      <c r="H1590" s="24"/>
      <c r="I1590" s="20" t="str">
        <f aca="false">IF(B1590="","",IF(G1590&lt;&gt;"",G1590,E1590))</f>
        <v/>
      </c>
      <c r="J1590" s="21" t="str">
        <f aca="false">IF(B1590="","",IF(H1590&lt;&gt;"",H1590,F1590))</f>
        <v/>
      </c>
      <c r="K1590" s="26" t="str">
        <f aca="false">IF(A1590="","",DATE(YEAR(A1590),MONTH(A1590),1))</f>
        <v/>
      </c>
      <c r="L1590" s="21" t="str">
        <f aca="false">IF(J1590="",IF(B1590="","",IF(N(C1590)&gt;=0,"Income","Expense")),IFERROR(INDEX(Lists!$B$2:$B$30,MATCH(J1590,Lists!$A$2:$A$30,0)),""))</f>
        <v/>
      </c>
      <c r="M1590" s="24"/>
      <c r="N1590" s="27" t="str">
        <f aca="false">IF(B1590="","",IFERROR(1000-SUMPRODUCT(MAX(ISNUMBER(SEARCH(Rules!$A$5:$A$204,B1590))*(Rules!$A$5:$A$204&lt;&gt;"")*(1000-ROW(Rules!$A$5:$A$204)))),""))</f>
        <v/>
      </c>
    </row>
    <row r="1591" customFormat="false" ht="15" hidden="false" customHeight="false" outlineLevel="0" collapsed="false">
      <c r="A1591" s="23"/>
      <c r="B1591" s="24"/>
      <c r="C1591" s="25"/>
      <c r="D1591" s="24"/>
      <c r="E1591" s="21" t="str">
        <f aca="false">IF(OR(B1591="",N(N1591)=0,N1591=1000),IF(B1591="","","Check"),INDEX(Rules!$B:$B,N1591))</f>
        <v/>
      </c>
      <c r="F1591" s="21" t="str">
        <f aca="false">IF(OR(B1591="",N(N1591)=0,N1591=1000),"",INDEX(Rules!$C:$C,N1591))</f>
        <v/>
      </c>
      <c r="G1591" s="24"/>
      <c r="H1591" s="24"/>
      <c r="I1591" s="20" t="str">
        <f aca="false">IF(B1591="","",IF(G1591&lt;&gt;"",G1591,E1591))</f>
        <v/>
      </c>
      <c r="J1591" s="21" t="str">
        <f aca="false">IF(B1591="","",IF(H1591&lt;&gt;"",H1591,F1591))</f>
        <v/>
      </c>
      <c r="K1591" s="26" t="str">
        <f aca="false">IF(A1591="","",DATE(YEAR(A1591),MONTH(A1591),1))</f>
        <v/>
      </c>
      <c r="L1591" s="21" t="str">
        <f aca="false">IF(J1591="",IF(B1591="","",IF(N(C1591)&gt;=0,"Income","Expense")),IFERROR(INDEX(Lists!$B$2:$B$30,MATCH(J1591,Lists!$A$2:$A$30,0)),""))</f>
        <v/>
      </c>
      <c r="M1591" s="24"/>
      <c r="N1591" s="27" t="str">
        <f aca="false">IF(B1591="","",IFERROR(1000-SUMPRODUCT(MAX(ISNUMBER(SEARCH(Rules!$A$5:$A$204,B1591))*(Rules!$A$5:$A$204&lt;&gt;"")*(1000-ROW(Rules!$A$5:$A$204)))),""))</f>
        <v/>
      </c>
    </row>
    <row r="1592" customFormat="false" ht="15" hidden="false" customHeight="false" outlineLevel="0" collapsed="false">
      <c r="A1592" s="23"/>
      <c r="B1592" s="24"/>
      <c r="C1592" s="25"/>
      <c r="D1592" s="24"/>
      <c r="E1592" s="21" t="str">
        <f aca="false">IF(OR(B1592="",N(N1592)=0,N1592=1000),IF(B1592="","","Check"),INDEX(Rules!$B:$B,N1592))</f>
        <v/>
      </c>
      <c r="F1592" s="21" t="str">
        <f aca="false">IF(OR(B1592="",N(N1592)=0,N1592=1000),"",INDEX(Rules!$C:$C,N1592))</f>
        <v/>
      </c>
      <c r="G1592" s="24"/>
      <c r="H1592" s="24"/>
      <c r="I1592" s="20" t="str">
        <f aca="false">IF(B1592="","",IF(G1592&lt;&gt;"",G1592,E1592))</f>
        <v/>
      </c>
      <c r="J1592" s="21" t="str">
        <f aca="false">IF(B1592="","",IF(H1592&lt;&gt;"",H1592,F1592))</f>
        <v/>
      </c>
      <c r="K1592" s="26" t="str">
        <f aca="false">IF(A1592="","",DATE(YEAR(A1592),MONTH(A1592),1))</f>
        <v/>
      </c>
      <c r="L1592" s="21" t="str">
        <f aca="false">IF(J1592="",IF(B1592="","",IF(N(C1592)&gt;=0,"Income","Expense")),IFERROR(INDEX(Lists!$B$2:$B$30,MATCH(J1592,Lists!$A$2:$A$30,0)),""))</f>
        <v/>
      </c>
      <c r="M1592" s="24"/>
      <c r="N1592" s="27" t="str">
        <f aca="false">IF(B1592="","",IFERROR(1000-SUMPRODUCT(MAX(ISNUMBER(SEARCH(Rules!$A$5:$A$204,B1592))*(Rules!$A$5:$A$204&lt;&gt;"")*(1000-ROW(Rules!$A$5:$A$204)))),""))</f>
        <v/>
      </c>
    </row>
    <row r="1593" customFormat="false" ht="15" hidden="false" customHeight="false" outlineLevel="0" collapsed="false">
      <c r="A1593" s="23"/>
      <c r="B1593" s="24"/>
      <c r="C1593" s="25"/>
      <c r="D1593" s="24"/>
      <c r="E1593" s="21" t="str">
        <f aca="false">IF(OR(B1593="",N(N1593)=0,N1593=1000),IF(B1593="","","Check"),INDEX(Rules!$B:$B,N1593))</f>
        <v/>
      </c>
      <c r="F1593" s="21" t="str">
        <f aca="false">IF(OR(B1593="",N(N1593)=0,N1593=1000),"",INDEX(Rules!$C:$C,N1593))</f>
        <v/>
      </c>
      <c r="G1593" s="24"/>
      <c r="H1593" s="24"/>
      <c r="I1593" s="20" t="str">
        <f aca="false">IF(B1593="","",IF(G1593&lt;&gt;"",G1593,E1593))</f>
        <v/>
      </c>
      <c r="J1593" s="21" t="str">
        <f aca="false">IF(B1593="","",IF(H1593&lt;&gt;"",H1593,F1593))</f>
        <v/>
      </c>
      <c r="K1593" s="26" t="str">
        <f aca="false">IF(A1593="","",DATE(YEAR(A1593),MONTH(A1593),1))</f>
        <v/>
      </c>
      <c r="L1593" s="21" t="str">
        <f aca="false">IF(J1593="",IF(B1593="","",IF(N(C1593)&gt;=0,"Income","Expense")),IFERROR(INDEX(Lists!$B$2:$B$30,MATCH(J1593,Lists!$A$2:$A$30,0)),""))</f>
        <v/>
      </c>
      <c r="M1593" s="24"/>
      <c r="N1593" s="27" t="str">
        <f aca="false">IF(B1593="","",IFERROR(1000-SUMPRODUCT(MAX(ISNUMBER(SEARCH(Rules!$A$5:$A$204,B1593))*(Rules!$A$5:$A$204&lt;&gt;"")*(1000-ROW(Rules!$A$5:$A$204)))),""))</f>
        <v/>
      </c>
    </row>
    <row r="1594" customFormat="false" ht="15" hidden="false" customHeight="false" outlineLevel="0" collapsed="false">
      <c r="A1594" s="23"/>
      <c r="B1594" s="24"/>
      <c r="C1594" s="25"/>
      <c r="D1594" s="24"/>
      <c r="E1594" s="21" t="str">
        <f aca="false">IF(OR(B1594="",N(N1594)=0,N1594=1000),IF(B1594="","","Check"),INDEX(Rules!$B:$B,N1594))</f>
        <v/>
      </c>
      <c r="F1594" s="21" t="str">
        <f aca="false">IF(OR(B1594="",N(N1594)=0,N1594=1000),"",INDEX(Rules!$C:$C,N1594))</f>
        <v/>
      </c>
      <c r="G1594" s="24"/>
      <c r="H1594" s="24"/>
      <c r="I1594" s="20" t="str">
        <f aca="false">IF(B1594="","",IF(G1594&lt;&gt;"",G1594,E1594))</f>
        <v/>
      </c>
      <c r="J1594" s="21" t="str">
        <f aca="false">IF(B1594="","",IF(H1594&lt;&gt;"",H1594,F1594))</f>
        <v/>
      </c>
      <c r="K1594" s="26" t="str">
        <f aca="false">IF(A1594="","",DATE(YEAR(A1594),MONTH(A1594),1))</f>
        <v/>
      </c>
      <c r="L1594" s="21" t="str">
        <f aca="false">IF(J1594="",IF(B1594="","",IF(N(C1594)&gt;=0,"Income","Expense")),IFERROR(INDEX(Lists!$B$2:$B$30,MATCH(J1594,Lists!$A$2:$A$30,0)),""))</f>
        <v/>
      </c>
      <c r="M1594" s="24"/>
      <c r="N1594" s="27" t="str">
        <f aca="false">IF(B1594="","",IFERROR(1000-SUMPRODUCT(MAX(ISNUMBER(SEARCH(Rules!$A$5:$A$204,B1594))*(Rules!$A$5:$A$204&lt;&gt;"")*(1000-ROW(Rules!$A$5:$A$204)))),""))</f>
        <v/>
      </c>
    </row>
    <row r="1595" customFormat="false" ht="15" hidden="false" customHeight="false" outlineLevel="0" collapsed="false">
      <c r="A1595" s="23"/>
      <c r="B1595" s="24"/>
      <c r="C1595" s="25"/>
      <c r="D1595" s="24"/>
      <c r="E1595" s="21" t="str">
        <f aca="false">IF(OR(B1595="",N(N1595)=0,N1595=1000),IF(B1595="","","Check"),INDEX(Rules!$B:$B,N1595))</f>
        <v/>
      </c>
      <c r="F1595" s="21" t="str">
        <f aca="false">IF(OR(B1595="",N(N1595)=0,N1595=1000),"",INDEX(Rules!$C:$C,N1595))</f>
        <v/>
      </c>
      <c r="G1595" s="24"/>
      <c r="H1595" s="24"/>
      <c r="I1595" s="20" t="str">
        <f aca="false">IF(B1595="","",IF(G1595&lt;&gt;"",G1595,E1595))</f>
        <v/>
      </c>
      <c r="J1595" s="21" t="str">
        <f aca="false">IF(B1595="","",IF(H1595&lt;&gt;"",H1595,F1595))</f>
        <v/>
      </c>
      <c r="K1595" s="26" t="str">
        <f aca="false">IF(A1595="","",DATE(YEAR(A1595),MONTH(A1595),1))</f>
        <v/>
      </c>
      <c r="L1595" s="21" t="str">
        <f aca="false">IF(J1595="",IF(B1595="","",IF(N(C1595)&gt;=0,"Income","Expense")),IFERROR(INDEX(Lists!$B$2:$B$30,MATCH(J1595,Lists!$A$2:$A$30,0)),""))</f>
        <v/>
      </c>
      <c r="M1595" s="24"/>
      <c r="N1595" s="27" t="str">
        <f aca="false">IF(B1595="","",IFERROR(1000-SUMPRODUCT(MAX(ISNUMBER(SEARCH(Rules!$A$5:$A$204,B1595))*(Rules!$A$5:$A$204&lt;&gt;"")*(1000-ROW(Rules!$A$5:$A$204)))),""))</f>
        <v/>
      </c>
    </row>
    <row r="1596" customFormat="false" ht="15" hidden="false" customHeight="false" outlineLevel="0" collapsed="false">
      <c r="A1596" s="23"/>
      <c r="B1596" s="24"/>
      <c r="C1596" s="25"/>
      <c r="D1596" s="24"/>
      <c r="E1596" s="21" t="str">
        <f aca="false">IF(OR(B1596="",N(N1596)=0,N1596=1000),IF(B1596="","","Check"),INDEX(Rules!$B:$B,N1596))</f>
        <v/>
      </c>
      <c r="F1596" s="21" t="str">
        <f aca="false">IF(OR(B1596="",N(N1596)=0,N1596=1000),"",INDEX(Rules!$C:$C,N1596))</f>
        <v/>
      </c>
      <c r="G1596" s="24"/>
      <c r="H1596" s="24"/>
      <c r="I1596" s="20" t="str">
        <f aca="false">IF(B1596="","",IF(G1596&lt;&gt;"",G1596,E1596))</f>
        <v/>
      </c>
      <c r="J1596" s="21" t="str">
        <f aca="false">IF(B1596="","",IF(H1596&lt;&gt;"",H1596,F1596))</f>
        <v/>
      </c>
      <c r="K1596" s="26" t="str">
        <f aca="false">IF(A1596="","",DATE(YEAR(A1596),MONTH(A1596),1))</f>
        <v/>
      </c>
      <c r="L1596" s="21" t="str">
        <f aca="false">IF(J1596="",IF(B1596="","",IF(N(C1596)&gt;=0,"Income","Expense")),IFERROR(INDEX(Lists!$B$2:$B$30,MATCH(J1596,Lists!$A$2:$A$30,0)),""))</f>
        <v/>
      </c>
      <c r="M1596" s="24"/>
      <c r="N1596" s="27" t="str">
        <f aca="false">IF(B1596="","",IFERROR(1000-SUMPRODUCT(MAX(ISNUMBER(SEARCH(Rules!$A$5:$A$204,B1596))*(Rules!$A$5:$A$204&lt;&gt;"")*(1000-ROW(Rules!$A$5:$A$204)))),""))</f>
        <v/>
      </c>
    </row>
    <row r="1597" customFormat="false" ht="15" hidden="false" customHeight="false" outlineLevel="0" collapsed="false">
      <c r="A1597" s="23"/>
      <c r="B1597" s="24"/>
      <c r="C1597" s="25"/>
      <c r="D1597" s="24"/>
      <c r="E1597" s="21" t="str">
        <f aca="false">IF(OR(B1597="",N(N1597)=0,N1597=1000),IF(B1597="","","Check"),INDEX(Rules!$B:$B,N1597))</f>
        <v/>
      </c>
      <c r="F1597" s="21" t="str">
        <f aca="false">IF(OR(B1597="",N(N1597)=0,N1597=1000),"",INDEX(Rules!$C:$C,N1597))</f>
        <v/>
      </c>
      <c r="G1597" s="24"/>
      <c r="H1597" s="24"/>
      <c r="I1597" s="20" t="str">
        <f aca="false">IF(B1597="","",IF(G1597&lt;&gt;"",G1597,E1597))</f>
        <v/>
      </c>
      <c r="J1597" s="21" t="str">
        <f aca="false">IF(B1597="","",IF(H1597&lt;&gt;"",H1597,F1597))</f>
        <v/>
      </c>
      <c r="K1597" s="26" t="str">
        <f aca="false">IF(A1597="","",DATE(YEAR(A1597),MONTH(A1597),1))</f>
        <v/>
      </c>
      <c r="L1597" s="21" t="str">
        <f aca="false">IF(J1597="",IF(B1597="","",IF(N(C1597)&gt;=0,"Income","Expense")),IFERROR(INDEX(Lists!$B$2:$B$30,MATCH(J1597,Lists!$A$2:$A$30,0)),""))</f>
        <v/>
      </c>
      <c r="M1597" s="24"/>
      <c r="N1597" s="27" t="str">
        <f aca="false">IF(B1597="","",IFERROR(1000-SUMPRODUCT(MAX(ISNUMBER(SEARCH(Rules!$A$5:$A$204,B1597))*(Rules!$A$5:$A$204&lt;&gt;"")*(1000-ROW(Rules!$A$5:$A$204)))),""))</f>
        <v/>
      </c>
    </row>
    <row r="1598" customFormat="false" ht="15" hidden="false" customHeight="false" outlineLevel="0" collapsed="false">
      <c r="A1598" s="23"/>
      <c r="B1598" s="24"/>
      <c r="C1598" s="25"/>
      <c r="D1598" s="24"/>
      <c r="E1598" s="21" t="str">
        <f aca="false">IF(OR(B1598="",N(N1598)=0,N1598=1000),IF(B1598="","","Check"),INDEX(Rules!$B:$B,N1598))</f>
        <v/>
      </c>
      <c r="F1598" s="21" t="str">
        <f aca="false">IF(OR(B1598="",N(N1598)=0,N1598=1000),"",INDEX(Rules!$C:$C,N1598))</f>
        <v/>
      </c>
      <c r="G1598" s="24"/>
      <c r="H1598" s="24"/>
      <c r="I1598" s="20" t="str">
        <f aca="false">IF(B1598="","",IF(G1598&lt;&gt;"",G1598,E1598))</f>
        <v/>
      </c>
      <c r="J1598" s="21" t="str">
        <f aca="false">IF(B1598="","",IF(H1598&lt;&gt;"",H1598,F1598))</f>
        <v/>
      </c>
      <c r="K1598" s="26" t="str">
        <f aca="false">IF(A1598="","",DATE(YEAR(A1598),MONTH(A1598),1))</f>
        <v/>
      </c>
      <c r="L1598" s="21" t="str">
        <f aca="false">IF(J1598="",IF(B1598="","",IF(N(C1598)&gt;=0,"Income","Expense")),IFERROR(INDEX(Lists!$B$2:$B$30,MATCH(J1598,Lists!$A$2:$A$30,0)),""))</f>
        <v/>
      </c>
      <c r="M1598" s="24"/>
      <c r="N1598" s="27" t="str">
        <f aca="false">IF(B1598="","",IFERROR(1000-SUMPRODUCT(MAX(ISNUMBER(SEARCH(Rules!$A$5:$A$204,B1598))*(Rules!$A$5:$A$204&lt;&gt;"")*(1000-ROW(Rules!$A$5:$A$204)))),""))</f>
        <v/>
      </c>
    </row>
    <row r="1599" customFormat="false" ht="15" hidden="false" customHeight="false" outlineLevel="0" collapsed="false">
      <c r="A1599" s="23"/>
      <c r="B1599" s="24"/>
      <c r="C1599" s="25"/>
      <c r="D1599" s="24"/>
      <c r="E1599" s="21" t="str">
        <f aca="false">IF(OR(B1599="",N(N1599)=0,N1599=1000),IF(B1599="","","Check"),INDEX(Rules!$B:$B,N1599))</f>
        <v/>
      </c>
      <c r="F1599" s="21" t="str">
        <f aca="false">IF(OR(B1599="",N(N1599)=0,N1599=1000),"",INDEX(Rules!$C:$C,N1599))</f>
        <v/>
      </c>
      <c r="G1599" s="24"/>
      <c r="H1599" s="24"/>
      <c r="I1599" s="20" t="str">
        <f aca="false">IF(B1599="","",IF(G1599&lt;&gt;"",G1599,E1599))</f>
        <v/>
      </c>
      <c r="J1599" s="21" t="str">
        <f aca="false">IF(B1599="","",IF(H1599&lt;&gt;"",H1599,F1599))</f>
        <v/>
      </c>
      <c r="K1599" s="26" t="str">
        <f aca="false">IF(A1599="","",DATE(YEAR(A1599),MONTH(A1599),1))</f>
        <v/>
      </c>
      <c r="L1599" s="21" t="str">
        <f aca="false">IF(J1599="",IF(B1599="","",IF(N(C1599)&gt;=0,"Income","Expense")),IFERROR(INDEX(Lists!$B$2:$B$30,MATCH(J1599,Lists!$A$2:$A$30,0)),""))</f>
        <v/>
      </c>
      <c r="M1599" s="24"/>
      <c r="N1599" s="27" t="str">
        <f aca="false">IF(B1599="","",IFERROR(1000-SUMPRODUCT(MAX(ISNUMBER(SEARCH(Rules!$A$5:$A$204,B1599))*(Rules!$A$5:$A$204&lt;&gt;"")*(1000-ROW(Rules!$A$5:$A$204)))),""))</f>
        <v/>
      </c>
    </row>
    <row r="1600" customFormat="false" ht="15" hidden="false" customHeight="false" outlineLevel="0" collapsed="false">
      <c r="A1600" s="23"/>
      <c r="B1600" s="24"/>
      <c r="C1600" s="25"/>
      <c r="D1600" s="24"/>
      <c r="E1600" s="21" t="str">
        <f aca="false">IF(OR(B1600="",N(N1600)=0,N1600=1000),IF(B1600="","","Check"),INDEX(Rules!$B:$B,N1600))</f>
        <v/>
      </c>
      <c r="F1600" s="21" t="str">
        <f aca="false">IF(OR(B1600="",N(N1600)=0,N1600=1000),"",INDEX(Rules!$C:$C,N1600))</f>
        <v/>
      </c>
      <c r="G1600" s="24"/>
      <c r="H1600" s="24"/>
      <c r="I1600" s="20" t="str">
        <f aca="false">IF(B1600="","",IF(G1600&lt;&gt;"",G1600,E1600))</f>
        <v/>
      </c>
      <c r="J1600" s="21" t="str">
        <f aca="false">IF(B1600="","",IF(H1600&lt;&gt;"",H1600,F1600))</f>
        <v/>
      </c>
      <c r="K1600" s="26" t="str">
        <f aca="false">IF(A1600="","",DATE(YEAR(A1600),MONTH(A1600),1))</f>
        <v/>
      </c>
      <c r="L1600" s="21" t="str">
        <f aca="false">IF(J1600="",IF(B1600="","",IF(N(C1600)&gt;=0,"Income","Expense")),IFERROR(INDEX(Lists!$B$2:$B$30,MATCH(J1600,Lists!$A$2:$A$30,0)),""))</f>
        <v/>
      </c>
      <c r="M1600" s="24"/>
      <c r="N1600" s="27" t="str">
        <f aca="false">IF(B1600="","",IFERROR(1000-SUMPRODUCT(MAX(ISNUMBER(SEARCH(Rules!$A$5:$A$204,B1600))*(Rules!$A$5:$A$204&lt;&gt;"")*(1000-ROW(Rules!$A$5:$A$204)))),""))</f>
        <v/>
      </c>
    </row>
    <row r="1601" customFormat="false" ht="15" hidden="false" customHeight="false" outlineLevel="0" collapsed="false">
      <c r="A1601" s="23"/>
      <c r="B1601" s="24"/>
      <c r="C1601" s="25"/>
      <c r="D1601" s="24"/>
      <c r="E1601" s="21" t="str">
        <f aca="false">IF(OR(B1601="",N(N1601)=0,N1601=1000),IF(B1601="","","Check"),INDEX(Rules!$B:$B,N1601))</f>
        <v/>
      </c>
      <c r="F1601" s="21" t="str">
        <f aca="false">IF(OR(B1601="",N(N1601)=0,N1601=1000),"",INDEX(Rules!$C:$C,N1601))</f>
        <v/>
      </c>
      <c r="G1601" s="24"/>
      <c r="H1601" s="24"/>
      <c r="I1601" s="20" t="str">
        <f aca="false">IF(B1601="","",IF(G1601&lt;&gt;"",G1601,E1601))</f>
        <v/>
      </c>
      <c r="J1601" s="21" t="str">
        <f aca="false">IF(B1601="","",IF(H1601&lt;&gt;"",H1601,F1601))</f>
        <v/>
      </c>
      <c r="K1601" s="26" t="str">
        <f aca="false">IF(A1601="","",DATE(YEAR(A1601),MONTH(A1601),1))</f>
        <v/>
      </c>
      <c r="L1601" s="21" t="str">
        <f aca="false">IF(J1601="",IF(B1601="","",IF(N(C1601)&gt;=0,"Income","Expense")),IFERROR(INDEX(Lists!$B$2:$B$30,MATCH(J1601,Lists!$A$2:$A$30,0)),""))</f>
        <v/>
      </c>
      <c r="M1601" s="24"/>
      <c r="N1601" s="27" t="str">
        <f aca="false">IF(B1601="","",IFERROR(1000-SUMPRODUCT(MAX(ISNUMBER(SEARCH(Rules!$A$5:$A$204,B1601))*(Rules!$A$5:$A$204&lt;&gt;"")*(1000-ROW(Rules!$A$5:$A$204)))),""))</f>
        <v/>
      </c>
    </row>
    <row r="1602" customFormat="false" ht="15" hidden="false" customHeight="false" outlineLevel="0" collapsed="false">
      <c r="A1602" s="23"/>
      <c r="B1602" s="24"/>
      <c r="C1602" s="25"/>
      <c r="D1602" s="24"/>
      <c r="E1602" s="21" t="str">
        <f aca="false">IF(OR(B1602="",N(N1602)=0,N1602=1000),IF(B1602="","","Check"),INDEX(Rules!$B:$B,N1602))</f>
        <v/>
      </c>
      <c r="F1602" s="21" t="str">
        <f aca="false">IF(OR(B1602="",N(N1602)=0,N1602=1000),"",INDEX(Rules!$C:$C,N1602))</f>
        <v/>
      </c>
      <c r="G1602" s="24"/>
      <c r="H1602" s="24"/>
      <c r="I1602" s="20" t="str">
        <f aca="false">IF(B1602="","",IF(G1602&lt;&gt;"",G1602,E1602))</f>
        <v/>
      </c>
      <c r="J1602" s="21" t="str">
        <f aca="false">IF(B1602="","",IF(H1602&lt;&gt;"",H1602,F1602))</f>
        <v/>
      </c>
      <c r="K1602" s="26" t="str">
        <f aca="false">IF(A1602="","",DATE(YEAR(A1602),MONTH(A1602),1))</f>
        <v/>
      </c>
      <c r="L1602" s="21" t="str">
        <f aca="false">IF(J1602="",IF(B1602="","",IF(N(C1602)&gt;=0,"Income","Expense")),IFERROR(INDEX(Lists!$B$2:$B$30,MATCH(J1602,Lists!$A$2:$A$30,0)),""))</f>
        <v/>
      </c>
      <c r="M1602" s="24"/>
      <c r="N1602" s="27" t="str">
        <f aca="false">IF(B1602="","",IFERROR(1000-SUMPRODUCT(MAX(ISNUMBER(SEARCH(Rules!$A$5:$A$204,B1602))*(Rules!$A$5:$A$204&lt;&gt;"")*(1000-ROW(Rules!$A$5:$A$204)))),""))</f>
        <v/>
      </c>
    </row>
    <row r="1603" customFormat="false" ht="15" hidden="false" customHeight="false" outlineLevel="0" collapsed="false">
      <c r="A1603" s="23"/>
      <c r="B1603" s="24"/>
      <c r="C1603" s="25"/>
      <c r="D1603" s="24"/>
      <c r="E1603" s="21" t="str">
        <f aca="false">IF(OR(B1603="",N(N1603)=0,N1603=1000),IF(B1603="","","Check"),INDEX(Rules!$B:$B,N1603))</f>
        <v/>
      </c>
      <c r="F1603" s="21" t="str">
        <f aca="false">IF(OR(B1603="",N(N1603)=0,N1603=1000),"",INDEX(Rules!$C:$C,N1603))</f>
        <v/>
      </c>
      <c r="G1603" s="24"/>
      <c r="H1603" s="24"/>
      <c r="I1603" s="20" t="str">
        <f aca="false">IF(B1603="","",IF(G1603&lt;&gt;"",G1603,E1603))</f>
        <v/>
      </c>
      <c r="J1603" s="21" t="str">
        <f aca="false">IF(B1603="","",IF(H1603&lt;&gt;"",H1603,F1603))</f>
        <v/>
      </c>
      <c r="K1603" s="26" t="str">
        <f aca="false">IF(A1603="","",DATE(YEAR(A1603),MONTH(A1603),1))</f>
        <v/>
      </c>
      <c r="L1603" s="21" t="str">
        <f aca="false">IF(J1603="",IF(B1603="","",IF(N(C1603)&gt;=0,"Income","Expense")),IFERROR(INDEX(Lists!$B$2:$B$30,MATCH(J1603,Lists!$A$2:$A$30,0)),""))</f>
        <v/>
      </c>
      <c r="M1603" s="24"/>
      <c r="N1603" s="27" t="str">
        <f aca="false">IF(B1603="","",IFERROR(1000-SUMPRODUCT(MAX(ISNUMBER(SEARCH(Rules!$A$5:$A$204,B1603))*(Rules!$A$5:$A$204&lt;&gt;"")*(1000-ROW(Rules!$A$5:$A$204)))),""))</f>
        <v/>
      </c>
    </row>
    <row r="1604" customFormat="false" ht="15" hidden="false" customHeight="false" outlineLevel="0" collapsed="false">
      <c r="A1604" s="23"/>
      <c r="B1604" s="24"/>
      <c r="C1604" s="25"/>
      <c r="D1604" s="24"/>
      <c r="E1604" s="21" t="str">
        <f aca="false">IF(OR(B1604="",N(N1604)=0,N1604=1000),IF(B1604="","","Check"),INDEX(Rules!$B:$B,N1604))</f>
        <v/>
      </c>
      <c r="F1604" s="21" t="str">
        <f aca="false">IF(OR(B1604="",N(N1604)=0,N1604=1000),"",INDEX(Rules!$C:$C,N1604))</f>
        <v/>
      </c>
      <c r="G1604" s="24"/>
      <c r="H1604" s="24"/>
      <c r="I1604" s="20" t="str">
        <f aca="false">IF(B1604="","",IF(G1604&lt;&gt;"",G1604,E1604))</f>
        <v/>
      </c>
      <c r="J1604" s="21" t="str">
        <f aca="false">IF(B1604="","",IF(H1604&lt;&gt;"",H1604,F1604))</f>
        <v/>
      </c>
      <c r="K1604" s="26" t="str">
        <f aca="false">IF(A1604="","",DATE(YEAR(A1604),MONTH(A1604),1))</f>
        <v/>
      </c>
      <c r="L1604" s="21" t="str">
        <f aca="false">IF(J1604="",IF(B1604="","",IF(N(C1604)&gt;=0,"Income","Expense")),IFERROR(INDEX(Lists!$B$2:$B$30,MATCH(J1604,Lists!$A$2:$A$30,0)),""))</f>
        <v/>
      </c>
      <c r="M1604" s="24"/>
      <c r="N1604" s="27" t="str">
        <f aca="false">IF(B1604="","",IFERROR(1000-SUMPRODUCT(MAX(ISNUMBER(SEARCH(Rules!$A$5:$A$204,B1604))*(Rules!$A$5:$A$204&lt;&gt;"")*(1000-ROW(Rules!$A$5:$A$204)))),""))</f>
        <v/>
      </c>
    </row>
    <row r="1605" customFormat="false" ht="15" hidden="false" customHeight="false" outlineLevel="0" collapsed="false">
      <c r="A1605" s="23"/>
      <c r="B1605" s="24"/>
      <c r="C1605" s="25"/>
      <c r="D1605" s="24"/>
      <c r="E1605" s="21" t="str">
        <f aca="false">IF(OR(B1605="",N(N1605)=0,N1605=1000),IF(B1605="","","Check"),INDEX(Rules!$B:$B,N1605))</f>
        <v/>
      </c>
      <c r="F1605" s="21" t="str">
        <f aca="false">IF(OR(B1605="",N(N1605)=0,N1605=1000),"",INDEX(Rules!$C:$C,N1605))</f>
        <v/>
      </c>
      <c r="G1605" s="24"/>
      <c r="H1605" s="24"/>
      <c r="I1605" s="20" t="str">
        <f aca="false">IF(B1605="","",IF(G1605&lt;&gt;"",G1605,E1605))</f>
        <v/>
      </c>
      <c r="J1605" s="21" t="str">
        <f aca="false">IF(B1605="","",IF(H1605&lt;&gt;"",H1605,F1605))</f>
        <v/>
      </c>
      <c r="K1605" s="26" t="str">
        <f aca="false">IF(A1605="","",DATE(YEAR(A1605),MONTH(A1605),1))</f>
        <v/>
      </c>
      <c r="L1605" s="21" t="str">
        <f aca="false">IF(J1605="",IF(B1605="","",IF(N(C1605)&gt;=0,"Income","Expense")),IFERROR(INDEX(Lists!$B$2:$B$30,MATCH(J1605,Lists!$A$2:$A$30,0)),""))</f>
        <v/>
      </c>
      <c r="M1605" s="24"/>
      <c r="N1605" s="27" t="str">
        <f aca="false">IF(B1605="","",IFERROR(1000-SUMPRODUCT(MAX(ISNUMBER(SEARCH(Rules!$A$5:$A$204,B1605))*(Rules!$A$5:$A$204&lt;&gt;"")*(1000-ROW(Rules!$A$5:$A$204)))),""))</f>
        <v/>
      </c>
    </row>
    <row r="1606" customFormat="false" ht="15" hidden="false" customHeight="false" outlineLevel="0" collapsed="false">
      <c r="A1606" s="23"/>
      <c r="B1606" s="24"/>
      <c r="C1606" s="25"/>
      <c r="D1606" s="24"/>
      <c r="E1606" s="21" t="str">
        <f aca="false">IF(OR(B1606="",N(N1606)=0,N1606=1000),IF(B1606="","","Check"),INDEX(Rules!$B:$B,N1606))</f>
        <v/>
      </c>
      <c r="F1606" s="21" t="str">
        <f aca="false">IF(OR(B1606="",N(N1606)=0,N1606=1000),"",INDEX(Rules!$C:$C,N1606))</f>
        <v/>
      </c>
      <c r="G1606" s="24"/>
      <c r="H1606" s="24"/>
      <c r="I1606" s="20" t="str">
        <f aca="false">IF(B1606="","",IF(G1606&lt;&gt;"",G1606,E1606))</f>
        <v/>
      </c>
      <c r="J1606" s="21" t="str">
        <f aca="false">IF(B1606="","",IF(H1606&lt;&gt;"",H1606,F1606))</f>
        <v/>
      </c>
      <c r="K1606" s="26" t="str">
        <f aca="false">IF(A1606="","",DATE(YEAR(A1606),MONTH(A1606),1))</f>
        <v/>
      </c>
      <c r="L1606" s="21" t="str">
        <f aca="false">IF(J1606="",IF(B1606="","",IF(N(C1606)&gt;=0,"Income","Expense")),IFERROR(INDEX(Lists!$B$2:$B$30,MATCH(J1606,Lists!$A$2:$A$30,0)),""))</f>
        <v/>
      </c>
      <c r="M1606" s="24"/>
      <c r="N1606" s="27" t="str">
        <f aca="false">IF(B1606="","",IFERROR(1000-SUMPRODUCT(MAX(ISNUMBER(SEARCH(Rules!$A$5:$A$204,B1606))*(Rules!$A$5:$A$204&lt;&gt;"")*(1000-ROW(Rules!$A$5:$A$204)))),""))</f>
        <v/>
      </c>
    </row>
    <row r="1607" customFormat="false" ht="15" hidden="false" customHeight="false" outlineLevel="0" collapsed="false">
      <c r="A1607" s="23"/>
      <c r="B1607" s="24"/>
      <c r="C1607" s="25"/>
      <c r="D1607" s="24"/>
      <c r="E1607" s="21" t="str">
        <f aca="false">IF(OR(B1607="",N(N1607)=0,N1607=1000),IF(B1607="","","Check"),INDEX(Rules!$B:$B,N1607))</f>
        <v/>
      </c>
      <c r="F1607" s="21" t="str">
        <f aca="false">IF(OR(B1607="",N(N1607)=0,N1607=1000),"",INDEX(Rules!$C:$C,N1607))</f>
        <v/>
      </c>
      <c r="G1607" s="24"/>
      <c r="H1607" s="24"/>
      <c r="I1607" s="20" t="str">
        <f aca="false">IF(B1607="","",IF(G1607&lt;&gt;"",G1607,E1607))</f>
        <v/>
      </c>
      <c r="J1607" s="21" t="str">
        <f aca="false">IF(B1607="","",IF(H1607&lt;&gt;"",H1607,F1607))</f>
        <v/>
      </c>
      <c r="K1607" s="26" t="str">
        <f aca="false">IF(A1607="","",DATE(YEAR(A1607),MONTH(A1607),1))</f>
        <v/>
      </c>
      <c r="L1607" s="21" t="str">
        <f aca="false">IF(J1607="",IF(B1607="","",IF(N(C1607)&gt;=0,"Income","Expense")),IFERROR(INDEX(Lists!$B$2:$B$30,MATCH(J1607,Lists!$A$2:$A$30,0)),""))</f>
        <v/>
      </c>
      <c r="M1607" s="24"/>
      <c r="N1607" s="27" t="str">
        <f aca="false">IF(B1607="","",IFERROR(1000-SUMPRODUCT(MAX(ISNUMBER(SEARCH(Rules!$A$5:$A$204,B1607))*(Rules!$A$5:$A$204&lt;&gt;"")*(1000-ROW(Rules!$A$5:$A$204)))),""))</f>
        <v/>
      </c>
    </row>
    <row r="1608" customFormat="false" ht="15" hidden="false" customHeight="false" outlineLevel="0" collapsed="false">
      <c r="A1608" s="23"/>
      <c r="B1608" s="24"/>
      <c r="C1608" s="25"/>
      <c r="D1608" s="24"/>
      <c r="E1608" s="21" t="str">
        <f aca="false">IF(OR(B1608="",N(N1608)=0,N1608=1000),IF(B1608="","","Check"),INDEX(Rules!$B:$B,N1608))</f>
        <v/>
      </c>
      <c r="F1608" s="21" t="str">
        <f aca="false">IF(OR(B1608="",N(N1608)=0,N1608=1000),"",INDEX(Rules!$C:$C,N1608))</f>
        <v/>
      </c>
      <c r="G1608" s="24"/>
      <c r="H1608" s="24"/>
      <c r="I1608" s="20" t="str">
        <f aca="false">IF(B1608="","",IF(G1608&lt;&gt;"",G1608,E1608))</f>
        <v/>
      </c>
      <c r="J1608" s="21" t="str">
        <f aca="false">IF(B1608="","",IF(H1608&lt;&gt;"",H1608,F1608))</f>
        <v/>
      </c>
      <c r="K1608" s="26" t="str">
        <f aca="false">IF(A1608="","",DATE(YEAR(A1608),MONTH(A1608),1))</f>
        <v/>
      </c>
      <c r="L1608" s="21" t="str">
        <f aca="false">IF(J1608="",IF(B1608="","",IF(N(C1608)&gt;=0,"Income","Expense")),IFERROR(INDEX(Lists!$B$2:$B$30,MATCH(J1608,Lists!$A$2:$A$30,0)),""))</f>
        <v/>
      </c>
      <c r="M1608" s="24"/>
      <c r="N1608" s="27" t="str">
        <f aca="false">IF(B1608="","",IFERROR(1000-SUMPRODUCT(MAX(ISNUMBER(SEARCH(Rules!$A$5:$A$204,B1608))*(Rules!$A$5:$A$204&lt;&gt;"")*(1000-ROW(Rules!$A$5:$A$204)))),""))</f>
        <v/>
      </c>
    </row>
    <row r="1609" customFormat="false" ht="15" hidden="false" customHeight="false" outlineLevel="0" collapsed="false">
      <c r="A1609" s="23"/>
      <c r="B1609" s="24"/>
      <c r="C1609" s="25"/>
      <c r="D1609" s="24"/>
      <c r="E1609" s="21" t="str">
        <f aca="false">IF(OR(B1609="",N(N1609)=0,N1609=1000),IF(B1609="","","Check"),INDEX(Rules!$B:$B,N1609))</f>
        <v/>
      </c>
      <c r="F1609" s="21" t="str">
        <f aca="false">IF(OR(B1609="",N(N1609)=0,N1609=1000),"",INDEX(Rules!$C:$C,N1609))</f>
        <v/>
      </c>
      <c r="G1609" s="24"/>
      <c r="H1609" s="24"/>
      <c r="I1609" s="20" t="str">
        <f aca="false">IF(B1609="","",IF(G1609&lt;&gt;"",G1609,E1609))</f>
        <v/>
      </c>
      <c r="J1609" s="21" t="str">
        <f aca="false">IF(B1609="","",IF(H1609&lt;&gt;"",H1609,F1609))</f>
        <v/>
      </c>
      <c r="K1609" s="26" t="str">
        <f aca="false">IF(A1609="","",DATE(YEAR(A1609),MONTH(A1609),1))</f>
        <v/>
      </c>
      <c r="L1609" s="21" t="str">
        <f aca="false">IF(J1609="",IF(B1609="","",IF(N(C1609)&gt;=0,"Income","Expense")),IFERROR(INDEX(Lists!$B$2:$B$30,MATCH(J1609,Lists!$A$2:$A$30,0)),""))</f>
        <v/>
      </c>
      <c r="M1609" s="24"/>
      <c r="N1609" s="27" t="str">
        <f aca="false">IF(B1609="","",IFERROR(1000-SUMPRODUCT(MAX(ISNUMBER(SEARCH(Rules!$A$5:$A$204,B1609))*(Rules!$A$5:$A$204&lt;&gt;"")*(1000-ROW(Rules!$A$5:$A$204)))),""))</f>
        <v/>
      </c>
    </row>
    <row r="1610" customFormat="false" ht="15" hidden="false" customHeight="false" outlineLevel="0" collapsed="false">
      <c r="A1610" s="23"/>
      <c r="B1610" s="24"/>
      <c r="C1610" s="25"/>
      <c r="D1610" s="24"/>
      <c r="E1610" s="21" t="str">
        <f aca="false">IF(OR(B1610="",N(N1610)=0,N1610=1000),IF(B1610="","","Check"),INDEX(Rules!$B:$B,N1610))</f>
        <v/>
      </c>
      <c r="F1610" s="21" t="str">
        <f aca="false">IF(OR(B1610="",N(N1610)=0,N1610=1000),"",INDEX(Rules!$C:$C,N1610))</f>
        <v/>
      </c>
      <c r="G1610" s="24"/>
      <c r="H1610" s="24"/>
      <c r="I1610" s="20" t="str">
        <f aca="false">IF(B1610="","",IF(G1610&lt;&gt;"",G1610,E1610))</f>
        <v/>
      </c>
      <c r="J1610" s="21" t="str">
        <f aca="false">IF(B1610="","",IF(H1610&lt;&gt;"",H1610,F1610))</f>
        <v/>
      </c>
      <c r="K1610" s="26" t="str">
        <f aca="false">IF(A1610="","",DATE(YEAR(A1610),MONTH(A1610),1))</f>
        <v/>
      </c>
      <c r="L1610" s="21" t="str">
        <f aca="false">IF(J1610="",IF(B1610="","",IF(N(C1610)&gt;=0,"Income","Expense")),IFERROR(INDEX(Lists!$B$2:$B$30,MATCH(J1610,Lists!$A$2:$A$30,0)),""))</f>
        <v/>
      </c>
      <c r="M1610" s="24"/>
      <c r="N1610" s="27" t="str">
        <f aca="false">IF(B1610="","",IFERROR(1000-SUMPRODUCT(MAX(ISNUMBER(SEARCH(Rules!$A$5:$A$204,B1610))*(Rules!$A$5:$A$204&lt;&gt;"")*(1000-ROW(Rules!$A$5:$A$204)))),""))</f>
        <v/>
      </c>
    </row>
    <row r="1611" customFormat="false" ht="15" hidden="false" customHeight="false" outlineLevel="0" collapsed="false">
      <c r="A1611" s="23"/>
      <c r="B1611" s="24"/>
      <c r="C1611" s="25"/>
      <c r="D1611" s="24"/>
      <c r="E1611" s="21" t="str">
        <f aca="false">IF(OR(B1611="",N(N1611)=0,N1611=1000),IF(B1611="","","Check"),INDEX(Rules!$B:$B,N1611))</f>
        <v/>
      </c>
      <c r="F1611" s="21" t="str">
        <f aca="false">IF(OR(B1611="",N(N1611)=0,N1611=1000),"",INDEX(Rules!$C:$C,N1611))</f>
        <v/>
      </c>
      <c r="G1611" s="24"/>
      <c r="H1611" s="24"/>
      <c r="I1611" s="20" t="str">
        <f aca="false">IF(B1611="","",IF(G1611&lt;&gt;"",G1611,E1611))</f>
        <v/>
      </c>
      <c r="J1611" s="21" t="str">
        <f aca="false">IF(B1611="","",IF(H1611&lt;&gt;"",H1611,F1611))</f>
        <v/>
      </c>
      <c r="K1611" s="26" t="str">
        <f aca="false">IF(A1611="","",DATE(YEAR(A1611),MONTH(A1611),1))</f>
        <v/>
      </c>
      <c r="L1611" s="21" t="str">
        <f aca="false">IF(J1611="",IF(B1611="","",IF(N(C1611)&gt;=0,"Income","Expense")),IFERROR(INDEX(Lists!$B$2:$B$30,MATCH(J1611,Lists!$A$2:$A$30,0)),""))</f>
        <v/>
      </c>
      <c r="M1611" s="24"/>
      <c r="N1611" s="27" t="str">
        <f aca="false">IF(B1611="","",IFERROR(1000-SUMPRODUCT(MAX(ISNUMBER(SEARCH(Rules!$A$5:$A$204,B1611))*(Rules!$A$5:$A$204&lt;&gt;"")*(1000-ROW(Rules!$A$5:$A$204)))),""))</f>
        <v/>
      </c>
    </row>
    <row r="1612" customFormat="false" ht="15" hidden="false" customHeight="false" outlineLevel="0" collapsed="false">
      <c r="A1612" s="23"/>
      <c r="B1612" s="24"/>
      <c r="C1612" s="25"/>
      <c r="D1612" s="24"/>
      <c r="E1612" s="21" t="str">
        <f aca="false">IF(OR(B1612="",N(N1612)=0,N1612=1000),IF(B1612="","","Check"),INDEX(Rules!$B:$B,N1612))</f>
        <v/>
      </c>
      <c r="F1612" s="21" t="str">
        <f aca="false">IF(OR(B1612="",N(N1612)=0,N1612=1000),"",INDEX(Rules!$C:$C,N1612))</f>
        <v/>
      </c>
      <c r="G1612" s="24"/>
      <c r="H1612" s="24"/>
      <c r="I1612" s="20" t="str">
        <f aca="false">IF(B1612="","",IF(G1612&lt;&gt;"",G1612,E1612))</f>
        <v/>
      </c>
      <c r="J1612" s="21" t="str">
        <f aca="false">IF(B1612="","",IF(H1612&lt;&gt;"",H1612,F1612))</f>
        <v/>
      </c>
      <c r="K1612" s="26" t="str">
        <f aca="false">IF(A1612="","",DATE(YEAR(A1612),MONTH(A1612),1))</f>
        <v/>
      </c>
      <c r="L1612" s="21" t="str">
        <f aca="false">IF(J1612="",IF(B1612="","",IF(N(C1612)&gt;=0,"Income","Expense")),IFERROR(INDEX(Lists!$B$2:$B$30,MATCH(J1612,Lists!$A$2:$A$30,0)),""))</f>
        <v/>
      </c>
      <c r="M1612" s="24"/>
      <c r="N1612" s="27" t="str">
        <f aca="false">IF(B1612="","",IFERROR(1000-SUMPRODUCT(MAX(ISNUMBER(SEARCH(Rules!$A$5:$A$204,B1612))*(Rules!$A$5:$A$204&lt;&gt;"")*(1000-ROW(Rules!$A$5:$A$204)))),""))</f>
        <v/>
      </c>
    </row>
    <row r="1613" customFormat="false" ht="15" hidden="false" customHeight="false" outlineLevel="0" collapsed="false">
      <c r="A1613" s="23"/>
      <c r="B1613" s="24"/>
      <c r="C1613" s="25"/>
      <c r="D1613" s="24"/>
      <c r="E1613" s="21" t="str">
        <f aca="false">IF(OR(B1613="",N(N1613)=0,N1613=1000),IF(B1613="","","Check"),INDEX(Rules!$B:$B,N1613))</f>
        <v/>
      </c>
      <c r="F1613" s="21" t="str">
        <f aca="false">IF(OR(B1613="",N(N1613)=0,N1613=1000),"",INDEX(Rules!$C:$C,N1613))</f>
        <v/>
      </c>
      <c r="G1613" s="24"/>
      <c r="H1613" s="24"/>
      <c r="I1613" s="20" t="str">
        <f aca="false">IF(B1613="","",IF(G1613&lt;&gt;"",G1613,E1613))</f>
        <v/>
      </c>
      <c r="J1613" s="21" t="str">
        <f aca="false">IF(B1613="","",IF(H1613&lt;&gt;"",H1613,F1613))</f>
        <v/>
      </c>
      <c r="K1613" s="26" t="str">
        <f aca="false">IF(A1613="","",DATE(YEAR(A1613),MONTH(A1613),1))</f>
        <v/>
      </c>
      <c r="L1613" s="21" t="str">
        <f aca="false">IF(J1613="",IF(B1613="","",IF(N(C1613)&gt;=0,"Income","Expense")),IFERROR(INDEX(Lists!$B$2:$B$30,MATCH(J1613,Lists!$A$2:$A$30,0)),""))</f>
        <v/>
      </c>
      <c r="M1613" s="24"/>
      <c r="N1613" s="27" t="str">
        <f aca="false">IF(B1613="","",IFERROR(1000-SUMPRODUCT(MAX(ISNUMBER(SEARCH(Rules!$A$5:$A$204,B1613))*(Rules!$A$5:$A$204&lt;&gt;"")*(1000-ROW(Rules!$A$5:$A$204)))),""))</f>
        <v/>
      </c>
    </row>
    <row r="1614" customFormat="false" ht="15" hidden="false" customHeight="false" outlineLevel="0" collapsed="false">
      <c r="A1614" s="23"/>
      <c r="B1614" s="24"/>
      <c r="C1614" s="25"/>
      <c r="D1614" s="24"/>
      <c r="E1614" s="21" t="str">
        <f aca="false">IF(OR(B1614="",N(N1614)=0,N1614=1000),IF(B1614="","","Check"),INDEX(Rules!$B:$B,N1614))</f>
        <v/>
      </c>
      <c r="F1614" s="21" t="str">
        <f aca="false">IF(OR(B1614="",N(N1614)=0,N1614=1000),"",INDEX(Rules!$C:$C,N1614))</f>
        <v/>
      </c>
      <c r="G1614" s="24"/>
      <c r="H1614" s="24"/>
      <c r="I1614" s="20" t="str">
        <f aca="false">IF(B1614="","",IF(G1614&lt;&gt;"",G1614,E1614))</f>
        <v/>
      </c>
      <c r="J1614" s="21" t="str">
        <f aca="false">IF(B1614="","",IF(H1614&lt;&gt;"",H1614,F1614))</f>
        <v/>
      </c>
      <c r="K1614" s="26" t="str">
        <f aca="false">IF(A1614="","",DATE(YEAR(A1614),MONTH(A1614),1))</f>
        <v/>
      </c>
      <c r="L1614" s="21" t="str">
        <f aca="false">IF(J1614="",IF(B1614="","",IF(N(C1614)&gt;=0,"Income","Expense")),IFERROR(INDEX(Lists!$B$2:$B$30,MATCH(J1614,Lists!$A$2:$A$30,0)),""))</f>
        <v/>
      </c>
      <c r="M1614" s="24"/>
      <c r="N1614" s="27" t="str">
        <f aca="false">IF(B1614="","",IFERROR(1000-SUMPRODUCT(MAX(ISNUMBER(SEARCH(Rules!$A$5:$A$204,B1614))*(Rules!$A$5:$A$204&lt;&gt;"")*(1000-ROW(Rules!$A$5:$A$204)))),""))</f>
        <v/>
      </c>
    </row>
    <row r="1615" customFormat="false" ht="15" hidden="false" customHeight="false" outlineLevel="0" collapsed="false">
      <c r="A1615" s="23"/>
      <c r="B1615" s="24"/>
      <c r="C1615" s="25"/>
      <c r="D1615" s="24"/>
      <c r="E1615" s="21" t="str">
        <f aca="false">IF(OR(B1615="",N(N1615)=0,N1615=1000),IF(B1615="","","Check"),INDEX(Rules!$B:$B,N1615))</f>
        <v/>
      </c>
      <c r="F1615" s="21" t="str">
        <f aca="false">IF(OR(B1615="",N(N1615)=0,N1615=1000),"",INDEX(Rules!$C:$C,N1615))</f>
        <v/>
      </c>
      <c r="G1615" s="24"/>
      <c r="H1615" s="24"/>
      <c r="I1615" s="20" t="str">
        <f aca="false">IF(B1615="","",IF(G1615&lt;&gt;"",G1615,E1615))</f>
        <v/>
      </c>
      <c r="J1615" s="21" t="str">
        <f aca="false">IF(B1615="","",IF(H1615&lt;&gt;"",H1615,F1615))</f>
        <v/>
      </c>
      <c r="K1615" s="26" t="str">
        <f aca="false">IF(A1615="","",DATE(YEAR(A1615),MONTH(A1615),1))</f>
        <v/>
      </c>
      <c r="L1615" s="21" t="str">
        <f aca="false">IF(J1615="",IF(B1615="","",IF(N(C1615)&gt;=0,"Income","Expense")),IFERROR(INDEX(Lists!$B$2:$B$30,MATCH(J1615,Lists!$A$2:$A$30,0)),""))</f>
        <v/>
      </c>
      <c r="M1615" s="24"/>
      <c r="N1615" s="27" t="str">
        <f aca="false">IF(B1615="","",IFERROR(1000-SUMPRODUCT(MAX(ISNUMBER(SEARCH(Rules!$A$5:$A$204,B1615))*(Rules!$A$5:$A$204&lt;&gt;"")*(1000-ROW(Rules!$A$5:$A$204)))),""))</f>
        <v/>
      </c>
    </row>
    <row r="1616" customFormat="false" ht="15" hidden="false" customHeight="false" outlineLevel="0" collapsed="false">
      <c r="A1616" s="23"/>
      <c r="B1616" s="24"/>
      <c r="C1616" s="25"/>
      <c r="D1616" s="24"/>
      <c r="E1616" s="21" t="str">
        <f aca="false">IF(OR(B1616="",N(N1616)=0,N1616=1000),IF(B1616="","","Check"),INDEX(Rules!$B:$B,N1616))</f>
        <v/>
      </c>
      <c r="F1616" s="21" t="str">
        <f aca="false">IF(OR(B1616="",N(N1616)=0,N1616=1000),"",INDEX(Rules!$C:$C,N1616))</f>
        <v/>
      </c>
      <c r="G1616" s="24"/>
      <c r="H1616" s="24"/>
      <c r="I1616" s="20" t="str">
        <f aca="false">IF(B1616="","",IF(G1616&lt;&gt;"",G1616,E1616))</f>
        <v/>
      </c>
      <c r="J1616" s="21" t="str">
        <f aca="false">IF(B1616="","",IF(H1616&lt;&gt;"",H1616,F1616))</f>
        <v/>
      </c>
      <c r="K1616" s="26" t="str">
        <f aca="false">IF(A1616="","",DATE(YEAR(A1616),MONTH(A1616),1))</f>
        <v/>
      </c>
      <c r="L1616" s="21" t="str">
        <f aca="false">IF(J1616="",IF(B1616="","",IF(N(C1616)&gt;=0,"Income","Expense")),IFERROR(INDEX(Lists!$B$2:$B$30,MATCH(J1616,Lists!$A$2:$A$30,0)),""))</f>
        <v/>
      </c>
      <c r="M1616" s="24"/>
      <c r="N1616" s="27" t="str">
        <f aca="false">IF(B1616="","",IFERROR(1000-SUMPRODUCT(MAX(ISNUMBER(SEARCH(Rules!$A$5:$A$204,B1616))*(Rules!$A$5:$A$204&lt;&gt;"")*(1000-ROW(Rules!$A$5:$A$204)))),""))</f>
        <v/>
      </c>
    </row>
    <row r="1617" customFormat="false" ht="15" hidden="false" customHeight="false" outlineLevel="0" collapsed="false">
      <c r="A1617" s="23"/>
      <c r="B1617" s="24"/>
      <c r="C1617" s="25"/>
      <c r="D1617" s="24"/>
      <c r="E1617" s="21" t="str">
        <f aca="false">IF(OR(B1617="",N(N1617)=0,N1617=1000),IF(B1617="","","Check"),INDEX(Rules!$B:$B,N1617))</f>
        <v/>
      </c>
      <c r="F1617" s="21" t="str">
        <f aca="false">IF(OR(B1617="",N(N1617)=0,N1617=1000),"",INDEX(Rules!$C:$C,N1617))</f>
        <v/>
      </c>
      <c r="G1617" s="24"/>
      <c r="H1617" s="24"/>
      <c r="I1617" s="20" t="str">
        <f aca="false">IF(B1617="","",IF(G1617&lt;&gt;"",G1617,E1617))</f>
        <v/>
      </c>
      <c r="J1617" s="21" t="str">
        <f aca="false">IF(B1617="","",IF(H1617&lt;&gt;"",H1617,F1617))</f>
        <v/>
      </c>
      <c r="K1617" s="26" t="str">
        <f aca="false">IF(A1617="","",DATE(YEAR(A1617),MONTH(A1617),1))</f>
        <v/>
      </c>
      <c r="L1617" s="21" t="str">
        <f aca="false">IF(J1617="",IF(B1617="","",IF(N(C1617)&gt;=0,"Income","Expense")),IFERROR(INDEX(Lists!$B$2:$B$30,MATCH(J1617,Lists!$A$2:$A$30,0)),""))</f>
        <v/>
      </c>
      <c r="M1617" s="24"/>
      <c r="N1617" s="27" t="str">
        <f aca="false">IF(B1617="","",IFERROR(1000-SUMPRODUCT(MAX(ISNUMBER(SEARCH(Rules!$A$5:$A$204,B1617))*(Rules!$A$5:$A$204&lt;&gt;"")*(1000-ROW(Rules!$A$5:$A$204)))),""))</f>
        <v/>
      </c>
    </row>
    <row r="1618" customFormat="false" ht="15" hidden="false" customHeight="false" outlineLevel="0" collapsed="false">
      <c r="A1618" s="23"/>
      <c r="B1618" s="24"/>
      <c r="C1618" s="25"/>
      <c r="D1618" s="24"/>
      <c r="E1618" s="21" t="str">
        <f aca="false">IF(OR(B1618="",N(N1618)=0,N1618=1000),IF(B1618="","","Check"),INDEX(Rules!$B:$B,N1618))</f>
        <v/>
      </c>
      <c r="F1618" s="21" t="str">
        <f aca="false">IF(OR(B1618="",N(N1618)=0,N1618=1000),"",INDEX(Rules!$C:$C,N1618))</f>
        <v/>
      </c>
      <c r="G1618" s="24"/>
      <c r="H1618" s="24"/>
      <c r="I1618" s="20" t="str">
        <f aca="false">IF(B1618="","",IF(G1618&lt;&gt;"",G1618,E1618))</f>
        <v/>
      </c>
      <c r="J1618" s="21" t="str">
        <f aca="false">IF(B1618="","",IF(H1618&lt;&gt;"",H1618,F1618))</f>
        <v/>
      </c>
      <c r="K1618" s="26" t="str">
        <f aca="false">IF(A1618="","",DATE(YEAR(A1618),MONTH(A1618),1))</f>
        <v/>
      </c>
      <c r="L1618" s="21" t="str">
        <f aca="false">IF(J1618="",IF(B1618="","",IF(N(C1618)&gt;=0,"Income","Expense")),IFERROR(INDEX(Lists!$B$2:$B$30,MATCH(J1618,Lists!$A$2:$A$30,0)),""))</f>
        <v/>
      </c>
      <c r="M1618" s="24"/>
      <c r="N1618" s="27" t="str">
        <f aca="false">IF(B1618="","",IFERROR(1000-SUMPRODUCT(MAX(ISNUMBER(SEARCH(Rules!$A$5:$A$204,B1618))*(Rules!$A$5:$A$204&lt;&gt;"")*(1000-ROW(Rules!$A$5:$A$204)))),""))</f>
        <v/>
      </c>
    </row>
    <row r="1619" customFormat="false" ht="15" hidden="false" customHeight="false" outlineLevel="0" collapsed="false">
      <c r="A1619" s="23"/>
      <c r="B1619" s="24"/>
      <c r="C1619" s="25"/>
      <c r="D1619" s="24"/>
      <c r="E1619" s="21" t="str">
        <f aca="false">IF(OR(B1619="",N(N1619)=0,N1619=1000),IF(B1619="","","Check"),INDEX(Rules!$B:$B,N1619))</f>
        <v/>
      </c>
      <c r="F1619" s="21" t="str">
        <f aca="false">IF(OR(B1619="",N(N1619)=0,N1619=1000),"",INDEX(Rules!$C:$C,N1619))</f>
        <v/>
      </c>
      <c r="G1619" s="24"/>
      <c r="H1619" s="24"/>
      <c r="I1619" s="20" t="str">
        <f aca="false">IF(B1619="","",IF(G1619&lt;&gt;"",G1619,E1619))</f>
        <v/>
      </c>
      <c r="J1619" s="21" t="str">
        <f aca="false">IF(B1619="","",IF(H1619&lt;&gt;"",H1619,F1619))</f>
        <v/>
      </c>
      <c r="K1619" s="26" t="str">
        <f aca="false">IF(A1619="","",DATE(YEAR(A1619),MONTH(A1619),1))</f>
        <v/>
      </c>
      <c r="L1619" s="21" t="str">
        <f aca="false">IF(J1619="",IF(B1619="","",IF(N(C1619)&gt;=0,"Income","Expense")),IFERROR(INDEX(Lists!$B$2:$B$30,MATCH(J1619,Lists!$A$2:$A$30,0)),""))</f>
        <v/>
      </c>
      <c r="M1619" s="24"/>
      <c r="N1619" s="27" t="str">
        <f aca="false">IF(B1619="","",IFERROR(1000-SUMPRODUCT(MAX(ISNUMBER(SEARCH(Rules!$A$5:$A$204,B1619))*(Rules!$A$5:$A$204&lt;&gt;"")*(1000-ROW(Rules!$A$5:$A$204)))),""))</f>
        <v/>
      </c>
    </row>
    <row r="1620" customFormat="false" ht="15" hidden="false" customHeight="false" outlineLevel="0" collapsed="false">
      <c r="A1620" s="23"/>
      <c r="B1620" s="24"/>
      <c r="C1620" s="25"/>
      <c r="D1620" s="24"/>
      <c r="E1620" s="21" t="str">
        <f aca="false">IF(OR(B1620="",N(N1620)=0,N1620=1000),IF(B1620="","","Check"),INDEX(Rules!$B:$B,N1620))</f>
        <v/>
      </c>
      <c r="F1620" s="21" t="str">
        <f aca="false">IF(OR(B1620="",N(N1620)=0,N1620=1000),"",INDEX(Rules!$C:$C,N1620))</f>
        <v/>
      </c>
      <c r="G1620" s="24"/>
      <c r="H1620" s="24"/>
      <c r="I1620" s="20" t="str">
        <f aca="false">IF(B1620="","",IF(G1620&lt;&gt;"",G1620,E1620))</f>
        <v/>
      </c>
      <c r="J1620" s="21" t="str">
        <f aca="false">IF(B1620="","",IF(H1620&lt;&gt;"",H1620,F1620))</f>
        <v/>
      </c>
      <c r="K1620" s="26" t="str">
        <f aca="false">IF(A1620="","",DATE(YEAR(A1620),MONTH(A1620),1))</f>
        <v/>
      </c>
      <c r="L1620" s="21" t="str">
        <f aca="false">IF(J1620="",IF(B1620="","",IF(N(C1620)&gt;=0,"Income","Expense")),IFERROR(INDEX(Lists!$B$2:$B$30,MATCH(J1620,Lists!$A$2:$A$30,0)),""))</f>
        <v/>
      </c>
      <c r="M1620" s="24"/>
      <c r="N1620" s="27" t="str">
        <f aca="false">IF(B1620="","",IFERROR(1000-SUMPRODUCT(MAX(ISNUMBER(SEARCH(Rules!$A$5:$A$204,B1620))*(Rules!$A$5:$A$204&lt;&gt;"")*(1000-ROW(Rules!$A$5:$A$204)))),""))</f>
        <v/>
      </c>
    </row>
    <row r="1621" customFormat="false" ht="15" hidden="false" customHeight="false" outlineLevel="0" collapsed="false">
      <c r="A1621" s="23"/>
      <c r="B1621" s="24"/>
      <c r="C1621" s="25"/>
      <c r="D1621" s="24"/>
      <c r="E1621" s="21" t="str">
        <f aca="false">IF(OR(B1621="",N(N1621)=0,N1621=1000),IF(B1621="","","Check"),INDEX(Rules!$B:$B,N1621))</f>
        <v/>
      </c>
      <c r="F1621" s="21" t="str">
        <f aca="false">IF(OR(B1621="",N(N1621)=0,N1621=1000),"",INDEX(Rules!$C:$C,N1621))</f>
        <v/>
      </c>
      <c r="G1621" s="24"/>
      <c r="H1621" s="24"/>
      <c r="I1621" s="20" t="str">
        <f aca="false">IF(B1621="","",IF(G1621&lt;&gt;"",G1621,E1621))</f>
        <v/>
      </c>
      <c r="J1621" s="21" t="str">
        <f aca="false">IF(B1621="","",IF(H1621&lt;&gt;"",H1621,F1621))</f>
        <v/>
      </c>
      <c r="K1621" s="26" t="str">
        <f aca="false">IF(A1621="","",DATE(YEAR(A1621),MONTH(A1621),1))</f>
        <v/>
      </c>
      <c r="L1621" s="21" t="str">
        <f aca="false">IF(J1621="",IF(B1621="","",IF(N(C1621)&gt;=0,"Income","Expense")),IFERROR(INDEX(Lists!$B$2:$B$30,MATCH(J1621,Lists!$A$2:$A$30,0)),""))</f>
        <v/>
      </c>
      <c r="M1621" s="24"/>
      <c r="N1621" s="27" t="str">
        <f aca="false">IF(B1621="","",IFERROR(1000-SUMPRODUCT(MAX(ISNUMBER(SEARCH(Rules!$A$5:$A$204,B1621))*(Rules!$A$5:$A$204&lt;&gt;"")*(1000-ROW(Rules!$A$5:$A$204)))),""))</f>
        <v/>
      </c>
    </row>
    <row r="1622" customFormat="false" ht="15" hidden="false" customHeight="false" outlineLevel="0" collapsed="false">
      <c r="A1622" s="23"/>
      <c r="B1622" s="24"/>
      <c r="C1622" s="25"/>
      <c r="D1622" s="24"/>
      <c r="E1622" s="21" t="str">
        <f aca="false">IF(OR(B1622="",N(N1622)=0,N1622=1000),IF(B1622="","","Check"),INDEX(Rules!$B:$B,N1622))</f>
        <v/>
      </c>
      <c r="F1622" s="21" t="str">
        <f aca="false">IF(OR(B1622="",N(N1622)=0,N1622=1000),"",INDEX(Rules!$C:$C,N1622))</f>
        <v/>
      </c>
      <c r="G1622" s="24"/>
      <c r="H1622" s="24"/>
      <c r="I1622" s="20" t="str">
        <f aca="false">IF(B1622="","",IF(G1622&lt;&gt;"",G1622,E1622))</f>
        <v/>
      </c>
      <c r="J1622" s="21" t="str">
        <f aca="false">IF(B1622="","",IF(H1622&lt;&gt;"",H1622,F1622))</f>
        <v/>
      </c>
      <c r="K1622" s="26" t="str">
        <f aca="false">IF(A1622="","",DATE(YEAR(A1622),MONTH(A1622),1))</f>
        <v/>
      </c>
      <c r="L1622" s="21" t="str">
        <f aca="false">IF(J1622="",IF(B1622="","",IF(N(C1622)&gt;=0,"Income","Expense")),IFERROR(INDEX(Lists!$B$2:$B$30,MATCH(J1622,Lists!$A$2:$A$30,0)),""))</f>
        <v/>
      </c>
      <c r="M1622" s="24"/>
      <c r="N1622" s="27" t="str">
        <f aca="false">IF(B1622="","",IFERROR(1000-SUMPRODUCT(MAX(ISNUMBER(SEARCH(Rules!$A$5:$A$204,B1622))*(Rules!$A$5:$A$204&lt;&gt;"")*(1000-ROW(Rules!$A$5:$A$204)))),""))</f>
        <v/>
      </c>
    </row>
    <row r="1623" customFormat="false" ht="15" hidden="false" customHeight="false" outlineLevel="0" collapsed="false">
      <c r="A1623" s="23"/>
      <c r="B1623" s="24"/>
      <c r="C1623" s="25"/>
      <c r="D1623" s="24"/>
      <c r="E1623" s="21" t="str">
        <f aca="false">IF(OR(B1623="",N(N1623)=0,N1623=1000),IF(B1623="","","Check"),INDEX(Rules!$B:$B,N1623))</f>
        <v/>
      </c>
      <c r="F1623" s="21" t="str">
        <f aca="false">IF(OR(B1623="",N(N1623)=0,N1623=1000),"",INDEX(Rules!$C:$C,N1623))</f>
        <v/>
      </c>
      <c r="G1623" s="24"/>
      <c r="H1623" s="24"/>
      <c r="I1623" s="20" t="str">
        <f aca="false">IF(B1623="","",IF(G1623&lt;&gt;"",G1623,E1623))</f>
        <v/>
      </c>
      <c r="J1623" s="21" t="str">
        <f aca="false">IF(B1623="","",IF(H1623&lt;&gt;"",H1623,F1623))</f>
        <v/>
      </c>
      <c r="K1623" s="26" t="str">
        <f aca="false">IF(A1623="","",DATE(YEAR(A1623),MONTH(A1623),1))</f>
        <v/>
      </c>
      <c r="L1623" s="21" t="str">
        <f aca="false">IF(J1623="",IF(B1623="","",IF(N(C1623)&gt;=0,"Income","Expense")),IFERROR(INDEX(Lists!$B$2:$B$30,MATCH(J1623,Lists!$A$2:$A$30,0)),""))</f>
        <v/>
      </c>
      <c r="M1623" s="24"/>
      <c r="N1623" s="27" t="str">
        <f aca="false">IF(B1623="","",IFERROR(1000-SUMPRODUCT(MAX(ISNUMBER(SEARCH(Rules!$A$5:$A$204,B1623))*(Rules!$A$5:$A$204&lt;&gt;"")*(1000-ROW(Rules!$A$5:$A$204)))),""))</f>
        <v/>
      </c>
    </row>
    <row r="1624" customFormat="false" ht="15" hidden="false" customHeight="false" outlineLevel="0" collapsed="false">
      <c r="A1624" s="23"/>
      <c r="B1624" s="24"/>
      <c r="C1624" s="25"/>
      <c r="D1624" s="24"/>
      <c r="E1624" s="21" t="str">
        <f aca="false">IF(OR(B1624="",N(N1624)=0,N1624=1000),IF(B1624="","","Check"),INDEX(Rules!$B:$B,N1624))</f>
        <v/>
      </c>
      <c r="F1624" s="21" t="str">
        <f aca="false">IF(OR(B1624="",N(N1624)=0,N1624=1000),"",INDEX(Rules!$C:$C,N1624))</f>
        <v/>
      </c>
      <c r="G1624" s="24"/>
      <c r="H1624" s="24"/>
      <c r="I1624" s="20" t="str">
        <f aca="false">IF(B1624="","",IF(G1624&lt;&gt;"",G1624,E1624))</f>
        <v/>
      </c>
      <c r="J1624" s="21" t="str">
        <f aca="false">IF(B1624="","",IF(H1624&lt;&gt;"",H1624,F1624))</f>
        <v/>
      </c>
      <c r="K1624" s="26" t="str">
        <f aca="false">IF(A1624="","",DATE(YEAR(A1624),MONTH(A1624),1))</f>
        <v/>
      </c>
      <c r="L1624" s="21" t="str">
        <f aca="false">IF(J1624="",IF(B1624="","",IF(N(C1624)&gt;=0,"Income","Expense")),IFERROR(INDEX(Lists!$B$2:$B$30,MATCH(J1624,Lists!$A$2:$A$30,0)),""))</f>
        <v/>
      </c>
      <c r="M1624" s="24"/>
      <c r="N1624" s="27" t="str">
        <f aca="false">IF(B1624="","",IFERROR(1000-SUMPRODUCT(MAX(ISNUMBER(SEARCH(Rules!$A$5:$A$204,B1624))*(Rules!$A$5:$A$204&lt;&gt;"")*(1000-ROW(Rules!$A$5:$A$204)))),""))</f>
        <v/>
      </c>
    </row>
    <row r="1625" customFormat="false" ht="15" hidden="false" customHeight="false" outlineLevel="0" collapsed="false">
      <c r="A1625" s="23"/>
      <c r="B1625" s="24"/>
      <c r="C1625" s="25"/>
      <c r="D1625" s="24"/>
      <c r="E1625" s="21" t="str">
        <f aca="false">IF(OR(B1625="",N(N1625)=0,N1625=1000),IF(B1625="","","Check"),INDEX(Rules!$B:$B,N1625))</f>
        <v/>
      </c>
      <c r="F1625" s="21" t="str">
        <f aca="false">IF(OR(B1625="",N(N1625)=0,N1625=1000),"",INDEX(Rules!$C:$C,N1625))</f>
        <v/>
      </c>
      <c r="G1625" s="24"/>
      <c r="H1625" s="24"/>
      <c r="I1625" s="20" t="str">
        <f aca="false">IF(B1625="","",IF(G1625&lt;&gt;"",G1625,E1625))</f>
        <v/>
      </c>
      <c r="J1625" s="21" t="str">
        <f aca="false">IF(B1625="","",IF(H1625&lt;&gt;"",H1625,F1625))</f>
        <v/>
      </c>
      <c r="K1625" s="26" t="str">
        <f aca="false">IF(A1625="","",DATE(YEAR(A1625),MONTH(A1625),1))</f>
        <v/>
      </c>
      <c r="L1625" s="21" t="str">
        <f aca="false">IF(J1625="",IF(B1625="","",IF(N(C1625)&gt;=0,"Income","Expense")),IFERROR(INDEX(Lists!$B$2:$B$30,MATCH(J1625,Lists!$A$2:$A$30,0)),""))</f>
        <v/>
      </c>
      <c r="M1625" s="24"/>
      <c r="N1625" s="27" t="str">
        <f aca="false">IF(B1625="","",IFERROR(1000-SUMPRODUCT(MAX(ISNUMBER(SEARCH(Rules!$A$5:$A$204,B1625))*(Rules!$A$5:$A$204&lt;&gt;"")*(1000-ROW(Rules!$A$5:$A$204)))),""))</f>
        <v/>
      </c>
    </row>
    <row r="1626" customFormat="false" ht="15" hidden="false" customHeight="false" outlineLevel="0" collapsed="false">
      <c r="A1626" s="23"/>
      <c r="B1626" s="24"/>
      <c r="C1626" s="25"/>
      <c r="D1626" s="24"/>
      <c r="E1626" s="21" t="str">
        <f aca="false">IF(OR(B1626="",N(N1626)=0,N1626=1000),IF(B1626="","","Check"),INDEX(Rules!$B:$B,N1626))</f>
        <v/>
      </c>
      <c r="F1626" s="21" t="str">
        <f aca="false">IF(OR(B1626="",N(N1626)=0,N1626=1000),"",INDEX(Rules!$C:$C,N1626))</f>
        <v/>
      </c>
      <c r="G1626" s="24"/>
      <c r="H1626" s="24"/>
      <c r="I1626" s="20" t="str">
        <f aca="false">IF(B1626="","",IF(G1626&lt;&gt;"",G1626,E1626))</f>
        <v/>
      </c>
      <c r="J1626" s="21" t="str">
        <f aca="false">IF(B1626="","",IF(H1626&lt;&gt;"",H1626,F1626))</f>
        <v/>
      </c>
      <c r="K1626" s="26" t="str">
        <f aca="false">IF(A1626="","",DATE(YEAR(A1626),MONTH(A1626),1))</f>
        <v/>
      </c>
      <c r="L1626" s="21" t="str">
        <f aca="false">IF(J1626="",IF(B1626="","",IF(N(C1626)&gt;=0,"Income","Expense")),IFERROR(INDEX(Lists!$B$2:$B$30,MATCH(J1626,Lists!$A$2:$A$30,0)),""))</f>
        <v/>
      </c>
      <c r="M1626" s="24"/>
      <c r="N1626" s="27" t="str">
        <f aca="false">IF(B1626="","",IFERROR(1000-SUMPRODUCT(MAX(ISNUMBER(SEARCH(Rules!$A$5:$A$204,B1626))*(Rules!$A$5:$A$204&lt;&gt;"")*(1000-ROW(Rules!$A$5:$A$204)))),""))</f>
        <v/>
      </c>
    </row>
    <row r="1627" customFormat="false" ht="15" hidden="false" customHeight="false" outlineLevel="0" collapsed="false">
      <c r="A1627" s="23"/>
      <c r="B1627" s="24"/>
      <c r="C1627" s="25"/>
      <c r="D1627" s="24"/>
      <c r="E1627" s="21" t="str">
        <f aca="false">IF(OR(B1627="",N(N1627)=0,N1627=1000),IF(B1627="","","Check"),INDEX(Rules!$B:$B,N1627))</f>
        <v/>
      </c>
      <c r="F1627" s="21" t="str">
        <f aca="false">IF(OR(B1627="",N(N1627)=0,N1627=1000),"",INDEX(Rules!$C:$C,N1627))</f>
        <v/>
      </c>
      <c r="G1627" s="24"/>
      <c r="H1627" s="24"/>
      <c r="I1627" s="20" t="str">
        <f aca="false">IF(B1627="","",IF(G1627&lt;&gt;"",G1627,E1627))</f>
        <v/>
      </c>
      <c r="J1627" s="21" t="str">
        <f aca="false">IF(B1627="","",IF(H1627&lt;&gt;"",H1627,F1627))</f>
        <v/>
      </c>
      <c r="K1627" s="26" t="str">
        <f aca="false">IF(A1627="","",DATE(YEAR(A1627),MONTH(A1627),1))</f>
        <v/>
      </c>
      <c r="L1627" s="21" t="str">
        <f aca="false">IF(J1627="",IF(B1627="","",IF(N(C1627)&gt;=0,"Income","Expense")),IFERROR(INDEX(Lists!$B$2:$B$30,MATCH(J1627,Lists!$A$2:$A$30,0)),""))</f>
        <v/>
      </c>
      <c r="M1627" s="24"/>
      <c r="N1627" s="27" t="str">
        <f aca="false">IF(B1627="","",IFERROR(1000-SUMPRODUCT(MAX(ISNUMBER(SEARCH(Rules!$A$5:$A$204,B1627))*(Rules!$A$5:$A$204&lt;&gt;"")*(1000-ROW(Rules!$A$5:$A$204)))),""))</f>
        <v/>
      </c>
    </row>
    <row r="1628" customFormat="false" ht="15" hidden="false" customHeight="false" outlineLevel="0" collapsed="false">
      <c r="A1628" s="23"/>
      <c r="B1628" s="24"/>
      <c r="C1628" s="25"/>
      <c r="D1628" s="24"/>
      <c r="E1628" s="21" t="str">
        <f aca="false">IF(OR(B1628="",N(N1628)=0,N1628=1000),IF(B1628="","","Check"),INDEX(Rules!$B:$B,N1628))</f>
        <v/>
      </c>
      <c r="F1628" s="21" t="str">
        <f aca="false">IF(OR(B1628="",N(N1628)=0,N1628=1000),"",INDEX(Rules!$C:$C,N1628))</f>
        <v/>
      </c>
      <c r="G1628" s="24"/>
      <c r="H1628" s="24"/>
      <c r="I1628" s="20" t="str">
        <f aca="false">IF(B1628="","",IF(G1628&lt;&gt;"",G1628,E1628))</f>
        <v/>
      </c>
      <c r="J1628" s="21" t="str">
        <f aca="false">IF(B1628="","",IF(H1628&lt;&gt;"",H1628,F1628))</f>
        <v/>
      </c>
      <c r="K1628" s="26" t="str">
        <f aca="false">IF(A1628="","",DATE(YEAR(A1628),MONTH(A1628),1))</f>
        <v/>
      </c>
      <c r="L1628" s="21" t="str">
        <f aca="false">IF(J1628="",IF(B1628="","",IF(N(C1628)&gt;=0,"Income","Expense")),IFERROR(INDEX(Lists!$B$2:$B$30,MATCH(J1628,Lists!$A$2:$A$30,0)),""))</f>
        <v/>
      </c>
      <c r="M1628" s="24"/>
      <c r="N1628" s="27" t="str">
        <f aca="false">IF(B1628="","",IFERROR(1000-SUMPRODUCT(MAX(ISNUMBER(SEARCH(Rules!$A$5:$A$204,B1628))*(Rules!$A$5:$A$204&lt;&gt;"")*(1000-ROW(Rules!$A$5:$A$204)))),""))</f>
        <v/>
      </c>
    </row>
    <row r="1629" customFormat="false" ht="15" hidden="false" customHeight="false" outlineLevel="0" collapsed="false">
      <c r="A1629" s="23"/>
      <c r="B1629" s="24"/>
      <c r="C1629" s="25"/>
      <c r="D1629" s="24"/>
      <c r="E1629" s="21" t="str">
        <f aca="false">IF(OR(B1629="",N(N1629)=0,N1629=1000),IF(B1629="","","Check"),INDEX(Rules!$B:$B,N1629))</f>
        <v/>
      </c>
      <c r="F1629" s="21" t="str">
        <f aca="false">IF(OR(B1629="",N(N1629)=0,N1629=1000),"",INDEX(Rules!$C:$C,N1629))</f>
        <v/>
      </c>
      <c r="G1629" s="24"/>
      <c r="H1629" s="24"/>
      <c r="I1629" s="20" t="str">
        <f aca="false">IF(B1629="","",IF(G1629&lt;&gt;"",G1629,E1629))</f>
        <v/>
      </c>
      <c r="J1629" s="21" t="str">
        <f aca="false">IF(B1629="","",IF(H1629&lt;&gt;"",H1629,F1629))</f>
        <v/>
      </c>
      <c r="K1629" s="26" t="str">
        <f aca="false">IF(A1629="","",DATE(YEAR(A1629),MONTH(A1629),1))</f>
        <v/>
      </c>
      <c r="L1629" s="21" t="str">
        <f aca="false">IF(J1629="",IF(B1629="","",IF(N(C1629)&gt;=0,"Income","Expense")),IFERROR(INDEX(Lists!$B$2:$B$30,MATCH(J1629,Lists!$A$2:$A$30,0)),""))</f>
        <v/>
      </c>
      <c r="M1629" s="24"/>
      <c r="N1629" s="27" t="str">
        <f aca="false">IF(B1629="","",IFERROR(1000-SUMPRODUCT(MAX(ISNUMBER(SEARCH(Rules!$A$5:$A$204,B1629))*(Rules!$A$5:$A$204&lt;&gt;"")*(1000-ROW(Rules!$A$5:$A$204)))),""))</f>
        <v/>
      </c>
    </row>
    <row r="1630" customFormat="false" ht="15" hidden="false" customHeight="false" outlineLevel="0" collapsed="false">
      <c r="A1630" s="23"/>
      <c r="B1630" s="24"/>
      <c r="C1630" s="25"/>
      <c r="D1630" s="24"/>
      <c r="E1630" s="21" t="str">
        <f aca="false">IF(OR(B1630="",N(N1630)=0,N1630=1000),IF(B1630="","","Check"),INDEX(Rules!$B:$B,N1630))</f>
        <v/>
      </c>
      <c r="F1630" s="21" t="str">
        <f aca="false">IF(OR(B1630="",N(N1630)=0,N1630=1000),"",INDEX(Rules!$C:$C,N1630))</f>
        <v/>
      </c>
      <c r="G1630" s="24"/>
      <c r="H1630" s="24"/>
      <c r="I1630" s="20" t="str">
        <f aca="false">IF(B1630="","",IF(G1630&lt;&gt;"",G1630,E1630))</f>
        <v/>
      </c>
      <c r="J1630" s="21" t="str">
        <f aca="false">IF(B1630="","",IF(H1630&lt;&gt;"",H1630,F1630))</f>
        <v/>
      </c>
      <c r="K1630" s="26" t="str">
        <f aca="false">IF(A1630="","",DATE(YEAR(A1630),MONTH(A1630),1))</f>
        <v/>
      </c>
      <c r="L1630" s="21" t="str">
        <f aca="false">IF(J1630="",IF(B1630="","",IF(N(C1630)&gt;=0,"Income","Expense")),IFERROR(INDEX(Lists!$B$2:$B$30,MATCH(J1630,Lists!$A$2:$A$30,0)),""))</f>
        <v/>
      </c>
      <c r="M1630" s="24"/>
      <c r="N1630" s="27" t="str">
        <f aca="false">IF(B1630="","",IFERROR(1000-SUMPRODUCT(MAX(ISNUMBER(SEARCH(Rules!$A$5:$A$204,B1630))*(Rules!$A$5:$A$204&lt;&gt;"")*(1000-ROW(Rules!$A$5:$A$204)))),""))</f>
        <v/>
      </c>
    </row>
    <row r="1631" customFormat="false" ht="15" hidden="false" customHeight="false" outlineLevel="0" collapsed="false">
      <c r="A1631" s="23"/>
      <c r="B1631" s="24"/>
      <c r="C1631" s="25"/>
      <c r="D1631" s="24"/>
      <c r="E1631" s="21" t="str">
        <f aca="false">IF(OR(B1631="",N(N1631)=0,N1631=1000),IF(B1631="","","Check"),INDEX(Rules!$B:$B,N1631))</f>
        <v/>
      </c>
      <c r="F1631" s="21" t="str">
        <f aca="false">IF(OR(B1631="",N(N1631)=0,N1631=1000),"",INDEX(Rules!$C:$C,N1631))</f>
        <v/>
      </c>
      <c r="G1631" s="24"/>
      <c r="H1631" s="24"/>
      <c r="I1631" s="20" t="str">
        <f aca="false">IF(B1631="","",IF(G1631&lt;&gt;"",G1631,E1631))</f>
        <v/>
      </c>
      <c r="J1631" s="21" t="str">
        <f aca="false">IF(B1631="","",IF(H1631&lt;&gt;"",H1631,F1631))</f>
        <v/>
      </c>
      <c r="K1631" s="26" t="str">
        <f aca="false">IF(A1631="","",DATE(YEAR(A1631),MONTH(A1631),1))</f>
        <v/>
      </c>
      <c r="L1631" s="21" t="str">
        <f aca="false">IF(J1631="",IF(B1631="","",IF(N(C1631)&gt;=0,"Income","Expense")),IFERROR(INDEX(Lists!$B$2:$B$30,MATCH(J1631,Lists!$A$2:$A$30,0)),""))</f>
        <v/>
      </c>
      <c r="M1631" s="24"/>
      <c r="N1631" s="27" t="str">
        <f aca="false">IF(B1631="","",IFERROR(1000-SUMPRODUCT(MAX(ISNUMBER(SEARCH(Rules!$A$5:$A$204,B1631))*(Rules!$A$5:$A$204&lt;&gt;"")*(1000-ROW(Rules!$A$5:$A$204)))),""))</f>
        <v/>
      </c>
    </row>
    <row r="1632" customFormat="false" ht="15" hidden="false" customHeight="false" outlineLevel="0" collapsed="false">
      <c r="A1632" s="23"/>
      <c r="B1632" s="24"/>
      <c r="C1632" s="25"/>
      <c r="D1632" s="24"/>
      <c r="E1632" s="21" t="str">
        <f aca="false">IF(OR(B1632="",N(N1632)=0,N1632=1000),IF(B1632="","","Check"),INDEX(Rules!$B:$B,N1632))</f>
        <v/>
      </c>
      <c r="F1632" s="21" t="str">
        <f aca="false">IF(OR(B1632="",N(N1632)=0,N1632=1000),"",INDEX(Rules!$C:$C,N1632))</f>
        <v/>
      </c>
      <c r="G1632" s="24"/>
      <c r="H1632" s="24"/>
      <c r="I1632" s="20" t="str">
        <f aca="false">IF(B1632="","",IF(G1632&lt;&gt;"",G1632,E1632))</f>
        <v/>
      </c>
      <c r="J1632" s="21" t="str">
        <f aca="false">IF(B1632="","",IF(H1632&lt;&gt;"",H1632,F1632))</f>
        <v/>
      </c>
      <c r="K1632" s="26" t="str">
        <f aca="false">IF(A1632="","",DATE(YEAR(A1632),MONTH(A1632),1))</f>
        <v/>
      </c>
      <c r="L1632" s="21" t="str">
        <f aca="false">IF(J1632="",IF(B1632="","",IF(N(C1632)&gt;=0,"Income","Expense")),IFERROR(INDEX(Lists!$B$2:$B$30,MATCH(J1632,Lists!$A$2:$A$30,0)),""))</f>
        <v/>
      </c>
      <c r="M1632" s="24"/>
      <c r="N1632" s="27" t="str">
        <f aca="false">IF(B1632="","",IFERROR(1000-SUMPRODUCT(MAX(ISNUMBER(SEARCH(Rules!$A$5:$A$204,B1632))*(Rules!$A$5:$A$204&lt;&gt;"")*(1000-ROW(Rules!$A$5:$A$204)))),""))</f>
        <v/>
      </c>
    </row>
    <row r="1633" customFormat="false" ht="15" hidden="false" customHeight="false" outlineLevel="0" collapsed="false">
      <c r="A1633" s="23"/>
      <c r="B1633" s="24"/>
      <c r="C1633" s="25"/>
      <c r="D1633" s="24"/>
      <c r="E1633" s="21" t="str">
        <f aca="false">IF(OR(B1633="",N(N1633)=0,N1633=1000),IF(B1633="","","Check"),INDEX(Rules!$B:$B,N1633))</f>
        <v/>
      </c>
      <c r="F1633" s="21" t="str">
        <f aca="false">IF(OR(B1633="",N(N1633)=0,N1633=1000),"",INDEX(Rules!$C:$C,N1633))</f>
        <v/>
      </c>
      <c r="G1633" s="24"/>
      <c r="H1633" s="24"/>
      <c r="I1633" s="20" t="str">
        <f aca="false">IF(B1633="","",IF(G1633&lt;&gt;"",G1633,E1633))</f>
        <v/>
      </c>
      <c r="J1633" s="21" t="str">
        <f aca="false">IF(B1633="","",IF(H1633&lt;&gt;"",H1633,F1633))</f>
        <v/>
      </c>
      <c r="K1633" s="26" t="str">
        <f aca="false">IF(A1633="","",DATE(YEAR(A1633),MONTH(A1633),1))</f>
        <v/>
      </c>
      <c r="L1633" s="21" t="str">
        <f aca="false">IF(J1633="",IF(B1633="","",IF(N(C1633)&gt;=0,"Income","Expense")),IFERROR(INDEX(Lists!$B$2:$B$30,MATCH(J1633,Lists!$A$2:$A$30,0)),""))</f>
        <v/>
      </c>
      <c r="M1633" s="24"/>
      <c r="N1633" s="27" t="str">
        <f aca="false">IF(B1633="","",IFERROR(1000-SUMPRODUCT(MAX(ISNUMBER(SEARCH(Rules!$A$5:$A$204,B1633))*(Rules!$A$5:$A$204&lt;&gt;"")*(1000-ROW(Rules!$A$5:$A$204)))),""))</f>
        <v/>
      </c>
    </row>
    <row r="1634" customFormat="false" ht="15" hidden="false" customHeight="false" outlineLevel="0" collapsed="false">
      <c r="A1634" s="23"/>
      <c r="B1634" s="24"/>
      <c r="C1634" s="25"/>
      <c r="D1634" s="24"/>
      <c r="E1634" s="21" t="str">
        <f aca="false">IF(OR(B1634="",N(N1634)=0,N1634=1000),IF(B1634="","","Check"),INDEX(Rules!$B:$B,N1634))</f>
        <v/>
      </c>
      <c r="F1634" s="21" t="str">
        <f aca="false">IF(OR(B1634="",N(N1634)=0,N1634=1000),"",INDEX(Rules!$C:$C,N1634))</f>
        <v/>
      </c>
      <c r="G1634" s="24"/>
      <c r="H1634" s="24"/>
      <c r="I1634" s="20" t="str">
        <f aca="false">IF(B1634="","",IF(G1634&lt;&gt;"",G1634,E1634))</f>
        <v/>
      </c>
      <c r="J1634" s="21" t="str">
        <f aca="false">IF(B1634="","",IF(H1634&lt;&gt;"",H1634,F1634))</f>
        <v/>
      </c>
      <c r="K1634" s="26" t="str">
        <f aca="false">IF(A1634="","",DATE(YEAR(A1634),MONTH(A1634),1))</f>
        <v/>
      </c>
      <c r="L1634" s="21" t="str">
        <f aca="false">IF(J1634="",IF(B1634="","",IF(N(C1634)&gt;=0,"Income","Expense")),IFERROR(INDEX(Lists!$B$2:$B$30,MATCH(J1634,Lists!$A$2:$A$30,0)),""))</f>
        <v/>
      </c>
      <c r="M1634" s="24"/>
      <c r="N1634" s="27" t="str">
        <f aca="false">IF(B1634="","",IFERROR(1000-SUMPRODUCT(MAX(ISNUMBER(SEARCH(Rules!$A$5:$A$204,B1634))*(Rules!$A$5:$A$204&lt;&gt;"")*(1000-ROW(Rules!$A$5:$A$204)))),""))</f>
        <v/>
      </c>
    </row>
    <row r="1635" customFormat="false" ht="15" hidden="false" customHeight="false" outlineLevel="0" collapsed="false">
      <c r="A1635" s="23"/>
      <c r="B1635" s="24"/>
      <c r="C1635" s="25"/>
      <c r="D1635" s="24"/>
      <c r="E1635" s="21" t="str">
        <f aca="false">IF(OR(B1635="",N(N1635)=0,N1635=1000),IF(B1635="","","Check"),INDEX(Rules!$B:$B,N1635))</f>
        <v/>
      </c>
      <c r="F1635" s="21" t="str">
        <f aca="false">IF(OR(B1635="",N(N1635)=0,N1635=1000),"",INDEX(Rules!$C:$C,N1635))</f>
        <v/>
      </c>
      <c r="G1635" s="24"/>
      <c r="H1635" s="24"/>
      <c r="I1635" s="20" t="str">
        <f aca="false">IF(B1635="","",IF(G1635&lt;&gt;"",G1635,E1635))</f>
        <v/>
      </c>
      <c r="J1635" s="21" t="str">
        <f aca="false">IF(B1635="","",IF(H1635&lt;&gt;"",H1635,F1635))</f>
        <v/>
      </c>
      <c r="K1635" s="26" t="str">
        <f aca="false">IF(A1635="","",DATE(YEAR(A1635),MONTH(A1635),1))</f>
        <v/>
      </c>
      <c r="L1635" s="21" t="str">
        <f aca="false">IF(J1635="",IF(B1635="","",IF(N(C1635)&gt;=0,"Income","Expense")),IFERROR(INDEX(Lists!$B$2:$B$30,MATCH(J1635,Lists!$A$2:$A$30,0)),""))</f>
        <v/>
      </c>
      <c r="M1635" s="24"/>
      <c r="N1635" s="27" t="str">
        <f aca="false">IF(B1635="","",IFERROR(1000-SUMPRODUCT(MAX(ISNUMBER(SEARCH(Rules!$A$5:$A$204,B1635))*(Rules!$A$5:$A$204&lt;&gt;"")*(1000-ROW(Rules!$A$5:$A$204)))),""))</f>
        <v/>
      </c>
    </row>
    <row r="1636" customFormat="false" ht="15" hidden="false" customHeight="false" outlineLevel="0" collapsed="false">
      <c r="A1636" s="23"/>
      <c r="B1636" s="24"/>
      <c r="C1636" s="25"/>
      <c r="D1636" s="24"/>
      <c r="E1636" s="21" t="str">
        <f aca="false">IF(OR(B1636="",N(N1636)=0,N1636=1000),IF(B1636="","","Check"),INDEX(Rules!$B:$B,N1636))</f>
        <v/>
      </c>
      <c r="F1636" s="21" t="str">
        <f aca="false">IF(OR(B1636="",N(N1636)=0,N1636=1000),"",INDEX(Rules!$C:$C,N1636))</f>
        <v/>
      </c>
      <c r="G1636" s="24"/>
      <c r="H1636" s="24"/>
      <c r="I1636" s="20" t="str">
        <f aca="false">IF(B1636="","",IF(G1636&lt;&gt;"",G1636,E1636))</f>
        <v/>
      </c>
      <c r="J1636" s="21" t="str">
        <f aca="false">IF(B1636="","",IF(H1636&lt;&gt;"",H1636,F1636))</f>
        <v/>
      </c>
      <c r="K1636" s="26" t="str">
        <f aca="false">IF(A1636="","",DATE(YEAR(A1636),MONTH(A1636),1))</f>
        <v/>
      </c>
      <c r="L1636" s="21" t="str">
        <f aca="false">IF(J1636="",IF(B1636="","",IF(N(C1636)&gt;=0,"Income","Expense")),IFERROR(INDEX(Lists!$B$2:$B$30,MATCH(J1636,Lists!$A$2:$A$30,0)),""))</f>
        <v/>
      </c>
      <c r="M1636" s="24"/>
      <c r="N1636" s="27" t="str">
        <f aca="false">IF(B1636="","",IFERROR(1000-SUMPRODUCT(MAX(ISNUMBER(SEARCH(Rules!$A$5:$A$204,B1636))*(Rules!$A$5:$A$204&lt;&gt;"")*(1000-ROW(Rules!$A$5:$A$204)))),""))</f>
        <v/>
      </c>
    </row>
    <row r="1637" customFormat="false" ht="15" hidden="false" customHeight="false" outlineLevel="0" collapsed="false">
      <c r="A1637" s="23"/>
      <c r="B1637" s="24"/>
      <c r="C1637" s="25"/>
      <c r="D1637" s="24"/>
      <c r="E1637" s="21" t="str">
        <f aca="false">IF(OR(B1637="",N(N1637)=0,N1637=1000),IF(B1637="","","Check"),INDEX(Rules!$B:$B,N1637))</f>
        <v/>
      </c>
      <c r="F1637" s="21" t="str">
        <f aca="false">IF(OR(B1637="",N(N1637)=0,N1637=1000),"",INDEX(Rules!$C:$C,N1637))</f>
        <v/>
      </c>
      <c r="G1637" s="24"/>
      <c r="H1637" s="24"/>
      <c r="I1637" s="20" t="str">
        <f aca="false">IF(B1637="","",IF(G1637&lt;&gt;"",G1637,E1637))</f>
        <v/>
      </c>
      <c r="J1637" s="21" t="str">
        <f aca="false">IF(B1637="","",IF(H1637&lt;&gt;"",H1637,F1637))</f>
        <v/>
      </c>
      <c r="K1637" s="26" t="str">
        <f aca="false">IF(A1637="","",DATE(YEAR(A1637),MONTH(A1637),1))</f>
        <v/>
      </c>
      <c r="L1637" s="21" t="str">
        <f aca="false">IF(J1637="",IF(B1637="","",IF(N(C1637)&gt;=0,"Income","Expense")),IFERROR(INDEX(Lists!$B$2:$B$30,MATCH(J1637,Lists!$A$2:$A$30,0)),""))</f>
        <v/>
      </c>
      <c r="M1637" s="24"/>
      <c r="N1637" s="27" t="str">
        <f aca="false">IF(B1637="","",IFERROR(1000-SUMPRODUCT(MAX(ISNUMBER(SEARCH(Rules!$A$5:$A$204,B1637))*(Rules!$A$5:$A$204&lt;&gt;"")*(1000-ROW(Rules!$A$5:$A$204)))),""))</f>
        <v/>
      </c>
    </row>
    <row r="1638" customFormat="false" ht="15" hidden="false" customHeight="false" outlineLevel="0" collapsed="false">
      <c r="A1638" s="23"/>
      <c r="B1638" s="24"/>
      <c r="C1638" s="25"/>
      <c r="D1638" s="24"/>
      <c r="E1638" s="21" t="str">
        <f aca="false">IF(OR(B1638="",N(N1638)=0,N1638=1000),IF(B1638="","","Check"),INDEX(Rules!$B:$B,N1638))</f>
        <v/>
      </c>
      <c r="F1638" s="21" t="str">
        <f aca="false">IF(OR(B1638="",N(N1638)=0,N1638=1000),"",INDEX(Rules!$C:$C,N1638))</f>
        <v/>
      </c>
      <c r="G1638" s="24"/>
      <c r="H1638" s="24"/>
      <c r="I1638" s="20" t="str">
        <f aca="false">IF(B1638="","",IF(G1638&lt;&gt;"",G1638,E1638))</f>
        <v/>
      </c>
      <c r="J1638" s="21" t="str">
        <f aca="false">IF(B1638="","",IF(H1638&lt;&gt;"",H1638,F1638))</f>
        <v/>
      </c>
      <c r="K1638" s="26" t="str">
        <f aca="false">IF(A1638="","",DATE(YEAR(A1638),MONTH(A1638),1))</f>
        <v/>
      </c>
      <c r="L1638" s="21" t="str">
        <f aca="false">IF(J1638="",IF(B1638="","",IF(N(C1638)&gt;=0,"Income","Expense")),IFERROR(INDEX(Lists!$B$2:$B$30,MATCH(J1638,Lists!$A$2:$A$30,0)),""))</f>
        <v/>
      </c>
      <c r="M1638" s="24"/>
      <c r="N1638" s="27" t="str">
        <f aca="false">IF(B1638="","",IFERROR(1000-SUMPRODUCT(MAX(ISNUMBER(SEARCH(Rules!$A$5:$A$204,B1638))*(Rules!$A$5:$A$204&lt;&gt;"")*(1000-ROW(Rules!$A$5:$A$204)))),""))</f>
        <v/>
      </c>
    </row>
    <row r="1639" customFormat="false" ht="15" hidden="false" customHeight="false" outlineLevel="0" collapsed="false">
      <c r="A1639" s="23"/>
      <c r="B1639" s="24"/>
      <c r="C1639" s="25"/>
      <c r="D1639" s="24"/>
      <c r="E1639" s="21" t="str">
        <f aca="false">IF(OR(B1639="",N(N1639)=0,N1639=1000),IF(B1639="","","Check"),INDEX(Rules!$B:$B,N1639))</f>
        <v/>
      </c>
      <c r="F1639" s="21" t="str">
        <f aca="false">IF(OR(B1639="",N(N1639)=0,N1639=1000),"",INDEX(Rules!$C:$C,N1639))</f>
        <v/>
      </c>
      <c r="G1639" s="24"/>
      <c r="H1639" s="24"/>
      <c r="I1639" s="20" t="str">
        <f aca="false">IF(B1639="","",IF(G1639&lt;&gt;"",G1639,E1639))</f>
        <v/>
      </c>
      <c r="J1639" s="21" t="str">
        <f aca="false">IF(B1639="","",IF(H1639&lt;&gt;"",H1639,F1639))</f>
        <v/>
      </c>
      <c r="K1639" s="26" t="str">
        <f aca="false">IF(A1639="","",DATE(YEAR(A1639),MONTH(A1639),1))</f>
        <v/>
      </c>
      <c r="L1639" s="21" t="str">
        <f aca="false">IF(J1639="",IF(B1639="","",IF(N(C1639)&gt;=0,"Income","Expense")),IFERROR(INDEX(Lists!$B$2:$B$30,MATCH(J1639,Lists!$A$2:$A$30,0)),""))</f>
        <v/>
      </c>
      <c r="M1639" s="24"/>
      <c r="N1639" s="27" t="str">
        <f aca="false">IF(B1639="","",IFERROR(1000-SUMPRODUCT(MAX(ISNUMBER(SEARCH(Rules!$A$5:$A$204,B1639))*(Rules!$A$5:$A$204&lt;&gt;"")*(1000-ROW(Rules!$A$5:$A$204)))),""))</f>
        <v/>
      </c>
    </row>
    <row r="1640" customFormat="false" ht="15" hidden="false" customHeight="false" outlineLevel="0" collapsed="false">
      <c r="A1640" s="23"/>
      <c r="B1640" s="24"/>
      <c r="C1640" s="25"/>
      <c r="D1640" s="24"/>
      <c r="E1640" s="21" t="str">
        <f aca="false">IF(OR(B1640="",N(N1640)=0,N1640=1000),IF(B1640="","","Check"),INDEX(Rules!$B:$B,N1640))</f>
        <v/>
      </c>
      <c r="F1640" s="21" t="str">
        <f aca="false">IF(OR(B1640="",N(N1640)=0,N1640=1000),"",INDEX(Rules!$C:$C,N1640))</f>
        <v/>
      </c>
      <c r="G1640" s="24"/>
      <c r="H1640" s="24"/>
      <c r="I1640" s="20" t="str">
        <f aca="false">IF(B1640="","",IF(G1640&lt;&gt;"",G1640,E1640))</f>
        <v/>
      </c>
      <c r="J1640" s="21" t="str">
        <f aca="false">IF(B1640="","",IF(H1640&lt;&gt;"",H1640,F1640))</f>
        <v/>
      </c>
      <c r="K1640" s="26" t="str">
        <f aca="false">IF(A1640="","",DATE(YEAR(A1640),MONTH(A1640),1))</f>
        <v/>
      </c>
      <c r="L1640" s="21" t="str">
        <f aca="false">IF(J1640="",IF(B1640="","",IF(N(C1640)&gt;=0,"Income","Expense")),IFERROR(INDEX(Lists!$B$2:$B$30,MATCH(J1640,Lists!$A$2:$A$30,0)),""))</f>
        <v/>
      </c>
      <c r="M1640" s="24"/>
      <c r="N1640" s="27" t="str">
        <f aca="false">IF(B1640="","",IFERROR(1000-SUMPRODUCT(MAX(ISNUMBER(SEARCH(Rules!$A$5:$A$204,B1640))*(Rules!$A$5:$A$204&lt;&gt;"")*(1000-ROW(Rules!$A$5:$A$204)))),""))</f>
        <v/>
      </c>
    </row>
    <row r="1641" customFormat="false" ht="15" hidden="false" customHeight="false" outlineLevel="0" collapsed="false">
      <c r="A1641" s="23"/>
      <c r="B1641" s="24"/>
      <c r="C1641" s="25"/>
      <c r="D1641" s="24"/>
      <c r="E1641" s="21" t="str">
        <f aca="false">IF(OR(B1641="",N(N1641)=0,N1641=1000),IF(B1641="","","Check"),INDEX(Rules!$B:$B,N1641))</f>
        <v/>
      </c>
      <c r="F1641" s="21" t="str">
        <f aca="false">IF(OR(B1641="",N(N1641)=0,N1641=1000),"",INDEX(Rules!$C:$C,N1641))</f>
        <v/>
      </c>
      <c r="G1641" s="24"/>
      <c r="H1641" s="24"/>
      <c r="I1641" s="20" t="str">
        <f aca="false">IF(B1641="","",IF(G1641&lt;&gt;"",G1641,E1641))</f>
        <v/>
      </c>
      <c r="J1641" s="21" t="str">
        <f aca="false">IF(B1641="","",IF(H1641&lt;&gt;"",H1641,F1641))</f>
        <v/>
      </c>
      <c r="K1641" s="26" t="str">
        <f aca="false">IF(A1641="","",DATE(YEAR(A1641),MONTH(A1641),1))</f>
        <v/>
      </c>
      <c r="L1641" s="21" t="str">
        <f aca="false">IF(J1641="",IF(B1641="","",IF(N(C1641)&gt;=0,"Income","Expense")),IFERROR(INDEX(Lists!$B$2:$B$30,MATCH(J1641,Lists!$A$2:$A$30,0)),""))</f>
        <v/>
      </c>
      <c r="M1641" s="24"/>
      <c r="N1641" s="27" t="str">
        <f aca="false">IF(B1641="","",IFERROR(1000-SUMPRODUCT(MAX(ISNUMBER(SEARCH(Rules!$A$5:$A$204,B1641))*(Rules!$A$5:$A$204&lt;&gt;"")*(1000-ROW(Rules!$A$5:$A$204)))),""))</f>
        <v/>
      </c>
    </row>
    <row r="1642" customFormat="false" ht="15" hidden="false" customHeight="false" outlineLevel="0" collapsed="false">
      <c r="A1642" s="23"/>
      <c r="B1642" s="24"/>
      <c r="C1642" s="25"/>
      <c r="D1642" s="24"/>
      <c r="E1642" s="21" t="str">
        <f aca="false">IF(OR(B1642="",N(N1642)=0,N1642=1000),IF(B1642="","","Check"),INDEX(Rules!$B:$B,N1642))</f>
        <v/>
      </c>
      <c r="F1642" s="21" t="str">
        <f aca="false">IF(OR(B1642="",N(N1642)=0,N1642=1000),"",INDEX(Rules!$C:$C,N1642))</f>
        <v/>
      </c>
      <c r="G1642" s="24"/>
      <c r="H1642" s="24"/>
      <c r="I1642" s="20" t="str">
        <f aca="false">IF(B1642="","",IF(G1642&lt;&gt;"",G1642,E1642))</f>
        <v/>
      </c>
      <c r="J1642" s="21" t="str">
        <f aca="false">IF(B1642="","",IF(H1642&lt;&gt;"",H1642,F1642))</f>
        <v/>
      </c>
      <c r="K1642" s="26" t="str">
        <f aca="false">IF(A1642="","",DATE(YEAR(A1642),MONTH(A1642),1))</f>
        <v/>
      </c>
      <c r="L1642" s="21" t="str">
        <f aca="false">IF(J1642="",IF(B1642="","",IF(N(C1642)&gt;=0,"Income","Expense")),IFERROR(INDEX(Lists!$B$2:$B$30,MATCH(J1642,Lists!$A$2:$A$30,0)),""))</f>
        <v/>
      </c>
      <c r="M1642" s="24"/>
      <c r="N1642" s="27" t="str">
        <f aca="false">IF(B1642="","",IFERROR(1000-SUMPRODUCT(MAX(ISNUMBER(SEARCH(Rules!$A$5:$A$204,B1642))*(Rules!$A$5:$A$204&lt;&gt;"")*(1000-ROW(Rules!$A$5:$A$204)))),""))</f>
        <v/>
      </c>
    </row>
    <row r="1643" customFormat="false" ht="15" hidden="false" customHeight="false" outlineLevel="0" collapsed="false">
      <c r="A1643" s="23"/>
      <c r="B1643" s="24"/>
      <c r="C1643" s="25"/>
      <c r="D1643" s="24"/>
      <c r="E1643" s="21" t="str">
        <f aca="false">IF(OR(B1643="",N(N1643)=0,N1643=1000),IF(B1643="","","Check"),INDEX(Rules!$B:$B,N1643))</f>
        <v/>
      </c>
      <c r="F1643" s="21" t="str">
        <f aca="false">IF(OR(B1643="",N(N1643)=0,N1643=1000),"",INDEX(Rules!$C:$C,N1643))</f>
        <v/>
      </c>
      <c r="G1643" s="24"/>
      <c r="H1643" s="24"/>
      <c r="I1643" s="20" t="str">
        <f aca="false">IF(B1643="","",IF(G1643&lt;&gt;"",G1643,E1643))</f>
        <v/>
      </c>
      <c r="J1643" s="21" t="str">
        <f aca="false">IF(B1643="","",IF(H1643&lt;&gt;"",H1643,F1643))</f>
        <v/>
      </c>
      <c r="K1643" s="26" t="str">
        <f aca="false">IF(A1643="","",DATE(YEAR(A1643),MONTH(A1643),1))</f>
        <v/>
      </c>
      <c r="L1643" s="21" t="str">
        <f aca="false">IF(J1643="",IF(B1643="","",IF(N(C1643)&gt;=0,"Income","Expense")),IFERROR(INDEX(Lists!$B$2:$B$30,MATCH(J1643,Lists!$A$2:$A$30,0)),""))</f>
        <v/>
      </c>
      <c r="M1643" s="24"/>
      <c r="N1643" s="27" t="str">
        <f aca="false">IF(B1643="","",IFERROR(1000-SUMPRODUCT(MAX(ISNUMBER(SEARCH(Rules!$A$5:$A$204,B1643))*(Rules!$A$5:$A$204&lt;&gt;"")*(1000-ROW(Rules!$A$5:$A$204)))),""))</f>
        <v/>
      </c>
    </row>
    <row r="1644" customFormat="false" ht="15" hidden="false" customHeight="false" outlineLevel="0" collapsed="false">
      <c r="A1644" s="23"/>
      <c r="B1644" s="24"/>
      <c r="C1644" s="25"/>
      <c r="D1644" s="24"/>
      <c r="E1644" s="21" t="str">
        <f aca="false">IF(OR(B1644="",N(N1644)=0,N1644=1000),IF(B1644="","","Check"),INDEX(Rules!$B:$B,N1644))</f>
        <v/>
      </c>
      <c r="F1644" s="21" t="str">
        <f aca="false">IF(OR(B1644="",N(N1644)=0,N1644=1000),"",INDEX(Rules!$C:$C,N1644))</f>
        <v/>
      </c>
      <c r="G1644" s="24"/>
      <c r="H1644" s="24"/>
      <c r="I1644" s="20" t="str">
        <f aca="false">IF(B1644="","",IF(G1644&lt;&gt;"",G1644,E1644))</f>
        <v/>
      </c>
      <c r="J1644" s="21" t="str">
        <f aca="false">IF(B1644="","",IF(H1644&lt;&gt;"",H1644,F1644))</f>
        <v/>
      </c>
      <c r="K1644" s="26" t="str">
        <f aca="false">IF(A1644="","",DATE(YEAR(A1644),MONTH(A1644),1))</f>
        <v/>
      </c>
      <c r="L1644" s="21" t="str">
        <f aca="false">IF(J1644="",IF(B1644="","",IF(N(C1644)&gt;=0,"Income","Expense")),IFERROR(INDEX(Lists!$B$2:$B$30,MATCH(J1644,Lists!$A$2:$A$30,0)),""))</f>
        <v/>
      </c>
      <c r="M1644" s="24"/>
      <c r="N1644" s="27" t="str">
        <f aca="false">IF(B1644="","",IFERROR(1000-SUMPRODUCT(MAX(ISNUMBER(SEARCH(Rules!$A$5:$A$204,B1644))*(Rules!$A$5:$A$204&lt;&gt;"")*(1000-ROW(Rules!$A$5:$A$204)))),""))</f>
        <v/>
      </c>
    </row>
    <row r="1645" customFormat="false" ht="15" hidden="false" customHeight="false" outlineLevel="0" collapsed="false">
      <c r="A1645" s="23"/>
      <c r="B1645" s="24"/>
      <c r="C1645" s="25"/>
      <c r="D1645" s="24"/>
      <c r="E1645" s="21" t="str">
        <f aca="false">IF(OR(B1645="",N(N1645)=0,N1645=1000),IF(B1645="","","Check"),INDEX(Rules!$B:$B,N1645))</f>
        <v/>
      </c>
      <c r="F1645" s="21" t="str">
        <f aca="false">IF(OR(B1645="",N(N1645)=0,N1645=1000),"",INDEX(Rules!$C:$C,N1645))</f>
        <v/>
      </c>
      <c r="G1645" s="24"/>
      <c r="H1645" s="24"/>
      <c r="I1645" s="20" t="str">
        <f aca="false">IF(B1645="","",IF(G1645&lt;&gt;"",G1645,E1645))</f>
        <v/>
      </c>
      <c r="J1645" s="21" t="str">
        <f aca="false">IF(B1645="","",IF(H1645&lt;&gt;"",H1645,F1645))</f>
        <v/>
      </c>
      <c r="K1645" s="26" t="str">
        <f aca="false">IF(A1645="","",DATE(YEAR(A1645),MONTH(A1645),1))</f>
        <v/>
      </c>
      <c r="L1645" s="21" t="str">
        <f aca="false">IF(J1645="",IF(B1645="","",IF(N(C1645)&gt;=0,"Income","Expense")),IFERROR(INDEX(Lists!$B$2:$B$30,MATCH(J1645,Lists!$A$2:$A$30,0)),""))</f>
        <v/>
      </c>
      <c r="M1645" s="24"/>
      <c r="N1645" s="27" t="str">
        <f aca="false">IF(B1645="","",IFERROR(1000-SUMPRODUCT(MAX(ISNUMBER(SEARCH(Rules!$A$5:$A$204,B1645))*(Rules!$A$5:$A$204&lt;&gt;"")*(1000-ROW(Rules!$A$5:$A$204)))),""))</f>
        <v/>
      </c>
    </row>
    <row r="1646" customFormat="false" ht="15" hidden="false" customHeight="false" outlineLevel="0" collapsed="false">
      <c r="A1646" s="23"/>
      <c r="B1646" s="24"/>
      <c r="C1646" s="25"/>
      <c r="D1646" s="24"/>
      <c r="E1646" s="21" t="str">
        <f aca="false">IF(OR(B1646="",N(N1646)=0,N1646=1000),IF(B1646="","","Check"),INDEX(Rules!$B:$B,N1646))</f>
        <v/>
      </c>
      <c r="F1646" s="21" t="str">
        <f aca="false">IF(OR(B1646="",N(N1646)=0,N1646=1000),"",INDEX(Rules!$C:$C,N1646))</f>
        <v/>
      </c>
      <c r="G1646" s="24"/>
      <c r="H1646" s="24"/>
      <c r="I1646" s="20" t="str">
        <f aca="false">IF(B1646="","",IF(G1646&lt;&gt;"",G1646,E1646))</f>
        <v/>
      </c>
      <c r="J1646" s="21" t="str">
        <f aca="false">IF(B1646="","",IF(H1646&lt;&gt;"",H1646,F1646))</f>
        <v/>
      </c>
      <c r="K1646" s="26" t="str">
        <f aca="false">IF(A1646="","",DATE(YEAR(A1646),MONTH(A1646),1))</f>
        <v/>
      </c>
      <c r="L1646" s="21" t="str">
        <f aca="false">IF(J1646="",IF(B1646="","",IF(N(C1646)&gt;=0,"Income","Expense")),IFERROR(INDEX(Lists!$B$2:$B$30,MATCH(J1646,Lists!$A$2:$A$30,0)),""))</f>
        <v/>
      </c>
      <c r="M1646" s="24"/>
      <c r="N1646" s="27" t="str">
        <f aca="false">IF(B1646="","",IFERROR(1000-SUMPRODUCT(MAX(ISNUMBER(SEARCH(Rules!$A$5:$A$204,B1646))*(Rules!$A$5:$A$204&lt;&gt;"")*(1000-ROW(Rules!$A$5:$A$204)))),""))</f>
        <v/>
      </c>
    </row>
    <row r="1647" customFormat="false" ht="15" hidden="false" customHeight="false" outlineLevel="0" collapsed="false">
      <c r="A1647" s="23"/>
      <c r="B1647" s="24"/>
      <c r="C1647" s="25"/>
      <c r="D1647" s="24"/>
      <c r="E1647" s="21" t="str">
        <f aca="false">IF(OR(B1647="",N(N1647)=0,N1647=1000),IF(B1647="","","Check"),INDEX(Rules!$B:$B,N1647))</f>
        <v/>
      </c>
      <c r="F1647" s="21" t="str">
        <f aca="false">IF(OR(B1647="",N(N1647)=0,N1647=1000),"",INDEX(Rules!$C:$C,N1647))</f>
        <v/>
      </c>
      <c r="G1647" s="24"/>
      <c r="H1647" s="24"/>
      <c r="I1647" s="20" t="str">
        <f aca="false">IF(B1647="","",IF(G1647&lt;&gt;"",G1647,E1647))</f>
        <v/>
      </c>
      <c r="J1647" s="21" t="str">
        <f aca="false">IF(B1647="","",IF(H1647&lt;&gt;"",H1647,F1647))</f>
        <v/>
      </c>
      <c r="K1647" s="26" t="str">
        <f aca="false">IF(A1647="","",DATE(YEAR(A1647),MONTH(A1647),1))</f>
        <v/>
      </c>
      <c r="L1647" s="21" t="str">
        <f aca="false">IF(J1647="",IF(B1647="","",IF(N(C1647)&gt;=0,"Income","Expense")),IFERROR(INDEX(Lists!$B$2:$B$30,MATCH(J1647,Lists!$A$2:$A$30,0)),""))</f>
        <v/>
      </c>
      <c r="M1647" s="24"/>
      <c r="N1647" s="27" t="str">
        <f aca="false">IF(B1647="","",IFERROR(1000-SUMPRODUCT(MAX(ISNUMBER(SEARCH(Rules!$A$5:$A$204,B1647))*(Rules!$A$5:$A$204&lt;&gt;"")*(1000-ROW(Rules!$A$5:$A$204)))),""))</f>
        <v/>
      </c>
    </row>
    <row r="1648" customFormat="false" ht="15" hidden="false" customHeight="false" outlineLevel="0" collapsed="false">
      <c r="A1648" s="23"/>
      <c r="B1648" s="24"/>
      <c r="C1648" s="25"/>
      <c r="D1648" s="24"/>
      <c r="E1648" s="21" t="str">
        <f aca="false">IF(OR(B1648="",N(N1648)=0,N1648=1000),IF(B1648="","","Check"),INDEX(Rules!$B:$B,N1648))</f>
        <v/>
      </c>
      <c r="F1648" s="21" t="str">
        <f aca="false">IF(OR(B1648="",N(N1648)=0,N1648=1000),"",INDEX(Rules!$C:$C,N1648))</f>
        <v/>
      </c>
      <c r="G1648" s="24"/>
      <c r="H1648" s="24"/>
      <c r="I1648" s="20" t="str">
        <f aca="false">IF(B1648="","",IF(G1648&lt;&gt;"",G1648,E1648))</f>
        <v/>
      </c>
      <c r="J1648" s="21" t="str">
        <f aca="false">IF(B1648="","",IF(H1648&lt;&gt;"",H1648,F1648))</f>
        <v/>
      </c>
      <c r="K1648" s="26" t="str">
        <f aca="false">IF(A1648="","",DATE(YEAR(A1648),MONTH(A1648),1))</f>
        <v/>
      </c>
      <c r="L1648" s="21" t="str">
        <f aca="false">IF(J1648="",IF(B1648="","",IF(N(C1648)&gt;=0,"Income","Expense")),IFERROR(INDEX(Lists!$B$2:$B$30,MATCH(J1648,Lists!$A$2:$A$30,0)),""))</f>
        <v/>
      </c>
      <c r="M1648" s="24"/>
      <c r="N1648" s="27" t="str">
        <f aca="false">IF(B1648="","",IFERROR(1000-SUMPRODUCT(MAX(ISNUMBER(SEARCH(Rules!$A$5:$A$204,B1648))*(Rules!$A$5:$A$204&lt;&gt;"")*(1000-ROW(Rules!$A$5:$A$204)))),""))</f>
        <v/>
      </c>
    </row>
    <row r="1649" customFormat="false" ht="15" hidden="false" customHeight="false" outlineLevel="0" collapsed="false">
      <c r="A1649" s="23"/>
      <c r="B1649" s="24"/>
      <c r="C1649" s="25"/>
      <c r="D1649" s="24"/>
      <c r="E1649" s="21" t="str">
        <f aca="false">IF(OR(B1649="",N(N1649)=0,N1649=1000),IF(B1649="","","Check"),INDEX(Rules!$B:$B,N1649))</f>
        <v/>
      </c>
      <c r="F1649" s="21" t="str">
        <f aca="false">IF(OR(B1649="",N(N1649)=0,N1649=1000),"",INDEX(Rules!$C:$C,N1649))</f>
        <v/>
      </c>
      <c r="G1649" s="24"/>
      <c r="H1649" s="24"/>
      <c r="I1649" s="20" t="str">
        <f aca="false">IF(B1649="","",IF(G1649&lt;&gt;"",G1649,E1649))</f>
        <v/>
      </c>
      <c r="J1649" s="21" t="str">
        <f aca="false">IF(B1649="","",IF(H1649&lt;&gt;"",H1649,F1649))</f>
        <v/>
      </c>
      <c r="K1649" s="26" t="str">
        <f aca="false">IF(A1649="","",DATE(YEAR(A1649),MONTH(A1649),1))</f>
        <v/>
      </c>
      <c r="L1649" s="21" t="str">
        <f aca="false">IF(J1649="",IF(B1649="","",IF(N(C1649)&gt;=0,"Income","Expense")),IFERROR(INDEX(Lists!$B$2:$B$30,MATCH(J1649,Lists!$A$2:$A$30,0)),""))</f>
        <v/>
      </c>
      <c r="M1649" s="24"/>
      <c r="N1649" s="27" t="str">
        <f aca="false">IF(B1649="","",IFERROR(1000-SUMPRODUCT(MAX(ISNUMBER(SEARCH(Rules!$A$5:$A$204,B1649))*(Rules!$A$5:$A$204&lt;&gt;"")*(1000-ROW(Rules!$A$5:$A$204)))),""))</f>
        <v/>
      </c>
    </row>
    <row r="1650" customFormat="false" ht="15" hidden="false" customHeight="false" outlineLevel="0" collapsed="false">
      <c r="A1650" s="23"/>
      <c r="B1650" s="24"/>
      <c r="C1650" s="25"/>
      <c r="D1650" s="24"/>
      <c r="E1650" s="21" t="str">
        <f aca="false">IF(OR(B1650="",N(N1650)=0,N1650=1000),IF(B1650="","","Check"),INDEX(Rules!$B:$B,N1650))</f>
        <v/>
      </c>
      <c r="F1650" s="21" t="str">
        <f aca="false">IF(OR(B1650="",N(N1650)=0,N1650=1000),"",INDEX(Rules!$C:$C,N1650))</f>
        <v/>
      </c>
      <c r="G1650" s="24"/>
      <c r="H1650" s="24"/>
      <c r="I1650" s="20" t="str">
        <f aca="false">IF(B1650="","",IF(G1650&lt;&gt;"",G1650,E1650))</f>
        <v/>
      </c>
      <c r="J1650" s="21" t="str">
        <f aca="false">IF(B1650="","",IF(H1650&lt;&gt;"",H1650,F1650))</f>
        <v/>
      </c>
      <c r="K1650" s="26" t="str">
        <f aca="false">IF(A1650="","",DATE(YEAR(A1650),MONTH(A1650),1))</f>
        <v/>
      </c>
      <c r="L1650" s="21" t="str">
        <f aca="false">IF(J1650="",IF(B1650="","",IF(N(C1650)&gt;=0,"Income","Expense")),IFERROR(INDEX(Lists!$B$2:$B$30,MATCH(J1650,Lists!$A$2:$A$30,0)),""))</f>
        <v/>
      </c>
      <c r="M1650" s="24"/>
      <c r="N1650" s="27" t="str">
        <f aca="false">IF(B1650="","",IFERROR(1000-SUMPRODUCT(MAX(ISNUMBER(SEARCH(Rules!$A$5:$A$204,B1650))*(Rules!$A$5:$A$204&lt;&gt;"")*(1000-ROW(Rules!$A$5:$A$204)))),""))</f>
        <v/>
      </c>
    </row>
    <row r="1651" customFormat="false" ht="15" hidden="false" customHeight="false" outlineLevel="0" collapsed="false">
      <c r="A1651" s="23"/>
      <c r="B1651" s="24"/>
      <c r="C1651" s="25"/>
      <c r="D1651" s="24"/>
      <c r="E1651" s="21" t="str">
        <f aca="false">IF(OR(B1651="",N(N1651)=0,N1651=1000),IF(B1651="","","Check"),INDEX(Rules!$B:$B,N1651))</f>
        <v/>
      </c>
      <c r="F1651" s="21" t="str">
        <f aca="false">IF(OR(B1651="",N(N1651)=0,N1651=1000),"",INDEX(Rules!$C:$C,N1651))</f>
        <v/>
      </c>
      <c r="G1651" s="24"/>
      <c r="H1651" s="24"/>
      <c r="I1651" s="20" t="str">
        <f aca="false">IF(B1651="","",IF(G1651&lt;&gt;"",G1651,E1651))</f>
        <v/>
      </c>
      <c r="J1651" s="21" t="str">
        <f aca="false">IF(B1651="","",IF(H1651&lt;&gt;"",H1651,F1651))</f>
        <v/>
      </c>
      <c r="K1651" s="26" t="str">
        <f aca="false">IF(A1651="","",DATE(YEAR(A1651),MONTH(A1651),1))</f>
        <v/>
      </c>
      <c r="L1651" s="21" t="str">
        <f aca="false">IF(J1651="",IF(B1651="","",IF(N(C1651)&gt;=0,"Income","Expense")),IFERROR(INDEX(Lists!$B$2:$B$30,MATCH(J1651,Lists!$A$2:$A$30,0)),""))</f>
        <v/>
      </c>
      <c r="M1651" s="24"/>
      <c r="N1651" s="27" t="str">
        <f aca="false">IF(B1651="","",IFERROR(1000-SUMPRODUCT(MAX(ISNUMBER(SEARCH(Rules!$A$5:$A$204,B1651))*(Rules!$A$5:$A$204&lt;&gt;"")*(1000-ROW(Rules!$A$5:$A$204)))),""))</f>
        <v/>
      </c>
    </row>
    <row r="1652" customFormat="false" ht="15" hidden="false" customHeight="false" outlineLevel="0" collapsed="false">
      <c r="A1652" s="23"/>
      <c r="B1652" s="24"/>
      <c r="C1652" s="25"/>
      <c r="D1652" s="24"/>
      <c r="E1652" s="21" t="str">
        <f aca="false">IF(OR(B1652="",N(N1652)=0,N1652=1000),IF(B1652="","","Check"),INDEX(Rules!$B:$B,N1652))</f>
        <v/>
      </c>
      <c r="F1652" s="21" t="str">
        <f aca="false">IF(OR(B1652="",N(N1652)=0,N1652=1000),"",INDEX(Rules!$C:$C,N1652))</f>
        <v/>
      </c>
      <c r="G1652" s="24"/>
      <c r="H1652" s="24"/>
      <c r="I1652" s="20" t="str">
        <f aca="false">IF(B1652="","",IF(G1652&lt;&gt;"",G1652,E1652))</f>
        <v/>
      </c>
      <c r="J1652" s="21" t="str">
        <f aca="false">IF(B1652="","",IF(H1652&lt;&gt;"",H1652,F1652))</f>
        <v/>
      </c>
      <c r="K1652" s="26" t="str">
        <f aca="false">IF(A1652="","",DATE(YEAR(A1652),MONTH(A1652),1))</f>
        <v/>
      </c>
      <c r="L1652" s="21" t="str">
        <f aca="false">IF(J1652="",IF(B1652="","",IF(N(C1652)&gt;=0,"Income","Expense")),IFERROR(INDEX(Lists!$B$2:$B$30,MATCH(J1652,Lists!$A$2:$A$30,0)),""))</f>
        <v/>
      </c>
      <c r="M1652" s="24"/>
      <c r="N1652" s="27" t="str">
        <f aca="false">IF(B1652="","",IFERROR(1000-SUMPRODUCT(MAX(ISNUMBER(SEARCH(Rules!$A$5:$A$204,B1652))*(Rules!$A$5:$A$204&lt;&gt;"")*(1000-ROW(Rules!$A$5:$A$204)))),""))</f>
        <v/>
      </c>
    </row>
    <row r="1653" customFormat="false" ht="15" hidden="false" customHeight="false" outlineLevel="0" collapsed="false">
      <c r="A1653" s="23"/>
      <c r="B1653" s="24"/>
      <c r="C1653" s="25"/>
      <c r="D1653" s="24"/>
      <c r="E1653" s="21" t="str">
        <f aca="false">IF(OR(B1653="",N(N1653)=0,N1653=1000),IF(B1653="","","Check"),INDEX(Rules!$B:$B,N1653))</f>
        <v/>
      </c>
      <c r="F1653" s="21" t="str">
        <f aca="false">IF(OR(B1653="",N(N1653)=0,N1653=1000),"",INDEX(Rules!$C:$C,N1653))</f>
        <v/>
      </c>
      <c r="G1653" s="24"/>
      <c r="H1653" s="24"/>
      <c r="I1653" s="20" t="str">
        <f aca="false">IF(B1653="","",IF(G1653&lt;&gt;"",G1653,E1653))</f>
        <v/>
      </c>
      <c r="J1653" s="21" t="str">
        <f aca="false">IF(B1653="","",IF(H1653&lt;&gt;"",H1653,F1653))</f>
        <v/>
      </c>
      <c r="K1653" s="26" t="str">
        <f aca="false">IF(A1653="","",DATE(YEAR(A1653),MONTH(A1653),1))</f>
        <v/>
      </c>
      <c r="L1653" s="21" t="str">
        <f aca="false">IF(J1653="",IF(B1653="","",IF(N(C1653)&gt;=0,"Income","Expense")),IFERROR(INDEX(Lists!$B$2:$B$30,MATCH(J1653,Lists!$A$2:$A$30,0)),""))</f>
        <v/>
      </c>
      <c r="M1653" s="24"/>
      <c r="N1653" s="27" t="str">
        <f aca="false">IF(B1653="","",IFERROR(1000-SUMPRODUCT(MAX(ISNUMBER(SEARCH(Rules!$A$5:$A$204,B1653))*(Rules!$A$5:$A$204&lt;&gt;"")*(1000-ROW(Rules!$A$5:$A$204)))),""))</f>
        <v/>
      </c>
    </row>
    <row r="1654" customFormat="false" ht="15" hidden="false" customHeight="false" outlineLevel="0" collapsed="false">
      <c r="A1654" s="23"/>
      <c r="B1654" s="24"/>
      <c r="C1654" s="25"/>
      <c r="D1654" s="24"/>
      <c r="E1654" s="21" t="str">
        <f aca="false">IF(OR(B1654="",N(N1654)=0,N1654=1000),IF(B1654="","","Check"),INDEX(Rules!$B:$B,N1654))</f>
        <v/>
      </c>
      <c r="F1654" s="21" t="str">
        <f aca="false">IF(OR(B1654="",N(N1654)=0,N1654=1000),"",INDEX(Rules!$C:$C,N1654))</f>
        <v/>
      </c>
      <c r="G1654" s="24"/>
      <c r="H1654" s="24"/>
      <c r="I1654" s="20" t="str">
        <f aca="false">IF(B1654="","",IF(G1654&lt;&gt;"",G1654,E1654))</f>
        <v/>
      </c>
      <c r="J1654" s="21" t="str">
        <f aca="false">IF(B1654="","",IF(H1654&lt;&gt;"",H1654,F1654))</f>
        <v/>
      </c>
      <c r="K1654" s="26" t="str">
        <f aca="false">IF(A1654="","",DATE(YEAR(A1654),MONTH(A1654),1))</f>
        <v/>
      </c>
      <c r="L1654" s="21" t="str">
        <f aca="false">IF(J1654="",IF(B1654="","",IF(N(C1654)&gt;=0,"Income","Expense")),IFERROR(INDEX(Lists!$B$2:$B$30,MATCH(J1654,Lists!$A$2:$A$30,0)),""))</f>
        <v/>
      </c>
      <c r="M1654" s="24"/>
      <c r="N1654" s="27" t="str">
        <f aca="false">IF(B1654="","",IFERROR(1000-SUMPRODUCT(MAX(ISNUMBER(SEARCH(Rules!$A$5:$A$204,B1654))*(Rules!$A$5:$A$204&lt;&gt;"")*(1000-ROW(Rules!$A$5:$A$204)))),""))</f>
        <v/>
      </c>
    </row>
    <row r="1655" customFormat="false" ht="15" hidden="false" customHeight="false" outlineLevel="0" collapsed="false">
      <c r="A1655" s="23"/>
      <c r="B1655" s="24"/>
      <c r="C1655" s="25"/>
      <c r="D1655" s="24"/>
      <c r="E1655" s="21" t="str">
        <f aca="false">IF(OR(B1655="",N(N1655)=0,N1655=1000),IF(B1655="","","Check"),INDEX(Rules!$B:$B,N1655))</f>
        <v/>
      </c>
      <c r="F1655" s="21" t="str">
        <f aca="false">IF(OR(B1655="",N(N1655)=0,N1655=1000),"",INDEX(Rules!$C:$C,N1655))</f>
        <v/>
      </c>
      <c r="G1655" s="24"/>
      <c r="H1655" s="24"/>
      <c r="I1655" s="20" t="str">
        <f aca="false">IF(B1655="","",IF(G1655&lt;&gt;"",G1655,E1655))</f>
        <v/>
      </c>
      <c r="J1655" s="21" t="str">
        <f aca="false">IF(B1655="","",IF(H1655&lt;&gt;"",H1655,F1655))</f>
        <v/>
      </c>
      <c r="K1655" s="26" t="str">
        <f aca="false">IF(A1655="","",DATE(YEAR(A1655),MONTH(A1655),1))</f>
        <v/>
      </c>
      <c r="L1655" s="21" t="str">
        <f aca="false">IF(J1655="",IF(B1655="","",IF(N(C1655)&gt;=0,"Income","Expense")),IFERROR(INDEX(Lists!$B$2:$B$30,MATCH(J1655,Lists!$A$2:$A$30,0)),""))</f>
        <v/>
      </c>
      <c r="M1655" s="24"/>
      <c r="N1655" s="27" t="str">
        <f aca="false">IF(B1655="","",IFERROR(1000-SUMPRODUCT(MAX(ISNUMBER(SEARCH(Rules!$A$5:$A$204,B1655))*(Rules!$A$5:$A$204&lt;&gt;"")*(1000-ROW(Rules!$A$5:$A$204)))),""))</f>
        <v/>
      </c>
    </row>
    <row r="1656" customFormat="false" ht="15" hidden="false" customHeight="false" outlineLevel="0" collapsed="false">
      <c r="A1656" s="23"/>
      <c r="B1656" s="24"/>
      <c r="C1656" s="25"/>
      <c r="D1656" s="24"/>
      <c r="E1656" s="21" t="str">
        <f aca="false">IF(OR(B1656="",N(N1656)=0,N1656=1000),IF(B1656="","","Check"),INDEX(Rules!$B:$B,N1656))</f>
        <v/>
      </c>
      <c r="F1656" s="21" t="str">
        <f aca="false">IF(OR(B1656="",N(N1656)=0,N1656=1000),"",INDEX(Rules!$C:$C,N1656))</f>
        <v/>
      </c>
      <c r="G1656" s="24"/>
      <c r="H1656" s="24"/>
      <c r="I1656" s="20" t="str">
        <f aca="false">IF(B1656="","",IF(G1656&lt;&gt;"",G1656,E1656))</f>
        <v/>
      </c>
      <c r="J1656" s="21" t="str">
        <f aca="false">IF(B1656="","",IF(H1656&lt;&gt;"",H1656,F1656))</f>
        <v/>
      </c>
      <c r="K1656" s="26" t="str">
        <f aca="false">IF(A1656="","",DATE(YEAR(A1656),MONTH(A1656),1))</f>
        <v/>
      </c>
      <c r="L1656" s="21" t="str">
        <f aca="false">IF(J1656="",IF(B1656="","",IF(N(C1656)&gt;=0,"Income","Expense")),IFERROR(INDEX(Lists!$B$2:$B$30,MATCH(J1656,Lists!$A$2:$A$30,0)),""))</f>
        <v/>
      </c>
      <c r="M1656" s="24"/>
      <c r="N1656" s="27" t="str">
        <f aca="false">IF(B1656="","",IFERROR(1000-SUMPRODUCT(MAX(ISNUMBER(SEARCH(Rules!$A$5:$A$204,B1656))*(Rules!$A$5:$A$204&lt;&gt;"")*(1000-ROW(Rules!$A$5:$A$204)))),""))</f>
        <v/>
      </c>
    </row>
    <row r="1657" customFormat="false" ht="15" hidden="false" customHeight="false" outlineLevel="0" collapsed="false">
      <c r="A1657" s="23"/>
      <c r="B1657" s="24"/>
      <c r="C1657" s="25"/>
      <c r="D1657" s="24"/>
      <c r="E1657" s="21" t="str">
        <f aca="false">IF(OR(B1657="",N(N1657)=0,N1657=1000),IF(B1657="","","Check"),INDEX(Rules!$B:$B,N1657))</f>
        <v/>
      </c>
      <c r="F1657" s="21" t="str">
        <f aca="false">IF(OR(B1657="",N(N1657)=0,N1657=1000),"",INDEX(Rules!$C:$C,N1657))</f>
        <v/>
      </c>
      <c r="G1657" s="24"/>
      <c r="H1657" s="24"/>
      <c r="I1657" s="20" t="str">
        <f aca="false">IF(B1657="","",IF(G1657&lt;&gt;"",G1657,E1657))</f>
        <v/>
      </c>
      <c r="J1657" s="21" t="str">
        <f aca="false">IF(B1657="","",IF(H1657&lt;&gt;"",H1657,F1657))</f>
        <v/>
      </c>
      <c r="K1657" s="26" t="str">
        <f aca="false">IF(A1657="","",DATE(YEAR(A1657),MONTH(A1657),1))</f>
        <v/>
      </c>
      <c r="L1657" s="21" t="str">
        <f aca="false">IF(J1657="",IF(B1657="","",IF(N(C1657)&gt;=0,"Income","Expense")),IFERROR(INDEX(Lists!$B$2:$B$30,MATCH(J1657,Lists!$A$2:$A$30,0)),""))</f>
        <v/>
      </c>
      <c r="M1657" s="24"/>
      <c r="N1657" s="27" t="str">
        <f aca="false">IF(B1657="","",IFERROR(1000-SUMPRODUCT(MAX(ISNUMBER(SEARCH(Rules!$A$5:$A$204,B1657))*(Rules!$A$5:$A$204&lt;&gt;"")*(1000-ROW(Rules!$A$5:$A$204)))),""))</f>
        <v/>
      </c>
    </row>
    <row r="1658" customFormat="false" ht="15" hidden="false" customHeight="false" outlineLevel="0" collapsed="false">
      <c r="A1658" s="23"/>
      <c r="B1658" s="24"/>
      <c r="C1658" s="25"/>
      <c r="D1658" s="24"/>
      <c r="E1658" s="21" t="str">
        <f aca="false">IF(OR(B1658="",N(N1658)=0,N1658=1000),IF(B1658="","","Check"),INDEX(Rules!$B:$B,N1658))</f>
        <v/>
      </c>
      <c r="F1658" s="21" t="str">
        <f aca="false">IF(OR(B1658="",N(N1658)=0,N1658=1000),"",INDEX(Rules!$C:$C,N1658))</f>
        <v/>
      </c>
      <c r="G1658" s="24"/>
      <c r="H1658" s="24"/>
      <c r="I1658" s="20" t="str">
        <f aca="false">IF(B1658="","",IF(G1658&lt;&gt;"",G1658,E1658))</f>
        <v/>
      </c>
      <c r="J1658" s="21" t="str">
        <f aca="false">IF(B1658="","",IF(H1658&lt;&gt;"",H1658,F1658))</f>
        <v/>
      </c>
      <c r="K1658" s="26" t="str">
        <f aca="false">IF(A1658="","",DATE(YEAR(A1658),MONTH(A1658),1))</f>
        <v/>
      </c>
      <c r="L1658" s="21" t="str">
        <f aca="false">IF(J1658="",IF(B1658="","",IF(N(C1658)&gt;=0,"Income","Expense")),IFERROR(INDEX(Lists!$B$2:$B$30,MATCH(J1658,Lists!$A$2:$A$30,0)),""))</f>
        <v/>
      </c>
      <c r="M1658" s="24"/>
      <c r="N1658" s="27" t="str">
        <f aca="false">IF(B1658="","",IFERROR(1000-SUMPRODUCT(MAX(ISNUMBER(SEARCH(Rules!$A$5:$A$204,B1658))*(Rules!$A$5:$A$204&lt;&gt;"")*(1000-ROW(Rules!$A$5:$A$204)))),""))</f>
        <v/>
      </c>
    </row>
    <row r="1659" customFormat="false" ht="15" hidden="false" customHeight="false" outlineLevel="0" collapsed="false">
      <c r="A1659" s="23"/>
      <c r="B1659" s="24"/>
      <c r="C1659" s="25"/>
      <c r="D1659" s="24"/>
      <c r="E1659" s="21" t="str">
        <f aca="false">IF(OR(B1659="",N(N1659)=0,N1659=1000),IF(B1659="","","Check"),INDEX(Rules!$B:$B,N1659))</f>
        <v/>
      </c>
      <c r="F1659" s="21" t="str">
        <f aca="false">IF(OR(B1659="",N(N1659)=0,N1659=1000),"",INDEX(Rules!$C:$C,N1659))</f>
        <v/>
      </c>
      <c r="G1659" s="24"/>
      <c r="H1659" s="24"/>
      <c r="I1659" s="20" t="str">
        <f aca="false">IF(B1659="","",IF(G1659&lt;&gt;"",G1659,E1659))</f>
        <v/>
      </c>
      <c r="J1659" s="21" t="str">
        <f aca="false">IF(B1659="","",IF(H1659&lt;&gt;"",H1659,F1659))</f>
        <v/>
      </c>
      <c r="K1659" s="26" t="str">
        <f aca="false">IF(A1659="","",DATE(YEAR(A1659),MONTH(A1659),1))</f>
        <v/>
      </c>
      <c r="L1659" s="21" t="str">
        <f aca="false">IF(J1659="",IF(B1659="","",IF(N(C1659)&gt;=0,"Income","Expense")),IFERROR(INDEX(Lists!$B$2:$B$30,MATCH(J1659,Lists!$A$2:$A$30,0)),""))</f>
        <v/>
      </c>
      <c r="M1659" s="24"/>
      <c r="N1659" s="27" t="str">
        <f aca="false">IF(B1659="","",IFERROR(1000-SUMPRODUCT(MAX(ISNUMBER(SEARCH(Rules!$A$5:$A$204,B1659))*(Rules!$A$5:$A$204&lt;&gt;"")*(1000-ROW(Rules!$A$5:$A$204)))),""))</f>
        <v/>
      </c>
    </row>
    <row r="1660" customFormat="false" ht="15" hidden="false" customHeight="false" outlineLevel="0" collapsed="false">
      <c r="A1660" s="23"/>
      <c r="B1660" s="24"/>
      <c r="C1660" s="25"/>
      <c r="D1660" s="24"/>
      <c r="E1660" s="21" t="str">
        <f aca="false">IF(OR(B1660="",N(N1660)=0,N1660=1000),IF(B1660="","","Check"),INDEX(Rules!$B:$B,N1660))</f>
        <v/>
      </c>
      <c r="F1660" s="21" t="str">
        <f aca="false">IF(OR(B1660="",N(N1660)=0,N1660=1000),"",INDEX(Rules!$C:$C,N1660))</f>
        <v/>
      </c>
      <c r="G1660" s="24"/>
      <c r="H1660" s="24"/>
      <c r="I1660" s="20" t="str">
        <f aca="false">IF(B1660="","",IF(G1660&lt;&gt;"",G1660,E1660))</f>
        <v/>
      </c>
      <c r="J1660" s="21" t="str">
        <f aca="false">IF(B1660="","",IF(H1660&lt;&gt;"",H1660,F1660))</f>
        <v/>
      </c>
      <c r="K1660" s="26" t="str">
        <f aca="false">IF(A1660="","",DATE(YEAR(A1660),MONTH(A1660),1))</f>
        <v/>
      </c>
      <c r="L1660" s="21" t="str">
        <f aca="false">IF(J1660="",IF(B1660="","",IF(N(C1660)&gt;=0,"Income","Expense")),IFERROR(INDEX(Lists!$B$2:$B$30,MATCH(J1660,Lists!$A$2:$A$30,0)),""))</f>
        <v/>
      </c>
      <c r="M1660" s="24"/>
      <c r="N1660" s="27" t="str">
        <f aca="false">IF(B1660="","",IFERROR(1000-SUMPRODUCT(MAX(ISNUMBER(SEARCH(Rules!$A$5:$A$204,B1660))*(Rules!$A$5:$A$204&lt;&gt;"")*(1000-ROW(Rules!$A$5:$A$204)))),""))</f>
        <v/>
      </c>
    </row>
    <row r="1661" customFormat="false" ht="15" hidden="false" customHeight="false" outlineLevel="0" collapsed="false">
      <c r="A1661" s="23"/>
      <c r="B1661" s="24"/>
      <c r="C1661" s="25"/>
      <c r="D1661" s="24"/>
      <c r="E1661" s="21" t="str">
        <f aca="false">IF(OR(B1661="",N(N1661)=0,N1661=1000),IF(B1661="","","Check"),INDEX(Rules!$B:$B,N1661))</f>
        <v/>
      </c>
      <c r="F1661" s="21" t="str">
        <f aca="false">IF(OR(B1661="",N(N1661)=0,N1661=1000),"",INDEX(Rules!$C:$C,N1661))</f>
        <v/>
      </c>
      <c r="G1661" s="24"/>
      <c r="H1661" s="24"/>
      <c r="I1661" s="20" t="str">
        <f aca="false">IF(B1661="","",IF(G1661&lt;&gt;"",G1661,E1661))</f>
        <v/>
      </c>
      <c r="J1661" s="21" t="str">
        <f aca="false">IF(B1661="","",IF(H1661&lt;&gt;"",H1661,F1661))</f>
        <v/>
      </c>
      <c r="K1661" s="26" t="str">
        <f aca="false">IF(A1661="","",DATE(YEAR(A1661),MONTH(A1661),1))</f>
        <v/>
      </c>
      <c r="L1661" s="21" t="str">
        <f aca="false">IF(J1661="",IF(B1661="","",IF(N(C1661)&gt;=0,"Income","Expense")),IFERROR(INDEX(Lists!$B$2:$B$30,MATCH(J1661,Lists!$A$2:$A$30,0)),""))</f>
        <v/>
      </c>
      <c r="M1661" s="24"/>
      <c r="N1661" s="27" t="str">
        <f aca="false">IF(B1661="","",IFERROR(1000-SUMPRODUCT(MAX(ISNUMBER(SEARCH(Rules!$A$5:$A$204,B1661))*(Rules!$A$5:$A$204&lt;&gt;"")*(1000-ROW(Rules!$A$5:$A$204)))),""))</f>
        <v/>
      </c>
    </row>
    <row r="1662" customFormat="false" ht="15" hidden="false" customHeight="false" outlineLevel="0" collapsed="false">
      <c r="A1662" s="23"/>
      <c r="B1662" s="24"/>
      <c r="C1662" s="25"/>
      <c r="D1662" s="24"/>
      <c r="E1662" s="21" t="str">
        <f aca="false">IF(OR(B1662="",N(N1662)=0,N1662=1000),IF(B1662="","","Check"),INDEX(Rules!$B:$B,N1662))</f>
        <v/>
      </c>
      <c r="F1662" s="21" t="str">
        <f aca="false">IF(OR(B1662="",N(N1662)=0,N1662=1000),"",INDEX(Rules!$C:$C,N1662))</f>
        <v/>
      </c>
      <c r="G1662" s="24"/>
      <c r="H1662" s="24"/>
      <c r="I1662" s="20" t="str">
        <f aca="false">IF(B1662="","",IF(G1662&lt;&gt;"",G1662,E1662))</f>
        <v/>
      </c>
      <c r="J1662" s="21" t="str">
        <f aca="false">IF(B1662="","",IF(H1662&lt;&gt;"",H1662,F1662))</f>
        <v/>
      </c>
      <c r="K1662" s="26" t="str">
        <f aca="false">IF(A1662="","",DATE(YEAR(A1662),MONTH(A1662),1))</f>
        <v/>
      </c>
      <c r="L1662" s="21" t="str">
        <f aca="false">IF(J1662="",IF(B1662="","",IF(N(C1662)&gt;=0,"Income","Expense")),IFERROR(INDEX(Lists!$B$2:$B$30,MATCH(J1662,Lists!$A$2:$A$30,0)),""))</f>
        <v/>
      </c>
      <c r="M1662" s="24"/>
      <c r="N1662" s="27" t="str">
        <f aca="false">IF(B1662="","",IFERROR(1000-SUMPRODUCT(MAX(ISNUMBER(SEARCH(Rules!$A$5:$A$204,B1662))*(Rules!$A$5:$A$204&lt;&gt;"")*(1000-ROW(Rules!$A$5:$A$204)))),""))</f>
        <v/>
      </c>
    </row>
    <row r="1663" customFormat="false" ht="15" hidden="false" customHeight="false" outlineLevel="0" collapsed="false">
      <c r="A1663" s="23"/>
      <c r="B1663" s="24"/>
      <c r="C1663" s="25"/>
      <c r="D1663" s="24"/>
      <c r="E1663" s="21" t="str">
        <f aca="false">IF(OR(B1663="",N(N1663)=0,N1663=1000),IF(B1663="","","Check"),INDEX(Rules!$B:$B,N1663))</f>
        <v/>
      </c>
      <c r="F1663" s="21" t="str">
        <f aca="false">IF(OR(B1663="",N(N1663)=0,N1663=1000),"",INDEX(Rules!$C:$C,N1663))</f>
        <v/>
      </c>
      <c r="G1663" s="24"/>
      <c r="H1663" s="24"/>
      <c r="I1663" s="20" t="str">
        <f aca="false">IF(B1663="","",IF(G1663&lt;&gt;"",G1663,E1663))</f>
        <v/>
      </c>
      <c r="J1663" s="21" t="str">
        <f aca="false">IF(B1663="","",IF(H1663&lt;&gt;"",H1663,F1663))</f>
        <v/>
      </c>
      <c r="K1663" s="26" t="str">
        <f aca="false">IF(A1663="","",DATE(YEAR(A1663),MONTH(A1663),1))</f>
        <v/>
      </c>
      <c r="L1663" s="21" t="str">
        <f aca="false">IF(J1663="",IF(B1663="","",IF(N(C1663)&gt;=0,"Income","Expense")),IFERROR(INDEX(Lists!$B$2:$B$30,MATCH(J1663,Lists!$A$2:$A$30,0)),""))</f>
        <v/>
      </c>
      <c r="M1663" s="24"/>
      <c r="N1663" s="27" t="str">
        <f aca="false">IF(B1663="","",IFERROR(1000-SUMPRODUCT(MAX(ISNUMBER(SEARCH(Rules!$A$5:$A$204,B1663))*(Rules!$A$5:$A$204&lt;&gt;"")*(1000-ROW(Rules!$A$5:$A$204)))),""))</f>
        <v/>
      </c>
    </row>
    <row r="1664" customFormat="false" ht="15" hidden="false" customHeight="false" outlineLevel="0" collapsed="false">
      <c r="A1664" s="23"/>
      <c r="B1664" s="24"/>
      <c r="C1664" s="25"/>
      <c r="D1664" s="24"/>
      <c r="E1664" s="21" t="str">
        <f aca="false">IF(OR(B1664="",N(N1664)=0,N1664=1000),IF(B1664="","","Check"),INDEX(Rules!$B:$B,N1664))</f>
        <v/>
      </c>
      <c r="F1664" s="21" t="str">
        <f aca="false">IF(OR(B1664="",N(N1664)=0,N1664=1000),"",INDEX(Rules!$C:$C,N1664))</f>
        <v/>
      </c>
      <c r="G1664" s="24"/>
      <c r="H1664" s="24"/>
      <c r="I1664" s="20" t="str">
        <f aca="false">IF(B1664="","",IF(G1664&lt;&gt;"",G1664,E1664))</f>
        <v/>
      </c>
      <c r="J1664" s="21" t="str">
        <f aca="false">IF(B1664="","",IF(H1664&lt;&gt;"",H1664,F1664))</f>
        <v/>
      </c>
      <c r="K1664" s="26" t="str">
        <f aca="false">IF(A1664="","",DATE(YEAR(A1664),MONTH(A1664),1))</f>
        <v/>
      </c>
      <c r="L1664" s="21" t="str">
        <f aca="false">IF(J1664="",IF(B1664="","",IF(N(C1664)&gt;=0,"Income","Expense")),IFERROR(INDEX(Lists!$B$2:$B$30,MATCH(J1664,Lists!$A$2:$A$30,0)),""))</f>
        <v/>
      </c>
      <c r="M1664" s="24"/>
      <c r="N1664" s="27" t="str">
        <f aca="false">IF(B1664="","",IFERROR(1000-SUMPRODUCT(MAX(ISNUMBER(SEARCH(Rules!$A$5:$A$204,B1664))*(Rules!$A$5:$A$204&lt;&gt;"")*(1000-ROW(Rules!$A$5:$A$204)))),""))</f>
        <v/>
      </c>
    </row>
    <row r="1665" customFormat="false" ht="15" hidden="false" customHeight="false" outlineLevel="0" collapsed="false">
      <c r="A1665" s="23"/>
      <c r="B1665" s="24"/>
      <c r="C1665" s="25"/>
      <c r="D1665" s="24"/>
      <c r="E1665" s="21" t="str">
        <f aca="false">IF(OR(B1665="",N(N1665)=0,N1665=1000),IF(B1665="","","Check"),INDEX(Rules!$B:$B,N1665))</f>
        <v/>
      </c>
      <c r="F1665" s="21" t="str">
        <f aca="false">IF(OR(B1665="",N(N1665)=0,N1665=1000),"",INDEX(Rules!$C:$C,N1665))</f>
        <v/>
      </c>
      <c r="G1665" s="24"/>
      <c r="H1665" s="24"/>
      <c r="I1665" s="20" t="str">
        <f aca="false">IF(B1665="","",IF(G1665&lt;&gt;"",G1665,E1665))</f>
        <v/>
      </c>
      <c r="J1665" s="21" t="str">
        <f aca="false">IF(B1665="","",IF(H1665&lt;&gt;"",H1665,F1665))</f>
        <v/>
      </c>
      <c r="K1665" s="26" t="str">
        <f aca="false">IF(A1665="","",DATE(YEAR(A1665),MONTH(A1665),1))</f>
        <v/>
      </c>
      <c r="L1665" s="21" t="str">
        <f aca="false">IF(J1665="",IF(B1665="","",IF(N(C1665)&gt;=0,"Income","Expense")),IFERROR(INDEX(Lists!$B$2:$B$30,MATCH(J1665,Lists!$A$2:$A$30,0)),""))</f>
        <v/>
      </c>
      <c r="M1665" s="24"/>
      <c r="N1665" s="27" t="str">
        <f aca="false">IF(B1665="","",IFERROR(1000-SUMPRODUCT(MAX(ISNUMBER(SEARCH(Rules!$A$5:$A$204,B1665))*(Rules!$A$5:$A$204&lt;&gt;"")*(1000-ROW(Rules!$A$5:$A$204)))),""))</f>
        <v/>
      </c>
    </row>
    <row r="1666" customFormat="false" ht="15" hidden="false" customHeight="false" outlineLevel="0" collapsed="false">
      <c r="A1666" s="23"/>
      <c r="B1666" s="24"/>
      <c r="C1666" s="25"/>
      <c r="D1666" s="24"/>
      <c r="E1666" s="21" t="str">
        <f aca="false">IF(OR(B1666="",N(N1666)=0,N1666=1000),IF(B1666="","","Check"),INDEX(Rules!$B:$B,N1666))</f>
        <v/>
      </c>
      <c r="F1666" s="21" t="str">
        <f aca="false">IF(OR(B1666="",N(N1666)=0,N1666=1000),"",INDEX(Rules!$C:$C,N1666))</f>
        <v/>
      </c>
      <c r="G1666" s="24"/>
      <c r="H1666" s="24"/>
      <c r="I1666" s="20" t="str">
        <f aca="false">IF(B1666="","",IF(G1666&lt;&gt;"",G1666,E1666))</f>
        <v/>
      </c>
      <c r="J1666" s="21" t="str">
        <f aca="false">IF(B1666="","",IF(H1666&lt;&gt;"",H1666,F1666))</f>
        <v/>
      </c>
      <c r="K1666" s="26" t="str">
        <f aca="false">IF(A1666="","",DATE(YEAR(A1666),MONTH(A1666),1))</f>
        <v/>
      </c>
      <c r="L1666" s="21" t="str">
        <f aca="false">IF(J1666="",IF(B1666="","",IF(N(C1666)&gt;=0,"Income","Expense")),IFERROR(INDEX(Lists!$B$2:$B$30,MATCH(J1666,Lists!$A$2:$A$30,0)),""))</f>
        <v/>
      </c>
      <c r="M1666" s="24"/>
      <c r="N1666" s="27" t="str">
        <f aca="false">IF(B1666="","",IFERROR(1000-SUMPRODUCT(MAX(ISNUMBER(SEARCH(Rules!$A$5:$A$204,B1666))*(Rules!$A$5:$A$204&lt;&gt;"")*(1000-ROW(Rules!$A$5:$A$204)))),""))</f>
        <v/>
      </c>
    </row>
    <row r="1667" customFormat="false" ht="15" hidden="false" customHeight="false" outlineLevel="0" collapsed="false">
      <c r="A1667" s="23"/>
      <c r="B1667" s="24"/>
      <c r="C1667" s="25"/>
      <c r="D1667" s="24"/>
      <c r="E1667" s="21" t="str">
        <f aca="false">IF(OR(B1667="",N(N1667)=0,N1667=1000),IF(B1667="","","Check"),INDEX(Rules!$B:$B,N1667))</f>
        <v/>
      </c>
      <c r="F1667" s="21" t="str">
        <f aca="false">IF(OR(B1667="",N(N1667)=0,N1667=1000),"",INDEX(Rules!$C:$C,N1667))</f>
        <v/>
      </c>
      <c r="G1667" s="24"/>
      <c r="H1667" s="24"/>
      <c r="I1667" s="20" t="str">
        <f aca="false">IF(B1667="","",IF(G1667&lt;&gt;"",G1667,E1667))</f>
        <v/>
      </c>
      <c r="J1667" s="21" t="str">
        <f aca="false">IF(B1667="","",IF(H1667&lt;&gt;"",H1667,F1667))</f>
        <v/>
      </c>
      <c r="K1667" s="26" t="str">
        <f aca="false">IF(A1667="","",DATE(YEAR(A1667),MONTH(A1667),1))</f>
        <v/>
      </c>
      <c r="L1667" s="21" t="str">
        <f aca="false">IF(J1667="",IF(B1667="","",IF(N(C1667)&gt;=0,"Income","Expense")),IFERROR(INDEX(Lists!$B$2:$B$30,MATCH(J1667,Lists!$A$2:$A$30,0)),""))</f>
        <v/>
      </c>
      <c r="M1667" s="24"/>
      <c r="N1667" s="27" t="str">
        <f aca="false">IF(B1667="","",IFERROR(1000-SUMPRODUCT(MAX(ISNUMBER(SEARCH(Rules!$A$5:$A$204,B1667))*(Rules!$A$5:$A$204&lt;&gt;"")*(1000-ROW(Rules!$A$5:$A$204)))),""))</f>
        <v/>
      </c>
    </row>
    <row r="1668" customFormat="false" ht="15" hidden="false" customHeight="false" outlineLevel="0" collapsed="false">
      <c r="A1668" s="23"/>
      <c r="B1668" s="24"/>
      <c r="C1668" s="25"/>
      <c r="D1668" s="24"/>
      <c r="E1668" s="21" t="str">
        <f aca="false">IF(OR(B1668="",N(N1668)=0,N1668=1000),IF(B1668="","","Check"),INDEX(Rules!$B:$B,N1668))</f>
        <v/>
      </c>
      <c r="F1668" s="21" t="str">
        <f aca="false">IF(OR(B1668="",N(N1668)=0,N1668=1000),"",INDEX(Rules!$C:$C,N1668))</f>
        <v/>
      </c>
      <c r="G1668" s="24"/>
      <c r="H1668" s="24"/>
      <c r="I1668" s="20" t="str">
        <f aca="false">IF(B1668="","",IF(G1668&lt;&gt;"",G1668,E1668))</f>
        <v/>
      </c>
      <c r="J1668" s="21" t="str">
        <f aca="false">IF(B1668="","",IF(H1668&lt;&gt;"",H1668,F1668))</f>
        <v/>
      </c>
      <c r="K1668" s="26" t="str">
        <f aca="false">IF(A1668="","",DATE(YEAR(A1668),MONTH(A1668),1))</f>
        <v/>
      </c>
      <c r="L1668" s="21" t="str">
        <f aca="false">IF(J1668="",IF(B1668="","",IF(N(C1668)&gt;=0,"Income","Expense")),IFERROR(INDEX(Lists!$B$2:$B$30,MATCH(J1668,Lists!$A$2:$A$30,0)),""))</f>
        <v/>
      </c>
      <c r="M1668" s="24"/>
      <c r="N1668" s="27" t="str">
        <f aca="false">IF(B1668="","",IFERROR(1000-SUMPRODUCT(MAX(ISNUMBER(SEARCH(Rules!$A$5:$A$204,B1668))*(Rules!$A$5:$A$204&lt;&gt;"")*(1000-ROW(Rules!$A$5:$A$204)))),""))</f>
        <v/>
      </c>
    </row>
    <row r="1669" customFormat="false" ht="15" hidden="false" customHeight="false" outlineLevel="0" collapsed="false">
      <c r="A1669" s="23"/>
      <c r="B1669" s="24"/>
      <c r="C1669" s="25"/>
      <c r="D1669" s="24"/>
      <c r="E1669" s="21" t="str">
        <f aca="false">IF(OR(B1669="",N(N1669)=0,N1669=1000),IF(B1669="","","Check"),INDEX(Rules!$B:$B,N1669))</f>
        <v/>
      </c>
      <c r="F1669" s="21" t="str">
        <f aca="false">IF(OR(B1669="",N(N1669)=0,N1669=1000),"",INDEX(Rules!$C:$C,N1669))</f>
        <v/>
      </c>
      <c r="G1669" s="24"/>
      <c r="H1669" s="24"/>
      <c r="I1669" s="20" t="str">
        <f aca="false">IF(B1669="","",IF(G1669&lt;&gt;"",G1669,E1669))</f>
        <v/>
      </c>
      <c r="J1669" s="21" t="str">
        <f aca="false">IF(B1669="","",IF(H1669&lt;&gt;"",H1669,F1669))</f>
        <v/>
      </c>
      <c r="K1669" s="26" t="str">
        <f aca="false">IF(A1669="","",DATE(YEAR(A1669),MONTH(A1669),1))</f>
        <v/>
      </c>
      <c r="L1669" s="21" t="str">
        <f aca="false">IF(J1669="",IF(B1669="","",IF(N(C1669)&gt;=0,"Income","Expense")),IFERROR(INDEX(Lists!$B$2:$B$30,MATCH(J1669,Lists!$A$2:$A$30,0)),""))</f>
        <v/>
      </c>
      <c r="M1669" s="24"/>
      <c r="N1669" s="27" t="str">
        <f aca="false">IF(B1669="","",IFERROR(1000-SUMPRODUCT(MAX(ISNUMBER(SEARCH(Rules!$A$5:$A$204,B1669))*(Rules!$A$5:$A$204&lt;&gt;"")*(1000-ROW(Rules!$A$5:$A$204)))),""))</f>
        <v/>
      </c>
    </row>
    <row r="1670" customFormat="false" ht="15" hidden="false" customHeight="false" outlineLevel="0" collapsed="false">
      <c r="A1670" s="23"/>
      <c r="B1670" s="24"/>
      <c r="C1670" s="25"/>
      <c r="D1670" s="24"/>
      <c r="E1670" s="21" t="str">
        <f aca="false">IF(OR(B1670="",N(N1670)=0,N1670=1000),IF(B1670="","","Check"),INDEX(Rules!$B:$B,N1670))</f>
        <v/>
      </c>
      <c r="F1670" s="21" t="str">
        <f aca="false">IF(OR(B1670="",N(N1670)=0,N1670=1000),"",INDEX(Rules!$C:$C,N1670))</f>
        <v/>
      </c>
      <c r="G1670" s="24"/>
      <c r="H1670" s="24"/>
      <c r="I1670" s="20" t="str">
        <f aca="false">IF(B1670="","",IF(G1670&lt;&gt;"",G1670,E1670))</f>
        <v/>
      </c>
      <c r="J1670" s="21" t="str">
        <f aca="false">IF(B1670="","",IF(H1670&lt;&gt;"",H1670,F1670))</f>
        <v/>
      </c>
      <c r="K1670" s="26" t="str">
        <f aca="false">IF(A1670="","",DATE(YEAR(A1670),MONTH(A1670),1))</f>
        <v/>
      </c>
      <c r="L1670" s="21" t="str">
        <f aca="false">IF(J1670="",IF(B1670="","",IF(N(C1670)&gt;=0,"Income","Expense")),IFERROR(INDEX(Lists!$B$2:$B$30,MATCH(J1670,Lists!$A$2:$A$30,0)),""))</f>
        <v/>
      </c>
      <c r="M1670" s="24"/>
      <c r="N1670" s="27" t="str">
        <f aca="false">IF(B1670="","",IFERROR(1000-SUMPRODUCT(MAX(ISNUMBER(SEARCH(Rules!$A$5:$A$204,B1670))*(Rules!$A$5:$A$204&lt;&gt;"")*(1000-ROW(Rules!$A$5:$A$204)))),""))</f>
        <v/>
      </c>
    </row>
    <row r="1671" customFormat="false" ht="15" hidden="false" customHeight="false" outlineLevel="0" collapsed="false">
      <c r="A1671" s="23"/>
      <c r="B1671" s="24"/>
      <c r="C1671" s="25"/>
      <c r="D1671" s="24"/>
      <c r="E1671" s="21" t="str">
        <f aca="false">IF(OR(B1671="",N(N1671)=0,N1671=1000),IF(B1671="","","Check"),INDEX(Rules!$B:$B,N1671))</f>
        <v/>
      </c>
      <c r="F1671" s="21" t="str">
        <f aca="false">IF(OR(B1671="",N(N1671)=0,N1671=1000),"",INDEX(Rules!$C:$C,N1671))</f>
        <v/>
      </c>
      <c r="G1671" s="24"/>
      <c r="H1671" s="24"/>
      <c r="I1671" s="20" t="str">
        <f aca="false">IF(B1671="","",IF(G1671&lt;&gt;"",G1671,E1671))</f>
        <v/>
      </c>
      <c r="J1671" s="21" t="str">
        <f aca="false">IF(B1671="","",IF(H1671&lt;&gt;"",H1671,F1671))</f>
        <v/>
      </c>
      <c r="K1671" s="26" t="str">
        <f aca="false">IF(A1671="","",DATE(YEAR(A1671),MONTH(A1671),1))</f>
        <v/>
      </c>
      <c r="L1671" s="21" t="str">
        <f aca="false">IF(J1671="",IF(B1671="","",IF(N(C1671)&gt;=0,"Income","Expense")),IFERROR(INDEX(Lists!$B$2:$B$30,MATCH(J1671,Lists!$A$2:$A$30,0)),""))</f>
        <v/>
      </c>
      <c r="M1671" s="24"/>
      <c r="N1671" s="27" t="str">
        <f aca="false">IF(B1671="","",IFERROR(1000-SUMPRODUCT(MAX(ISNUMBER(SEARCH(Rules!$A$5:$A$204,B1671))*(Rules!$A$5:$A$204&lt;&gt;"")*(1000-ROW(Rules!$A$5:$A$204)))),""))</f>
        <v/>
      </c>
    </row>
    <row r="1672" customFormat="false" ht="15" hidden="false" customHeight="false" outlineLevel="0" collapsed="false">
      <c r="A1672" s="23"/>
      <c r="B1672" s="24"/>
      <c r="C1672" s="25"/>
      <c r="D1672" s="24"/>
      <c r="E1672" s="21" t="str">
        <f aca="false">IF(OR(B1672="",N(N1672)=0,N1672=1000),IF(B1672="","","Check"),INDEX(Rules!$B:$B,N1672))</f>
        <v/>
      </c>
      <c r="F1672" s="21" t="str">
        <f aca="false">IF(OR(B1672="",N(N1672)=0,N1672=1000),"",INDEX(Rules!$C:$C,N1672))</f>
        <v/>
      </c>
      <c r="G1672" s="24"/>
      <c r="H1672" s="24"/>
      <c r="I1672" s="20" t="str">
        <f aca="false">IF(B1672="","",IF(G1672&lt;&gt;"",G1672,E1672))</f>
        <v/>
      </c>
      <c r="J1672" s="21" t="str">
        <f aca="false">IF(B1672="","",IF(H1672&lt;&gt;"",H1672,F1672))</f>
        <v/>
      </c>
      <c r="K1672" s="26" t="str">
        <f aca="false">IF(A1672="","",DATE(YEAR(A1672),MONTH(A1672),1))</f>
        <v/>
      </c>
      <c r="L1672" s="21" t="str">
        <f aca="false">IF(J1672="",IF(B1672="","",IF(N(C1672)&gt;=0,"Income","Expense")),IFERROR(INDEX(Lists!$B$2:$B$30,MATCH(J1672,Lists!$A$2:$A$30,0)),""))</f>
        <v/>
      </c>
      <c r="M1672" s="24"/>
      <c r="N1672" s="27" t="str">
        <f aca="false">IF(B1672="","",IFERROR(1000-SUMPRODUCT(MAX(ISNUMBER(SEARCH(Rules!$A$5:$A$204,B1672))*(Rules!$A$5:$A$204&lt;&gt;"")*(1000-ROW(Rules!$A$5:$A$204)))),""))</f>
        <v/>
      </c>
    </row>
    <row r="1673" customFormat="false" ht="15" hidden="false" customHeight="false" outlineLevel="0" collapsed="false">
      <c r="A1673" s="23"/>
      <c r="B1673" s="24"/>
      <c r="C1673" s="25"/>
      <c r="D1673" s="24"/>
      <c r="E1673" s="21" t="str">
        <f aca="false">IF(OR(B1673="",N(N1673)=0,N1673=1000),IF(B1673="","","Check"),INDEX(Rules!$B:$B,N1673))</f>
        <v/>
      </c>
      <c r="F1673" s="21" t="str">
        <f aca="false">IF(OR(B1673="",N(N1673)=0,N1673=1000),"",INDEX(Rules!$C:$C,N1673))</f>
        <v/>
      </c>
      <c r="G1673" s="24"/>
      <c r="H1673" s="24"/>
      <c r="I1673" s="20" t="str">
        <f aca="false">IF(B1673="","",IF(G1673&lt;&gt;"",G1673,E1673))</f>
        <v/>
      </c>
      <c r="J1673" s="21" t="str">
        <f aca="false">IF(B1673="","",IF(H1673&lt;&gt;"",H1673,F1673))</f>
        <v/>
      </c>
      <c r="K1673" s="26" t="str">
        <f aca="false">IF(A1673="","",DATE(YEAR(A1673),MONTH(A1673),1))</f>
        <v/>
      </c>
      <c r="L1673" s="21" t="str">
        <f aca="false">IF(J1673="",IF(B1673="","",IF(N(C1673)&gt;=0,"Income","Expense")),IFERROR(INDEX(Lists!$B$2:$B$30,MATCH(J1673,Lists!$A$2:$A$30,0)),""))</f>
        <v/>
      </c>
      <c r="M1673" s="24"/>
      <c r="N1673" s="27" t="str">
        <f aca="false">IF(B1673="","",IFERROR(1000-SUMPRODUCT(MAX(ISNUMBER(SEARCH(Rules!$A$5:$A$204,B1673))*(Rules!$A$5:$A$204&lt;&gt;"")*(1000-ROW(Rules!$A$5:$A$204)))),""))</f>
        <v/>
      </c>
    </row>
    <row r="1674" customFormat="false" ht="15" hidden="false" customHeight="false" outlineLevel="0" collapsed="false">
      <c r="A1674" s="23"/>
      <c r="B1674" s="24"/>
      <c r="C1674" s="25"/>
      <c r="D1674" s="24"/>
      <c r="E1674" s="21" t="str">
        <f aca="false">IF(OR(B1674="",N(N1674)=0,N1674=1000),IF(B1674="","","Check"),INDEX(Rules!$B:$B,N1674))</f>
        <v/>
      </c>
      <c r="F1674" s="21" t="str">
        <f aca="false">IF(OR(B1674="",N(N1674)=0,N1674=1000),"",INDEX(Rules!$C:$C,N1674))</f>
        <v/>
      </c>
      <c r="G1674" s="24"/>
      <c r="H1674" s="24"/>
      <c r="I1674" s="20" t="str">
        <f aca="false">IF(B1674="","",IF(G1674&lt;&gt;"",G1674,E1674))</f>
        <v/>
      </c>
      <c r="J1674" s="21" t="str">
        <f aca="false">IF(B1674="","",IF(H1674&lt;&gt;"",H1674,F1674))</f>
        <v/>
      </c>
      <c r="K1674" s="26" t="str">
        <f aca="false">IF(A1674="","",DATE(YEAR(A1674),MONTH(A1674),1))</f>
        <v/>
      </c>
      <c r="L1674" s="21" t="str">
        <f aca="false">IF(J1674="",IF(B1674="","",IF(N(C1674)&gt;=0,"Income","Expense")),IFERROR(INDEX(Lists!$B$2:$B$30,MATCH(J1674,Lists!$A$2:$A$30,0)),""))</f>
        <v/>
      </c>
      <c r="M1674" s="24"/>
      <c r="N1674" s="27" t="str">
        <f aca="false">IF(B1674="","",IFERROR(1000-SUMPRODUCT(MAX(ISNUMBER(SEARCH(Rules!$A$5:$A$204,B1674))*(Rules!$A$5:$A$204&lt;&gt;"")*(1000-ROW(Rules!$A$5:$A$204)))),""))</f>
        <v/>
      </c>
    </row>
    <row r="1675" customFormat="false" ht="15" hidden="false" customHeight="false" outlineLevel="0" collapsed="false">
      <c r="A1675" s="23"/>
      <c r="B1675" s="24"/>
      <c r="C1675" s="25"/>
      <c r="D1675" s="24"/>
      <c r="E1675" s="21" t="str">
        <f aca="false">IF(OR(B1675="",N(N1675)=0,N1675=1000),IF(B1675="","","Check"),INDEX(Rules!$B:$B,N1675))</f>
        <v/>
      </c>
      <c r="F1675" s="21" t="str">
        <f aca="false">IF(OR(B1675="",N(N1675)=0,N1675=1000),"",INDEX(Rules!$C:$C,N1675))</f>
        <v/>
      </c>
      <c r="G1675" s="24"/>
      <c r="H1675" s="24"/>
      <c r="I1675" s="20" t="str">
        <f aca="false">IF(B1675="","",IF(G1675&lt;&gt;"",G1675,E1675))</f>
        <v/>
      </c>
      <c r="J1675" s="21" t="str">
        <f aca="false">IF(B1675="","",IF(H1675&lt;&gt;"",H1675,F1675))</f>
        <v/>
      </c>
      <c r="K1675" s="26" t="str">
        <f aca="false">IF(A1675="","",DATE(YEAR(A1675),MONTH(A1675),1))</f>
        <v/>
      </c>
      <c r="L1675" s="21" t="str">
        <f aca="false">IF(J1675="",IF(B1675="","",IF(N(C1675)&gt;=0,"Income","Expense")),IFERROR(INDEX(Lists!$B$2:$B$30,MATCH(J1675,Lists!$A$2:$A$30,0)),""))</f>
        <v/>
      </c>
      <c r="M1675" s="24"/>
      <c r="N1675" s="27" t="str">
        <f aca="false">IF(B1675="","",IFERROR(1000-SUMPRODUCT(MAX(ISNUMBER(SEARCH(Rules!$A$5:$A$204,B1675))*(Rules!$A$5:$A$204&lt;&gt;"")*(1000-ROW(Rules!$A$5:$A$204)))),""))</f>
        <v/>
      </c>
    </row>
    <row r="1676" customFormat="false" ht="15" hidden="false" customHeight="false" outlineLevel="0" collapsed="false">
      <c r="A1676" s="23"/>
      <c r="B1676" s="24"/>
      <c r="C1676" s="25"/>
      <c r="D1676" s="24"/>
      <c r="E1676" s="21" t="str">
        <f aca="false">IF(OR(B1676="",N(N1676)=0,N1676=1000),IF(B1676="","","Check"),INDEX(Rules!$B:$B,N1676))</f>
        <v/>
      </c>
      <c r="F1676" s="21" t="str">
        <f aca="false">IF(OR(B1676="",N(N1676)=0,N1676=1000),"",INDEX(Rules!$C:$C,N1676))</f>
        <v/>
      </c>
      <c r="G1676" s="24"/>
      <c r="H1676" s="24"/>
      <c r="I1676" s="20" t="str">
        <f aca="false">IF(B1676="","",IF(G1676&lt;&gt;"",G1676,E1676))</f>
        <v/>
      </c>
      <c r="J1676" s="21" t="str">
        <f aca="false">IF(B1676="","",IF(H1676&lt;&gt;"",H1676,F1676))</f>
        <v/>
      </c>
      <c r="K1676" s="26" t="str">
        <f aca="false">IF(A1676="","",DATE(YEAR(A1676),MONTH(A1676),1))</f>
        <v/>
      </c>
      <c r="L1676" s="21" t="str">
        <f aca="false">IF(J1676="",IF(B1676="","",IF(N(C1676)&gt;=0,"Income","Expense")),IFERROR(INDEX(Lists!$B$2:$B$30,MATCH(J1676,Lists!$A$2:$A$30,0)),""))</f>
        <v/>
      </c>
      <c r="M1676" s="24"/>
      <c r="N1676" s="27" t="str">
        <f aca="false">IF(B1676="","",IFERROR(1000-SUMPRODUCT(MAX(ISNUMBER(SEARCH(Rules!$A$5:$A$204,B1676))*(Rules!$A$5:$A$204&lt;&gt;"")*(1000-ROW(Rules!$A$5:$A$204)))),""))</f>
        <v/>
      </c>
    </row>
    <row r="1677" customFormat="false" ht="15" hidden="false" customHeight="false" outlineLevel="0" collapsed="false">
      <c r="A1677" s="23"/>
      <c r="B1677" s="24"/>
      <c r="C1677" s="25"/>
      <c r="D1677" s="24"/>
      <c r="E1677" s="21" t="str">
        <f aca="false">IF(OR(B1677="",N(N1677)=0,N1677=1000),IF(B1677="","","Check"),INDEX(Rules!$B:$B,N1677))</f>
        <v/>
      </c>
      <c r="F1677" s="21" t="str">
        <f aca="false">IF(OR(B1677="",N(N1677)=0,N1677=1000),"",INDEX(Rules!$C:$C,N1677))</f>
        <v/>
      </c>
      <c r="G1677" s="24"/>
      <c r="H1677" s="24"/>
      <c r="I1677" s="20" t="str">
        <f aca="false">IF(B1677="","",IF(G1677&lt;&gt;"",G1677,E1677))</f>
        <v/>
      </c>
      <c r="J1677" s="21" t="str">
        <f aca="false">IF(B1677="","",IF(H1677&lt;&gt;"",H1677,F1677))</f>
        <v/>
      </c>
      <c r="K1677" s="26" t="str">
        <f aca="false">IF(A1677="","",DATE(YEAR(A1677),MONTH(A1677),1))</f>
        <v/>
      </c>
      <c r="L1677" s="21" t="str">
        <f aca="false">IF(J1677="",IF(B1677="","",IF(N(C1677)&gt;=0,"Income","Expense")),IFERROR(INDEX(Lists!$B$2:$B$30,MATCH(J1677,Lists!$A$2:$A$30,0)),""))</f>
        <v/>
      </c>
      <c r="M1677" s="24"/>
      <c r="N1677" s="27" t="str">
        <f aca="false">IF(B1677="","",IFERROR(1000-SUMPRODUCT(MAX(ISNUMBER(SEARCH(Rules!$A$5:$A$204,B1677))*(Rules!$A$5:$A$204&lt;&gt;"")*(1000-ROW(Rules!$A$5:$A$204)))),""))</f>
        <v/>
      </c>
    </row>
    <row r="1678" customFormat="false" ht="15" hidden="false" customHeight="false" outlineLevel="0" collapsed="false">
      <c r="A1678" s="23"/>
      <c r="B1678" s="24"/>
      <c r="C1678" s="25"/>
      <c r="D1678" s="24"/>
      <c r="E1678" s="21" t="str">
        <f aca="false">IF(OR(B1678="",N(N1678)=0,N1678=1000),IF(B1678="","","Check"),INDEX(Rules!$B:$B,N1678))</f>
        <v/>
      </c>
      <c r="F1678" s="21" t="str">
        <f aca="false">IF(OR(B1678="",N(N1678)=0,N1678=1000),"",INDEX(Rules!$C:$C,N1678))</f>
        <v/>
      </c>
      <c r="G1678" s="24"/>
      <c r="H1678" s="24"/>
      <c r="I1678" s="20" t="str">
        <f aca="false">IF(B1678="","",IF(G1678&lt;&gt;"",G1678,E1678))</f>
        <v/>
      </c>
      <c r="J1678" s="21" t="str">
        <f aca="false">IF(B1678="","",IF(H1678&lt;&gt;"",H1678,F1678))</f>
        <v/>
      </c>
      <c r="K1678" s="26" t="str">
        <f aca="false">IF(A1678="","",DATE(YEAR(A1678),MONTH(A1678),1))</f>
        <v/>
      </c>
      <c r="L1678" s="21" t="str">
        <f aca="false">IF(J1678="",IF(B1678="","",IF(N(C1678)&gt;=0,"Income","Expense")),IFERROR(INDEX(Lists!$B$2:$B$30,MATCH(J1678,Lists!$A$2:$A$30,0)),""))</f>
        <v/>
      </c>
      <c r="M1678" s="24"/>
      <c r="N1678" s="27" t="str">
        <f aca="false">IF(B1678="","",IFERROR(1000-SUMPRODUCT(MAX(ISNUMBER(SEARCH(Rules!$A$5:$A$204,B1678))*(Rules!$A$5:$A$204&lt;&gt;"")*(1000-ROW(Rules!$A$5:$A$204)))),""))</f>
        <v/>
      </c>
    </row>
    <row r="1679" customFormat="false" ht="15" hidden="false" customHeight="false" outlineLevel="0" collapsed="false">
      <c r="A1679" s="23"/>
      <c r="B1679" s="24"/>
      <c r="C1679" s="25"/>
      <c r="D1679" s="24"/>
      <c r="E1679" s="21" t="str">
        <f aca="false">IF(OR(B1679="",N(N1679)=0,N1679=1000),IF(B1679="","","Check"),INDEX(Rules!$B:$B,N1679))</f>
        <v/>
      </c>
      <c r="F1679" s="21" t="str">
        <f aca="false">IF(OR(B1679="",N(N1679)=0,N1679=1000),"",INDEX(Rules!$C:$C,N1679))</f>
        <v/>
      </c>
      <c r="G1679" s="24"/>
      <c r="H1679" s="24"/>
      <c r="I1679" s="20" t="str">
        <f aca="false">IF(B1679="","",IF(G1679&lt;&gt;"",G1679,E1679))</f>
        <v/>
      </c>
      <c r="J1679" s="21" t="str">
        <f aca="false">IF(B1679="","",IF(H1679&lt;&gt;"",H1679,F1679))</f>
        <v/>
      </c>
      <c r="K1679" s="26" t="str">
        <f aca="false">IF(A1679="","",DATE(YEAR(A1679),MONTH(A1679),1))</f>
        <v/>
      </c>
      <c r="L1679" s="21" t="str">
        <f aca="false">IF(J1679="",IF(B1679="","",IF(N(C1679)&gt;=0,"Income","Expense")),IFERROR(INDEX(Lists!$B$2:$B$30,MATCH(J1679,Lists!$A$2:$A$30,0)),""))</f>
        <v/>
      </c>
      <c r="M1679" s="24"/>
      <c r="N1679" s="27" t="str">
        <f aca="false">IF(B1679="","",IFERROR(1000-SUMPRODUCT(MAX(ISNUMBER(SEARCH(Rules!$A$5:$A$204,B1679))*(Rules!$A$5:$A$204&lt;&gt;"")*(1000-ROW(Rules!$A$5:$A$204)))),""))</f>
        <v/>
      </c>
    </row>
    <row r="1680" customFormat="false" ht="15" hidden="false" customHeight="false" outlineLevel="0" collapsed="false">
      <c r="A1680" s="23"/>
      <c r="B1680" s="24"/>
      <c r="C1680" s="25"/>
      <c r="D1680" s="24"/>
      <c r="E1680" s="21" t="str">
        <f aca="false">IF(OR(B1680="",N(N1680)=0,N1680=1000),IF(B1680="","","Check"),INDEX(Rules!$B:$B,N1680))</f>
        <v/>
      </c>
      <c r="F1680" s="21" t="str">
        <f aca="false">IF(OR(B1680="",N(N1680)=0,N1680=1000),"",INDEX(Rules!$C:$C,N1680))</f>
        <v/>
      </c>
      <c r="G1680" s="24"/>
      <c r="H1680" s="24"/>
      <c r="I1680" s="20" t="str">
        <f aca="false">IF(B1680="","",IF(G1680&lt;&gt;"",G1680,E1680))</f>
        <v/>
      </c>
      <c r="J1680" s="21" t="str">
        <f aca="false">IF(B1680="","",IF(H1680&lt;&gt;"",H1680,F1680))</f>
        <v/>
      </c>
      <c r="K1680" s="26" t="str">
        <f aca="false">IF(A1680="","",DATE(YEAR(A1680),MONTH(A1680),1))</f>
        <v/>
      </c>
      <c r="L1680" s="21" t="str">
        <f aca="false">IF(J1680="",IF(B1680="","",IF(N(C1680)&gt;=0,"Income","Expense")),IFERROR(INDEX(Lists!$B$2:$B$30,MATCH(J1680,Lists!$A$2:$A$30,0)),""))</f>
        <v/>
      </c>
      <c r="M1680" s="24"/>
      <c r="N1680" s="27" t="str">
        <f aca="false">IF(B1680="","",IFERROR(1000-SUMPRODUCT(MAX(ISNUMBER(SEARCH(Rules!$A$5:$A$204,B1680))*(Rules!$A$5:$A$204&lt;&gt;"")*(1000-ROW(Rules!$A$5:$A$204)))),""))</f>
        <v/>
      </c>
    </row>
    <row r="1681" customFormat="false" ht="15" hidden="false" customHeight="false" outlineLevel="0" collapsed="false">
      <c r="A1681" s="23"/>
      <c r="B1681" s="24"/>
      <c r="C1681" s="25"/>
      <c r="D1681" s="24"/>
      <c r="E1681" s="21" t="str">
        <f aca="false">IF(OR(B1681="",N(N1681)=0,N1681=1000),IF(B1681="","","Check"),INDEX(Rules!$B:$B,N1681))</f>
        <v/>
      </c>
      <c r="F1681" s="21" t="str">
        <f aca="false">IF(OR(B1681="",N(N1681)=0,N1681=1000),"",INDEX(Rules!$C:$C,N1681))</f>
        <v/>
      </c>
      <c r="G1681" s="24"/>
      <c r="H1681" s="24"/>
      <c r="I1681" s="20" t="str">
        <f aca="false">IF(B1681="","",IF(G1681&lt;&gt;"",G1681,E1681))</f>
        <v/>
      </c>
      <c r="J1681" s="21" t="str">
        <f aca="false">IF(B1681="","",IF(H1681&lt;&gt;"",H1681,F1681))</f>
        <v/>
      </c>
      <c r="K1681" s="26" t="str">
        <f aca="false">IF(A1681="","",DATE(YEAR(A1681),MONTH(A1681),1))</f>
        <v/>
      </c>
      <c r="L1681" s="21" t="str">
        <f aca="false">IF(J1681="",IF(B1681="","",IF(N(C1681)&gt;=0,"Income","Expense")),IFERROR(INDEX(Lists!$B$2:$B$30,MATCH(J1681,Lists!$A$2:$A$30,0)),""))</f>
        <v/>
      </c>
      <c r="M1681" s="24"/>
      <c r="N1681" s="27" t="str">
        <f aca="false">IF(B1681="","",IFERROR(1000-SUMPRODUCT(MAX(ISNUMBER(SEARCH(Rules!$A$5:$A$204,B1681))*(Rules!$A$5:$A$204&lt;&gt;"")*(1000-ROW(Rules!$A$5:$A$204)))),""))</f>
        <v/>
      </c>
    </row>
    <row r="1682" customFormat="false" ht="15" hidden="false" customHeight="false" outlineLevel="0" collapsed="false">
      <c r="A1682" s="23"/>
      <c r="B1682" s="24"/>
      <c r="C1682" s="25"/>
      <c r="D1682" s="24"/>
      <c r="E1682" s="21" t="str">
        <f aca="false">IF(OR(B1682="",N(N1682)=0,N1682=1000),IF(B1682="","","Check"),INDEX(Rules!$B:$B,N1682))</f>
        <v/>
      </c>
      <c r="F1682" s="21" t="str">
        <f aca="false">IF(OR(B1682="",N(N1682)=0,N1682=1000),"",INDEX(Rules!$C:$C,N1682))</f>
        <v/>
      </c>
      <c r="G1682" s="24"/>
      <c r="H1682" s="24"/>
      <c r="I1682" s="20" t="str">
        <f aca="false">IF(B1682="","",IF(G1682&lt;&gt;"",G1682,E1682))</f>
        <v/>
      </c>
      <c r="J1682" s="21" t="str">
        <f aca="false">IF(B1682="","",IF(H1682&lt;&gt;"",H1682,F1682))</f>
        <v/>
      </c>
      <c r="K1682" s="26" t="str">
        <f aca="false">IF(A1682="","",DATE(YEAR(A1682),MONTH(A1682),1))</f>
        <v/>
      </c>
      <c r="L1682" s="21" t="str">
        <f aca="false">IF(J1682="",IF(B1682="","",IF(N(C1682)&gt;=0,"Income","Expense")),IFERROR(INDEX(Lists!$B$2:$B$30,MATCH(J1682,Lists!$A$2:$A$30,0)),""))</f>
        <v/>
      </c>
      <c r="M1682" s="24"/>
      <c r="N1682" s="27" t="str">
        <f aca="false">IF(B1682="","",IFERROR(1000-SUMPRODUCT(MAX(ISNUMBER(SEARCH(Rules!$A$5:$A$204,B1682))*(Rules!$A$5:$A$204&lt;&gt;"")*(1000-ROW(Rules!$A$5:$A$204)))),""))</f>
        <v/>
      </c>
    </row>
    <row r="1683" customFormat="false" ht="15" hidden="false" customHeight="false" outlineLevel="0" collapsed="false">
      <c r="A1683" s="23"/>
      <c r="B1683" s="24"/>
      <c r="C1683" s="25"/>
      <c r="D1683" s="24"/>
      <c r="E1683" s="21" t="str">
        <f aca="false">IF(OR(B1683="",N(N1683)=0,N1683=1000),IF(B1683="","","Check"),INDEX(Rules!$B:$B,N1683))</f>
        <v/>
      </c>
      <c r="F1683" s="21" t="str">
        <f aca="false">IF(OR(B1683="",N(N1683)=0,N1683=1000),"",INDEX(Rules!$C:$C,N1683))</f>
        <v/>
      </c>
      <c r="G1683" s="24"/>
      <c r="H1683" s="24"/>
      <c r="I1683" s="20" t="str">
        <f aca="false">IF(B1683="","",IF(G1683&lt;&gt;"",G1683,E1683))</f>
        <v/>
      </c>
      <c r="J1683" s="21" t="str">
        <f aca="false">IF(B1683="","",IF(H1683&lt;&gt;"",H1683,F1683))</f>
        <v/>
      </c>
      <c r="K1683" s="26" t="str">
        <f aca="false">IF(A1683="","",DATE(YEAR(A1683),MONTH(A1683),1))</f>
        <v/>
      </c>
      <c r="L1683" s="21" t="str">
        <f aca="false">IF(J1683="",IF(B1683="","",IF(N(C1683)&gt;=0,"Income","Expense")),IFERROR(INDEX(Lists!$B$2:$B$30,MATCH(J1683,Lists!$A$2:$A$30,0)),""))</f>
        <v/>
      </c>
      <c r="M1683" s="24"/>
      <c r="N1683" s="27" t="str">
        <f aca="false">IF(B1683="","",IFERROR(1000-SUMPRODUCT(MAX(ISNUMBER(SEARCH(Rules!$A$5:$A$204,B1683))*(Rules!$A$5:$A$204&lt;&gt;"")*(1000-ROW(Rules!$A$5:$A$204)))),""))</f>
        <v/>
      </c>
    </row>
    <row r="1684" customFormat="false" ht="15" hidden="false" customHeight="false" outlineLevel="0" collapsed="false">
      <c r="A1684" s="23"/>
      <c r="B1684" s="24"/>
      <c r="C1684" s="25"/>
      <c r="D1684" s="24"/>
      <c r="E1684" s="21" t="str">
        <f aca="false">IF(OR(B1684="",N(N1684)=0,N1684=1000),IF(B1684="","","Check"),INDEX(Rules!$B:$B,N1684))</f>
        <v/>
      </c>
      <c r="F1684" s="21" t="str">
        <f aca="false">IF(OR(B1684="",N(N1684)=0,N1684=1000),"",INDEX(Rules!$C:$C,N1684))</f>
        <v/>
      </c>
      <c r="G1684" s="24"/>
      <c r="H1684" s="24"/>
      <c r="I1684" s="20" t="str">
        <f aca="false">IF(B1684="","",IF(G1684&lt;&gt;"",G1684,E1684))</f>
        <v/>
      </c>
      <c r="J1684" s="21" t="str">
        <f aca="false">IF(B1684="","",IF(H1684&lt;&gt;"",H1684,F1684))</f>
        <v/>
      </c>
      <c r="K1684" s="26" t="str">
        <f aca="false">IF(A1684="","",DATE(YEAR(A1684),MONTH(A1684),1))</f>
        <v/>
      </c>
      <c r="L1684" s="21" t="str">
        <f aca="false">IF(J1684="",IF(B1684="","",IF(N(C1684)&gt;=0,"Income","Expense")),IFERROR(INDEX(Lists!$B$2:$B$30,MATCH(J1684,Lists!$A$2:$A$30,0)),""))</f>
        <v/>
      </c>
      <c r="M1684" s="24"/>
      <c r="N1684" s="27" t="str">
        <f aca="false">IF(B1684="","",IFERROR(1000-SUMPRODUCT(MAX(ISNUMBER(SEARCH(Rules!$A$5:$A$204,B1684))*(Rules!$A$5:$A$204&lt;&gt;"")*(1000-ROW(Rules!$A$5:$A$204)))),""))</f>
        <v/>
      </c>
    </row>
    <row r="1685" customFormat="false" ht="15" hidden="false" customHeight="false" outlineLevel="0" collapsed="false">
      <c r="A1685" s="23"/>
      <c r="B1685" s="24"/>
      <c r="C1685" s="25"/>
      <c r="D1685" s="24"/>
      <c r="E1685" s="21" t="str">
        <f aca="false">IF(OR(B1685="",N(N1685)=0,N1685=1000),IF(B1685="","","Check"),INDEX(Rules!$B:$B,N1685))</f>
        <v/>
      </c>
      <c r="F1685" s="21" t="str">
        <f aca="false">IF(OR(B1685="",N(N1685)=0,N1685=1000),"",INDEX(Rules!$C:$C,N1685))</f>
        <v/>
      </c>
      <c r="G1685" s="24"/>
      <c r="H1685" s="24"/>
      <c r="I1685" s="20" t="str">
        <f aca="false">IF(B1685="","",IF(G1685&lt;&gt;"",G1685,E1685))</f>
        <v/>
      </c>
      <c r="J1685" s="21" t="str">
        <f aca="false">IF(B1685="","",IF(H1685&lt;&gt;"",H1685,F1685))</f>
        <v/>
      </c>
      <c r="K1685" s="26" t="str">
        <f aca="false">IF(A1685="","",DATE(YEAR(A1685),MONTH(A1685),1))</f>
        <v/>
      </c>
      <c r="L1685" s="21" t="str">
        <f aca="false">IF(J1685="",IF(B1685="","",IF(N(C1685)&gt;=0,"Income","Expense")),IFERROR(INDEX(Lists!$B$2:$B$30,MATCH(J1685,Lists!$A$2:$A$30,0)),""))</f>
        <v/>
      </c>
      <c r="M1685" s="24"/>
      <c r="N1685" s="27" t="str">
        <f aca="false">IF(B1685="","",IFERROR(1000-SUMPRODUCT(MAX(ISNUMBER(SEARCH(Rules!$A$5:$A$204,B1685))*(Rules!$A$5:$A$204&lt;&gt;"")*(1000-ROW(Rules!$A$5:$A$204)))),""))</f>
        <v/>
      </c>
    </row>
    <row r="1686" customFormat="false" ht="15" hidden="false" customHeight="false" outlineLevel="0" collapsed="false">
      <c r="A1686" s="23"/>
      <c r="B1686" s="24"/>
      <c r="C1686" s="25"/>
      <c r="D1686" s="24"/>
      <c r="E1686" s="21" t="str">
        <f aca="false">IF(OR(B1686="",N(N1686)=0,N1686=1000),IF(B1686="","","Check"),INDEX(Rules!$B:$B,N1686))</f>
        <v/>
      </c>
      <c r="F1686" s="21" t="str">
        <f aca="false">IF(OR(B1686="",N(N1686)=0,N1686=1000),"",INDEX(Rules!$C:$C,N1686))</f>
        <v/>
      </c>
      <c r="G1686" s="24"/>
      <c r="H1686" s="24"/>
      <c r="I1686" s="20" t="str">
        <f aca="false">IF(B1686="","",IF(G1686&lt;&gt;"",G1686,E1686))</f>
        <v/>
      </c>
      <c r="J1686" s="21" t="str">
        <f aca="false">IF(B1686="","",IF(H1686&lt;&gt;"",H1686,F1686))</f>
        <v/>
      </c>
      <c r="K1686" s="26" t="str">
        <f aca="false">IF(A1686="","",DATE(YEAR(A1686),MONTH(A1686),1))</f>
        <v/>
      </c>
      <c r="L1686" s="21" t="str">
        <f aca="false">IF(J1686="",IF(B1686="","",IF(N(C1686)&gt;=0,"Income","Expense")),IFERROR(INDEX(Lists!$B$2:$B$30,MATCH(J1686,Lists!$A$2:$A$30,0)),""))</f>
        <v/>
      </c>
      <c r="M1686" s="24"/>
      <c r="N1686" s="27" t="str">
        <f aca="false">IF(B1686="","",IFERROR(1000-SUMPRODUCT(MAX(ISNUMBER(SEARCH(Rules!$A$5:$A$204,B1686))*(Rules!$A$5:$A$204&lt;&gt;"")*(1000-ROW(Rules!$A$5:$A$204)))),""))</f>
        <v/>
      </c>
    </row>
    <row r="1687" customFormat="false" ht="15" hidden="false" customHeight="false" outlineLevel="0" collapsed="false">
      <c r="A1687" s="23"/>
      <c r="B1687" s="24"/>
      <c r="C1687" s="25"/>
      <c r="D1687" s="24"/>
      <c r="E1687" s="21" t="str">
        <f aca="false">IF(OR(B1687="",N(N1687)=0,N1687=1000),IF(B1687="","","Check"),INDEX(Rules!$B:$B,N1687))</f>
        <v/>
      </c>
      <c r="F1687" s="21" t="str">
        <f aca="false">IF(OR(B1687="",N(N1687)=0,N1687=1000),"",INDEX(Rules!$C:$C,N1687))</f>
        <v/>
      </c>
      <c r="G1687" s="24"/>
      <c r="H1687" s="24"/>
      <c r="I1687" s="20" t="str">
        <f aca="false">IF(B1687="","",IF(G1687&lt;&gt;"",G1687,E1687))</f>
        <v/>
      </c>
      <c r="J1687" s="21" t="str">
        <f aca="false">IF(B1687="","",IF(H1687&lt;&gt;"",H1687,F1687))</f>
        <v/>
      </c>
      <c r="K1687" s="26" t="str">
        <f aca="false">IF(A1687="","",DATE(YEAR(A1687),MONTH(A1687),1))</f>
        <v/>
      </c>
      <c r="L1687" s="21" t="str">
        <f aca="false">IF(J1687="",IF(B1687="","",IF(N(C1687)&gt;=0,"Income","Expense")),IFERROR(INDEX(Lists!$B$2:$B$30,MATCH(J1687,Lists!$A$2:$A$30,0)),""))</f>
        <v/>
      </c>
      <c r="M1687" s="24"/>
      <c r="N1687" s="27" t="str">
        <f aca="false">IF(B1687="","",IFERROR(1000-SUMPRODUCT(MAX(ISNUMBER(SEARCH(Rules!$A$5:$A$204,B1687))*(Rules!$A$5:$A$204&lt;&gt;"")*(1000-ROW(Rules!$A$5:$A$204)))),""))</f>
        <v/>
      </c>
    </row>
    <row r="1688" customFormat="false" ht="15" hidden="false" customHeight="false" outlineLevel="0" collapsed="false">
      <c r="A1688" s="23"/>
      <c r="B1688" s="24"/>
      <c r="C1688" s="25"/>
      <c r="D1688" s="24"/>
      <c r="E1688" s="21" t="str">
        <f aca="false">IF(OR(B1688="",N(N1688)=0,N1688=1000),IF(B1688="","","Check"),INDEX(Rules!$B:$B,N1688))</f>
        <v/>
      </c>
      <c r="F1688" s="21" t="str">
        <f aca="false">IF(OR(B1688="",N(N1688)=0,N1688=1000),"",INDEX(Rules!$C:$C,N1688))</f>
        <v/>
      </c>
      <c r="G1688" s="24"/>
      <c r="H1688" s="24"/>
      <c r="I1688" s="20" t="str">
        <f aca="false">IF(B1688="","",IF(G1688&lt;&gt;"",G1688,E1688))</f>
        <v/>
      </c>
      <c r="J1688" s="21" t="str">
        <f aca="false">IF(B1688="","",IF(H1688&lt;&gt;"",H1688,F1688))</f>
        <v/>
      </c>
      <c r="K1688" s="26" t="str">
        <f aca="false">IF(A1688="","",DATE(YEAR(A1688),MONTH(A1688),1))</f>
        <v/>
      </c>
      <c r="L1688" s="21" t="str">
        <f aca="false">IF(J1688="",IF(B1688="","",IF(N(C1688)&gt;=0,"Income","Expense")),IFERROR(INDEX(Lists!$B$2:$B$30,MATCH(J1688,Lists!$A$2:$A$30,0)),""))</f>
        <v/>
      </c>
      <c r="M1688" s="24"/>
      <c r="N1688" s="27" t="str">
        <f aca="false">IF(B1688="","",IFERROR(1000-SUMPRODUCT(MAX(ISNUMBER(SEARCH(Rules!$A$5:$A$204,B1688))*(Rules!$A$5:$A$204&lt;&gt;"")*(1000-ROW(Rules!$A$5:$A$204)))),""))</f>
        <v/>
      </c>
    </row>
    <row r="1689" customFormat="false" ht="15" hidden="false" customHeight="false" outlineLevel="0" collapsed="false">
      <c r="A1689" s="23"/>
      <c r="B1689" s="24"/>
      <c r="C1689" s="25"/>
      <c r="D1689" s="24"/>
      <c r="E1689" s="21" t="str">
        <f aca="false">IF(OR(B1689="",N(N1689)=0,N1689=1000),IF(B1689="","","Check"),INDEX(Rules!$B:$B,N1689))</f>
        <v/>
      </c>
      <c r="F1689" s="21" t="str">
        <f aca="false">IF(OR(B1689="",N(N1689)=0,N1689=1000),"",INDEX(Rules!$C:$C,N1689))</f>
        <v/>
      </c>
      <c r="G1689" s="24"/>
      <c r="H1689" s="24"/>
      <c r="I1689" s="20" t="str">
        <f aca="false">IF(B1689="","",IF(G1689&lt;&gt;"",G1689,E1689))</f>
        <v/>
      </c>
      <c r="J1689" s="21" t="str">
        <f aca="false">IF(B1689="","",IF(H1689&lt;&gt;"",H1689,F1689))</f>
        <v/>
      </c>
      <c r="K1689" s="26" t="str">
        <f aca="false">IF(A1689="","",DATE(YEAR(A1689),MONTH(A1689),1))</f>
        <v/>
      </c>
      <c r="L1689" s="21" t="str">
        <f aca="false">IF(J1689="",IF(B1689="","",IF(N(C1689)&gt;=0,"Income","Expense")),IFERROR(INDEX(Lists!$B$2:$B$30,MATCH(J1689,Lists!$A$2:$A$30,0)),""))</f>
        <v/>
      </c>
      <c r="M1689" s="24"/>
      <c r="N1689" s="27" t="str">
        <f aca="false">IF(B1689="","",IFERROR(1000-SUMPRODUCT(MAX(ISNUMBER(SEARCH(Rules!$A$5:$A$204,B1689))*(Rules!$A$5:$A$204&lt;&gt;"")*(1000-ROW(Rules!$A$5:$A$204)))),""))</f>
        <v/>
      </c>
    </row>
    <row r="1690" customFormat="false" ht="15" hidden="false" customHeight="false" outlineLevel="0" collapsed="false">
      <c r="A1690" s="23"/>
      <c r="B1690" s="24"/>
      <c r="C1690" s="25"/>
      <c r="D1690" s="24"/>
      <c r="E1690" s="21" t="str">
        <f aca="false">IF(OR(B1690="",N(N1690)=0,N1690=1000),IF(B1690="","","Check"),INDEX(Rules!$B:$B,N1690))</f>
        <v/>
      </c>
      <c r="F1690" s="21" t="str">
        <f aca="false">IF(OR(B1690="",N(N1690)=0,N1690=1000),"",INDEX(Rules!$C:$C,N1690))</f>
        <v/>
      </c>
      <c r="G1690" s="24"/>
      <c r="H1690" s="24"/>
      <c r="I1690" s="20" t="str">
        <f aca="false">IF(B1690="","",IF(G1690&lt;&gt;"",G1690,E1690))</f>
        <v/>
      </c>
      <c r="J1690" s="21" t="str">
        <f aca="false">IF(B1690="","",IF(H1690&lt;&gt;"",H1690,F1690))</f>
        <v/>
      </c>
      <c r="K1690" s="26" t="str">
        <f aca="false">IF(A1690="","",DATE(YEAR(A1690),MONTH(A1690),1))</f>
        <v/>
      </c>
      <c r="L1690" s="21" t="str">
        <f aca="false">IF(J1690="",IF(B1690="","",IF(N(C1690)&gt;=0,"Income","Expense")),IFERROR(INDEX(Lists!$B$2:$B$30,MATCH(J1690,Lists!$A$2:$A$30,0)),""))</f>
        <v/>
      </c>
      <c r="M1690" s="24"/>
      <c r="N1690" s="27" t="str">
        <f aca="false">IF(B1690="","",IFERROR(1000-SUMPRODUCT(MAX(ISNUMBER(SEARCH(Rules!$A$5:$A$204,B1690))*(Rules!$A$5:$A$204&lt;&gt;"")*(1000-ROW(Rules!$A$5:$A$204)))),""))</f>
        <v/>
      </c>
    </row>
    <row r="1691" customFormat="false" ht="15" hidden="false" customHeight="false" outlineLevel="0" collapsed="false">
      <c r="A1691" s="23"/>
      <c r="B1691" s="24"/>
      <c r="C1691" s="25"/>
      <c r="D1691" s="24"/>
      <c r="E1691" s="21" t="str">
        <f aca="false">IF(OR(B1691="",N(N1691)=0,N1691=1000),IF(B1691="","","Check"),INDEX(Rules!$B:$B,N1691))</f>
        <v/>
      </c>
      <c r="F1691" s="21" t="str">
        <f aca="false">IF(OR(B1691="",N(N1691)=0,N1691=1000),"",INDEX(Rules!$C:$C,N1691))</f>
        <v/>
      </c>
      <c r="G1691" s="24"/>
      <c r="H1691" s="24"/>
      <c r="I1691" s="20" t="str">
        <f aca="false">IF(B1691="","",IF(G1691&lt;&gt;"",G1691,E1691))</f>
        <v/>
      </c>
      <c r="J1691" s="21" t="str">
        <f aca="false">IF(B1691="","",IF(H1691&lt;&gt;"",H1691,F1691))</f>
        <v/>
      </c>
      <c r="K1691" s="26" t="str">
        <f aca="false">IF(A1691="","",DATE(YEAR(A1691),MONTH(A1691),1))</f>
        <v/>
      </c>
      <c r="L1691" s="21" t="str">
        <f aca="false">IF(J1691="",IF(B1691="","",IF(N(C1691)&gt;=0,"Income","Expense")),IFERROR(INDEX(Lists!$B$2:$B$30,MATCH(J1691,Lists!$A$2:$A$30,0)),""))</f>
        <v/>
      </c>
      <c r="M1691" s="24"/>
      <c r="N1691" s="27" t="str">
        <f aca="false">IF(B1691="","",IFERROR(1000-SUMPRODUCT(MAX(ISNUMBER(SEARCH(Rules!$A$5:$A$204,B1691))*(Rules!$A$5:$A$204&lt;&gt;"")*(1000-ROW(Rules!$A$5:$A$204)))),""))</f>
        <v/>
      </c>
    </row>
    <row r="1692" customFormat="false" ht="15" hidden="false" customHeight="false" outlineLevel="0" collapsed="false">
      <c r="A1692" s="23"/>
      <c r="B1692" s="24"/>
      <c r="C1692" s="25"/>
      <c r="D1692" s="24"/>
      <c r="E1692" s="21" t="str">
        <f aca="false">IF(OR(B1692="",N(N1692)=0,N1692=1000),IF(B1692="","","Check"),INDEX(Rules!$B:$B,N1692))</f>
        <v/>
      </c>
      <c r="F1692" s="21" t="str">
        <f aca="false">IF(OR(B1692="",N(N1692)=0,N1692=1000),"",INDEX(Rules!$C:$C,N1692))</f>
        <v/>
      </c>
      <c r="G1692" s="24"/>
      <c r="H1692" s="24"/>
      <c r="I1692" s="20" t="str">
        <f aca="false">IF(B1692="","",IF(G1692&lt;&gt;"",G1692,E1692))</f>
        <v/>
      </c>
      <c r="J1692" s="21" t="str">
        <f aca="false">IF(B1692="","",IF(H1692&lt;&gt;"",H1692,F1692))</f>
        <v/>
      </c>
      <c r="K1692" s="26" t="str">
        <f aca="false">IF(A1692="","",DATE(YEAR(A1692),MONTH(A1692),1))</f>
        <v/>
      </c>
      <c r="L1692" s="21" t="str">
        <f aca="false">IF(J1692="",IF(B1692="","",IF(N(C1692)&gt;=0,"Income","Expense")),IFERROR(INDEX(Lists!$B$2:$B$30,MATCH(J1692,Lists!$A$2:$A$30,0)),""))</f>
        <v/>
      </c>
      <c r="M1692" s="24"/>
      <c r="N1692" s="27" t="str">
        <f aca="false">IF(B1692="","",IFERROR(1000-SUMPRODUCT(MAX(ISNUMBER(SEARCH(Rules!$A$5:$A$204,B1692))*(Rules!$A$5:$A$204&lt;&gt;"")*(1000-ROW(Rules!$A$5:$A$204)))),""))</f>
        <v/>
      </c>
    </row>
    <row r="1693" customFormat="false" ht="15" hidden="false" customHeight="false" outlineLevel="0" collapsed="false">
      <c r="A1693" s="23"/>
      <c r="B1693" s="24"/>
      <c r="C1693" s="25"/>
      <c r="D1693" s="24"/>
      <c r="E1693" s="21" t="str">
        <f aca="false">IF(OR(B1693="",N(N1693)=0,N1693=1000),IF(B1693="","","Check"),INDEX(Rules!$B:$B,N1693))</f>
        <v/>
      </c>
      <c r="F1693" s="21" t="str">
        <f aca="false">IF(OR(B1693="",N(N1693)=0,N1693=1000),"",INDEX(Rules!$C:$C,N1693))</f>
        <v/>
      </c>
      <c r="G1693" s="24"/>
      <c r="H1693" s="24"/>
      <c r="I1693" s="20" t="str">
        <f aca="false">IF(B1693="","",IF(G1693&lt;&gt;"",G1693,E1693))</f>
        <v/>
      </c>
      <c r="J1693" s="21" t="str">
        <f aca="false">IF(B1693="","",IF(H1693&lt;&gt;"",H1693,F1693))</f>
        <v/>
      </c>
      <c r="K1693" s="26" t="str">
        <f aca="false">IF(A1693="","",DATE(YEAR(A1693),MONTH(A1693),1))</f>
        <v/>
      </c>
      <c r="L1693" s="21" t="str">
        <f aca="false">IF(J1693="",IF(B1693="","",IF(N(C1693)&gt;=0,"Income","Expense")),IFERROR(INDEX(Lists!$B$2:$B$30,MATCH(J1693,Lists!$A$2:$A$30,0)),""))</f>
        <v/>
      </c>
      <c r="M1693" s="24"/>
      <c r="N1693" s="27" t="str">
        <f aca="false">IF(B1693="","",IFERROR(1000-SUMPRODUCT(MAX(ISNUMBER(SEARCH(Rules!$A$5:$A$204,B1693))*(Rules!$A$5:$A$204&lt;&gt;"")*(1000-ROW(Rules!$A$5:$A$204)))),""))</f>
        <v/>
      </c>
    </row>
    <row r="1694" customFormat="false" ht="15" hidden="false" customHeight="false" outlineLevel="0" collapsed="false">
      <c r="A1694" s="23"/>
      <c r="B1694" s="24"/>
      <c r="C1694" s="25"/>
      <c r="D1694" s="24"/>
      <c r="E1694" s="21" t="str">
        <f aca="false">IF(OR(B1694="",N(N1694)=0,N1694=1000),IF(B1694="","","Check"),INDEX(Rules!$B:$B,N1694))</f>
        <v/>
      </c>
      <c r="F1694" s="21" t="str">
        <f aca="false">IF(OR(B1694="",N(N1694)=0,N1694=1000),"",INDEX(Rules!$C:$C,N1694))</f>
        <v/>
      </c>
      <c r="G1694" s="24"/>
      <c r="H1694" s="24"/>
      <c r="I1694" s="20" t="str">
        <f aca="false">IF(B1694="","",IF(G1694&lt;&gt;"",G1694,E1694))</f>
        <v/>
      </c>
      <c r="J1694" s="21" t="str">
        <f aca="false">IF(B1694="","",IF(H1694&lt;&gt;"",H1694,F1694))</f>
        <v/>
      </c>
      <c r="K1694" s="26" t="str">
        <f aca="false">IF(A1694="","",DATE(YEAR(A1694),MONTH(A1694),1))</f>
        <v/>
      </c>
      <c r="L1694" s="21" t="str">
        <f aca="false">IF(J1694="",IF(B1694="","",IF(N(C1694)&gt;=0,"Income","Expense")),IFERROR(INDEX(Lists!$B$2:$B$30,MATCH(J1694,Lists!$A$2:$A$30,0)),""))</f>
        <v/>
      </c>
      <c r="M1694" s="24"/>
      <c r="N1694" s="27" t="str">
        <f aca="false">IF(B1694="","",IFERROR(1000-SUMPRODUCT(MAX(ISNUMBER(SEARCH(Rules!$A$5:$A$204,B1694))*(Rules!$A$5:$A$204&lt;&gt;"")*(1000-ROW(Rules!$A$5:$A$204)))),""))</f>
        <v/>
      </c>
    </row>
    <row r="1695" customFormat="false" ht="15" hidden="false" customHeight="false" outlineLevel="0" collapsed="false">
      <c r="A1695" s="23"/>
      <c r="B1695" s="24"/>
      <c r="C1695" s="25"/>
      <c r="D1695" s="24"/>
      <c r="E1695" s="21" t="str">
        <f aca="false">IF(OR(B1695="",N(N1695)=0,N1695=1000),IF(B1695="","","Check"),INDEX(Rules!$B:$B,N1695))</f>
        <v/>
      </c>
      <c r="F1695" s="21" t="str">
        <f aca="false">IF(OR(B1695="",N(N1695)=0,N1695=1000),"",INDEX(Rules!$C:$C,N1695))</f>
        <v/>
      </c>
      <c r="G1695" s="24"/>
      <c r="H1695" s="24"/>
      <c r="I1695" s="20" t="str">
        <f aca="false">IF(B1695="","",IF(G1695&lt;&gt;"",G1695,E1695))</f>
        <v/>
      </c>
      <c r="J1695" s="21" t="str">
        <f aca="false">IF(B1695="","",IF(H1695&lt;&gt;"",H1695,F1695))</f>
        <v/>
      </c>
      <c r="K1695" s="26" t="str">
        <f aca="false">IF(A1695="","",DATE(YEAR(A1695),MONTH(A1695),1))</f>
        <v/>
      </c>
      <c r="L1695" s="21" t="str">
        <f aca="false">IF(J1695="",IF(B1695="","",IF(N(C1695)&gt;=0,"Income","Expense")),IFERROR(INDEX(Lists!$B$2:$B$30,MATCH(J1695,Lists!$A$2:$A$30,0)),""))</f>
        <v/>
      </c>
      <c r="M1695" s="24"/>
      <c r="N1695" s="27" t="str">
        <f aca="false">IF(B1695="","",IFERROR(1000-SUMPRODUCT(MAX(ISNUMBER(SEARCH(Rules!$A$5:$A$204,B1695))*(Rules!$A$5:$A$204&lt;&gt;"")*(1000-ROW(Rules!$A$5:$A$204)))),""))</f>
        <v/>
      </c>
    </row>
    <row r="1696" customFormat="false" ht="15" hidden="false" customHeight="false" outlineLevel="0" collapsed="false">
      <c r="A1696" s="23"/>
      <c r="B1696" s="24"/>
      <c r="C1696" s="25"/>
      <c r="D1696" s="24"/>
      <c r="E1696" s="21" t="str">
        <f aca="false">IF(OR(B1696="",N(N1696)=0,N1696=1000),IF(B1696="","","Check"),INDEX(Rules!$B:$B,N1696))</f>
        <v/>
      </c>
      <c r="F1696" s="21" t="str">
        <f aca="false">IF(OR(B1696="",N(N1696)=0,N1696=1000),"",INDEX(Rules!$C:$C,N1696))</f>
        <v/>
      </c>
      <c r="G1696" s="24"/>
      <c r="H1696" s="24"/>
      <c r="I1696" s="20" t="str">
        <f aca="false">IF(B1696="","",IF(G1696&lt;&gt;"",G1696,E1696))</f>
        <v/>
      </c>
      <c r="J1696" s="21" t="str">
        <f aca="false">IF(B1696="","",IF(H1696&lt;&gt;"",H1696,F1696))</f>
        <v/>
      </c>
      <c r="K1696" s="26" t="str">
        <f aca="false">IF(A1696="","",DATE(YEAR(A1696),MONTH(A1696),1))</f>
        <v/>
      </c>
      <c r="L1696" s="21" t="str">
        <f aca="false">IF(J1696="",IF(B1696="","",IF(N(C1696)&gt;=0,"Income","Expense")),IFERROR(INDEX(Lists!$B$2:$B$30,MATCH(J1696,Lists!$A$2:$A$30,0)),""))</f>
        <v/>
      </c>
      <c r="M1696" s="24"/>
      <c r="N1696" s="27" t="str">
        <f aca="false">IF(B1696="","",IFERROR(1000-SUMPRODUCT(MAX(ISNUMBER(SEARCH(Rules!$A$5:$A$204,B1696))*(Rules!$A$5:$A$204&lt;&gt;"")*(1000-ROW(Rules!$A$5:$A$204)))),""))</f>
        <v/>
      </c>
    </row>
    <row r="1697" customFormat="false" ht="15" hidden="false" customHeight="false" outlineLevel="0" collapsed="false">
      <c r="A1697" s="23"/>
      <c r="B1697" s="24"/>
      <c r="C1697" s="25"/>
      <c r="D1697" s="24"/>
      <c r="E1697" s="21" t="str">
        <f aca="false">IF(OR(B1697="",N(N1697)=0,N1697=1000),IF(B1697="","","Check"),INDEX(Rules!$B:$B,N1697))</f>
        <v/>
      </c>
      <c r="F1697" s="21" t="str">
        <f aca="false">IF(OR(B1697="",N(N1697)=0,N1697=1000),"",INDEX(Rules!$C:$C,N1697))</f>
        <v/>
      </c>
      <c r="G1697" s="24"/>
      <c r="H1697" s="24"/>
      <c r="I1697" s="20" t="str">
        <f aca="false">IF(B1697="","",IF(G1697&lt;&gt;"",G1697,E1697))</f>
        <v/>
      </c>
      <c r="J1697" s="21" t="str">
        <f aca="false">IF(B1697="","",IF(H1697&lt;&gt;"",H1697,F1697))</f>
        <v/>
      </c>
      <c r="K1697" s="26" t="str">
        <f aca="false">IF(A1697="","",DATE(YEAR(A1697),MONTH(A1697),1))</f>
        <v/>
      </c>
      <c r="L1697" s="21" t="str">
        <f aca="false">IF(J1697="",IF(B1697="","",IF(N(C1697)&gt;=0,"Income","Expense")),IFERROR(INDEX(Lists!$B$2:$B$30,MATCH(J1697,Lists!$A$2:$A$30,0)),""))</f>
        <v/>
      </c>
      <c r="M1697" s="24"/>
      <c r="N1697" s="27" t="str">
        <f aca="false">IF(B1697="","",IFERROR(1000-SUMPRODUCT(MAX(ISNUMBER(SEARCH(Rules!$A$5:$A$204,B1697))*(Rules!$A$5:$A$204&lt;&gt;"")*(1000-ROW(Rules!$A$5:$A$204)))),""))</f>
        <v/>
      </c>
    </row>
    <row r="1698" customFormat="false" ht="15" hidden="false" customHeight="false" outlineLevel="0" collapsed="false">
      <c r="A1698" s="23"/>
      <c r="B1698" s="24"/>
      <c r="C1698" s="25"/>
      <c r="D1698" s="24"/>
      <c r="E1698" s="21" t="str">
        <f aca="false">IF(OR(B1698="",N(N1698)=0,N1698=1000),IF(B1698="","","Check"),INDEX(Rules!$B:$B,N1698))</f>
        <v/>
      </c>
      <c r="F1698" s="21" t="str">
        <f aca="false">IF(OR(B1698="",N(N1698)=0,N1698=1000),"",INDEX(Rules!$C:$C,N1698))</f>
        <v/>
      </c>
      <c r="G1698" s="24"/>
      <c r="H1698" s="24"/>
      <c r="I1698" s="20" t="str">
        <f aca="false">IF(B1698="","",IF(G1698&lt;&gt;"",G1698,E1698))</f>
        <v/>
      </c>
      <c r="J1698" s="21" t="str">
        <f aca="false">IF(B1698="","",IF(H1698&lt;&gt;"",H1698,F1698))</f>
        <v/>
      </c>
      <c r="K1698" s="26" t="str">
        <f aca="false">IF(A1698="","",DATE(YEAR(A1698),MONTH(A1698),1))</f>
        <v/>
      </c>
      <c r="L1698" s="21" t="str">
        <f aca="false">IF(J1698="",IF(B1698="","",IF(N(C1698)&gt;=0,"Income","Expense")),IFERROR(INDEX(Lists!$B$2:$B$30,MATCH(J1698,Lists!$A$2:$A$30,0)),""))</f>
        <v/>
      </c>
      <c r="M1698" s="24"/>
      <c r="N1698" s="27" t="str">
        <f aca="false">IF(B1698="","",IFERROR(1000-SUMPRODUCT(MAX(ISNUMBER(SEARCH(Rules!$A$5:$A$204,B1698))*(Rules!$A$5:$A$204&lt;&gt;"")*(1000-ROW(Rules!$A$5:$A$204)))),""))</f>
        <v/>
      </c>
    </row>
    <row r="1699" customFormat="false" ht="15" hidden="false" customHeight="false" outlineLevel="0" collapsed="false">
      <c r="A1699" s="23"/>
      <c r="B1699" s="24"/>
      <c r="C1699" s="25"/>
      <c r="D1699" s="24"/>
      <c r="E1699" s="21" t="str">
        <f aca="false">IF(OR(B1699="",N(N1699)=0,N1699=1000),IF(B1699="","","Check"),INDEX(Rules!$B:$B,N1699))</f>
        <v/>
      </c>
      <c r="F1699" s="21" t="str">
        <f aca="false">IF(OR(B1699="",N(N1699)=0,N1699=1000),"",INDEX(Rules!$C:$C,N1699))</f>
        <v/>
      </c>
      <c r="G1699" s="24"/>
      <c r="H1699" s="24"/>
      <c r="I1699" s="20" t="str">
        <f aca="false">IF(B1699="","",IF(G1699&lt;&gt;"",G1699,E1699))</f>
        <v/>
      </c>
      <c r="J1699" s="21" t="str">
        <f aca="false">IF(B1699="","",IF(H1699&lt;&gt;"",H1699,F1699))</f>
        <v/>
      </c>
      <c r="K1699" s="26" t="str">
        <f aca="false">IF(A1699="","",DATE(YEAR(A1699),MONTH(A1699),1))</f>
        <v/>
      </c>
      <c r="L1699" s="21" t="str">
        <f aca="false">IF(J1699="",IF(B1699="","",IF(N(C1699)&gt;=0,"Income","Expense")),IFERROR(INDEX(Lists!$B$2:$B$30,MATCH(J1699,Lists!$A$2:$A$30,0)),""))</f>
        <v/>
      </c>
      <c r="M1699" s="24"/>
      <c r="N1699" s="27" t="str">
        <f aca="false">IF(B1699="","",IFERROR(1000-SUMPRODUCT(MAX(ISNUMBER(SEARCH(Rules!$A$5:$A$204,B1699))*(Rules!$A$5:$A$204&lt;&gt;"")*(1000-ROW(Rules!$A$5:$A$204)))),""))</f>
        <v/>
      </c>
    </row>
    <row r="1700" customFormat="false" ht="15" hidden="false" customHeight="false" outlineLevel="0" collapsed="false">
      <c r="A1700" s="23"/>
      <c r="B1700" s="24"/>
      <c r="C1700" s="25"/>
      <c r="D1700" s="24"/>
      <c r="E1700" s="21" t="str">
        <f aca="false">IF(OR(B1700="",N(N1700)=0,N1700=1000),IF(B1700="","","Check"),INDEX(Rules!$B:$B,N1700))</f>
        <v/>
      </c>
      <c r="F1700" s="21" t="str">
        <f aca="false">IF(OR(B1700="",N(N1700)=0,N1700=1000),"",INDEX(Rules!$C:$C,N1700))</f>
        <v/>
      </c>
      <c r="G1700" s="24"/>
      <c r="H1700" s="24"/>
      <c r="I1700" s="20" t="str">
        <f aca="false">IF(B1700="","",IF(G1700&lt;&gt;"",G1700,E1700))</f>
        <v/>
      </c>
      <c r="J1700" s="21" t="str">
        <f aca="false">IF(B1700="","",IF(H1700&lt;&gt;"",H1700,F1700))</f>
        <v/>
      </c>
      <c r="K1700" s="26" t="str">
        <f aca="false">IF(A1700="","",DATE(YEAR(A1700),MONTH(A1700),1))</f>
        <v/>
      </c>
      <c r="L1700" s="21" t="str">
        <f aca="false">IF(J1700="",IF(B1700="","",IF(N(C1700)&gt;=0,"Income","Expense")),IFERROR(INDEX(Lists!$B$2:$B$30,MATCH(J1700,Lists!$A$2:$A$30,0)),""))</f>
        <v/>
      </c>
      <c r="M1700" s="24"/>
      <c r="N1700" s="27" t="str">
        <f aca="false">IF(B1700="","",IFERROR(1000-SUMPRODUCT(MAX(ISNUMBER(SEARCH(Rules!$A$5:$A$204,B1700))*(Rules!$A$5:$A$204&lt;&gt;"")*(1000-ROW(Rules!$A$5:$A$204)))),""))</f>
        <v/>
      </c>
    </row>
    <row r="1701" customFormat="false" ht="15" hidden="false" customHeight="false" outlineLevel="0" collapsed="false">
      <c r="A1701" s="23"/>
      <c r="B1701" s="24"/>
      <c r="C1701" s="25"/>
      <c r="D1701" s="24"/>
      <c r="E1701" s="21" t="str">
        <f aca="false">IF(OR(B1701="",N(N1701)=0,N1701=1000),IF(B1701="","","Check"),INDEX(Rules!$B:$B,N1701))</f>
        <v/>
      </c>
      <c r="F1701" s="21" t="str">
        <f aca="false">IF(OR(B1701="",N(N1701)=0,N1701=1000),"",INDEX(Rules!$C:$C,N1701))</f>
        <v/>
      </c>
      <c r="G1701" s="24"/>
      <c r="H1701" s="24"/>
      <c r="I1701" s="20" t="str">
        <f aca="false">IF(B1701="","",IF(G1701&lt;&gt;"",G1701,E1701))</f>
        <v/>
      </c>
      <c r="J1701" s="21" t="str">
        <f aca="false">IF(B1701="","",IF(H1701&lt;&gt;"",H1701,F1701))</f>
        <v/>
      </c>
      <c r="K1701" s="26" t="str">
        <f aca="false">IF(A1701="","",DATE(YEAR(A1701),MONTH(A1701),1))</f>
        <v/>
      </c>
      <c r="L1701" s="21" t="str">
        <f aca="false">IF(J1701="",IF(B1701="","",IF(N(C1701)&gt;=0,"Income","Expense")),IFERROR(INDEX(Lists!$B$2:$B$30,MATCH(J1701,Lists!$A$2:$A$30,0)),""))</f>
        <v/>
      </c>
      <c r="M1701" s="24"/>
      <c r="N1701" s="27" t="str">
        <f aca="false">IF(B1701="","",IFERROR(1000-SUMPRODUCT(MAX(ISNUMBER(SEARCH(Rules!$A$5:$A$204,B1701))*(Rules!$A$5:$A$204&lt;&gt;"")*(1000-ROW(Rules!$A$5:$A$204)))),""))</f>
        <v/>
      </c>
    </row>
    <row r="1702" customFormat="false" ht="15" hidden="false" customHeight="false" outlineLevel="0" collapsed="false">
      <c r="A1702" s="23"/>
      <c r="B1702" s="24"/>
      <c r="C1702" s="25"/>
      <c r="D1702" s="24"/>
      <c r="E1702" s="21" t="str">
        <f aca="false">IF(OR(B1702="",N(N1702)=0,N1702=1000),IF(B1702="","","Check"),INDEX(Rules!$B:$B,N1702))</f>
        <v/>
      </c>
      <c r="F1702" s="21" t="str">
        <f aca="false">IF(OR(B1702="",N(N1702)=0,N1702=1000),"",INDEX(Rules!$C:$C,N1702))</f>
        <v/>
      </c>
      <c r="G1702" s="24"/>
      <c r="H1702" s="24"/>
      <c r="I1702" s="20" t="str">
        <f aca="false">IF(B1702="","",IF(G1702&lt;&gt;"",G1702,E1702))</f>
        <v/>
      </c>
      <c r="J1702" s="21" t="str">
        <f aca="false">IF(B1702="","",IF(H1702&lt;&gt;"",H1702,F1702))</f>
        <v/>
      </c>
      <c r="K1702" s="26" t="str">
        <f aca="false">IF(A1702="","",DATE(YEAR(A1702),MONTH(A1702),1))</f>
        <v/>
      </c>
      <c r="L1702" s="21" t="str">
        <f aca="false">IF(J1702="",IF(B1702="","",IF(N(C1702)&gt;=0,"Income","Expense")),IFERROR(INDEX(Lists!$B$2:$B$30,MATCH(J1702,Lists!$A$2:$A$30,0)),""))</f>
        <v/>
      </c>
      <c r="M1702" s="24"/>
      <c r="N1702" s="27" t="str">
        <f aca="false">IF(B1702="","",IFERROR(1000-SUMPRODUCT(MAX(ISNUMBER(SEARCH(Rules!$A$5:$A$204,B1702))*(Rules!$A$5:$A$204&lt;&gt;"")*(1000-ROW(Rules!$A$5:$A$204)))),""))</f>
        <v/>
      </c>
    </row>
    <row r="1703" customFormat="false" ht="15" hidden="false" customHeight="false" outlineLevel="0" collapsed="false">
      <c r="A1703" s="23"/>
      <c r="B1703" s="24"/>
      <c r="C1703" s="25"/>
      <c r="D1703" s="24"/>
      <c r="E1703" s="21" t="str">
        <f aca="false">IF(OR(B1703="",N(N1703)=0,N1703=1000),IF(B1703="","","Check"),INDEX(Rules!$B:$B,N1703))</f>
        <v/>
      </c>
      <c r="F1703" s="21" t="str">
        <f aca="false">IF(OR(B1703="",N(N1703)=0,N1703=1000),"",INDEX(Rules!$C:$C,N1703))</f>
        <v/>
      </c>
      <c r="G1703" s="24"/>
      <c r="H1703" s="24"/>
      <c r="I1703" s="20" t="str">
        <f aca="false">IF(B1703="","",IF(G1703&lt;&gt;"",G1703,E1703))</f>
        <v/>
      </c>
      <c r="J1703" s="21" t="str">
        <f aca="false">IF(B1703="","",IF(H1703&lt;&gt;"",H1703,F1703))</f>
        <v/>
      </c>
      <c r="K1703" s="26" t="str">
        <f aca="false">IF(A1703="","",DATE(YEAR(A1703),MONTH(A1703),1))</f>
        <v/>
      </c>
      <c r="L1703" s="21" t="str">
        <f aca="false">IF(J1703="",IF(B1703="","",IF(N(C1703)&gt;=0,"Income","Expense")),IFERROR(INDEX(Lists!$B$2:$B$30,MATCH(J1703,Lists!$A$2:$A$30,0)),""))</f>
        <v/>
      </c>
      <c r="M1703" s="24"/>
      <c r="N1703" s="27" t="str">
        <f aca="false">IF(B1703="","",IFERROR(1000-SUMPRODUCT(MAX(ISNUMBER(SEARCH(Rules!$A$5:$A$204,B1703))*(Rules!$A$5:$A$204&lt;&gt;"")*(1000-ROW(Rules!$A$5:$A$204)))),""))</f>
        <v/>
      </c>
    </row>
    <row r="1704" customFormat="false" ht="15" hidden="false" customHeight="false" outlineLevel="0" collapsed="false">
      <c r="A1704" s="23"/>
      <c r="B1704" s="24"/>
      <c r="C1704" s="25"/>
      <c r="D1704" s="24"/>
      <c r="E1704" s="21" t="str">
        <f aca="false">IF(OR(B1704="",N(N1704)=0,N1704=1000),IF(B1704="","","Check"),INDEX(Rules!$B:$B,N1704))</f>
        <v/>
      </c>
      <c r="F1704" s="21" t="str">
        <f aca="false">IF(OR(B1704="",N(N1704)=0,N1704=1000),"",INDEX(Rules!$C:$C,N1704))</f>
        <v/>
      </c>
      <c r="G1704" s="24"/>
      <c r="H1704" s="24"/>
      <c r="I1704" s="20" t="str">
        <f aca="false">IF(B1704="","",IF(G1704&lt;&gt;"",G1704,E1704))</f>
        <v/>
      </c>
      <c r="J1704" s="21" t="str">
        <f aca="false">IF(B1704="","",IF(H1704&lt;&gt;"",H1704,F1704))</f>
        <v/>
      </c>
      <c r="K1704" s="26" t="str">
        <f aca="false">IF(A1704="","",DATE(YEAR(A1704),MONTH(A1704),1))</f>
        <v/>
      </c>
      <c r="L1704" s="21" t="str">
        <f aca="false">IF(J1704="",IF(B1704="","",IF(N(C1704)&gt;=0,"Income","Expense")),IFERROR(INDEX(Lists!$B$2:$B$30,MATCH(J1704,Lists!$A$2:$A$30,0)),""))</f>
        <v/>
      </c>
      <c r="M1704" s="24"/>
      <c r="N1704" s="27" t="str">
        <f aca="false">IF(B1704="","",IFERROR(1000-SUMPRODUCT(MAX(ISNUMBER(SEARCH(Rules!$A$5:$A$204,B1704))*(Rules!$A$5:$A$204&lt;&gt;"")*(1000-ROW(Rules!$A$5:$A$204)))),""))</f>
        <v/>
      </c>
    </row>
    <row r="1705" customFormat="false" ht="15" hidden="false" customHeight="false" outlineLevel="0" collapsed="false">
      <c r="A1705" s="23"/>
      <c r="B1705" s="24"/>
      <c r="C1705" s="25"/>
      <c r="D1705" s="24"/>
      <c r="E1705" s="21" t="str">
        <f aca="false">IF(OR(B1705="",N(N1705)=0,N1705=1000),IF(B1705="","","Check"),INDEX(Rules!$B:$B,N1705))</f>
        <v/>
      </c>
      <c r="F1705" s="21" t="str">
        <f aca="false">IF(OR(B1705="",N(N1705)=0,N1705=1000),"",INDEX(Rules!$C:$C,N1705))</f>
        <v/>
      </c>
      <c r="G1705" s="24"/>
      <c r="H1705" s="24"/>
      <c r="I1705" s="20" t="str">
        <f aca="false">IF(B1705="","",IF(G1705&lt;&gt;"",G1705,E1705))</f>
        <v/>
      </c>
      <c r="J1705" s="21" t="str">
        <f aca="false">IF(B1705="","",IF(H1705&lt;&gt;"",H1705,F1705))</f>
        <v/>
      </c>
      <c r="K1705" s="26" t="str">
        <f aca="false">IF(A1705="","",DATE(YEAR(A1705),MONTH(A1705),1))</f>
        <v/>
      </c>
      <c r="L1705" s="21" t="str">
        <f aca="false">IF(J1705="",IF(B1705="","",IF(N(C1705)&gt;=0,"Income","Expense")),IFERROR(INDEX(Lists!$B$2:$B$30,MATCH(J1705,Lists!$A$2:$A$30,0)),""))</f>
        <v/>
      </c>
      <c r="M1705" s="24"/>
      <c r="N1705" s="27" t="str">
        <f aca="false">IF(B1705="","",IFERROR(1000-SUMPRODUCT(MAX(ISNUMBER(SEARCH(Rules!$A$5:$A$204,B1705))*(Rules!$A$5:$A$204&lt;&gt;"")*(1000-ROW(Rules!$A$5:$A$204)))),""))</f>
        <v/>
      </c>
    </row>
    <row r="1706" customFormat="false" ht="15" hidden="false" customHeight="false" outlineLevel="0" collapsed="false">
      <c r="A1706" s="23"/>
      <c r="B1706" s="24"/>
      <c r="C1706" s="25"/>
      <c r="D1706" s="24"/>
      <c r="E1706" s="21" t="str">
        <f aca="false">IF(OR(B1706="",N(N1706)=0,N1706=1000),IF(B1706="","","Check"),INDEX(Rules!$B:$B,N1706))</f>
        <v/>
      </c>
      <c r="F1706" s="21" t="str">
        <f aca="false">IF(OR(B1706="",N(N1706)=0,N1706=1000),"",INDEX(Rules!$C:$C,N1706))</f>
        <v/>
      </c>
      <c r="G1706" s="24"/>
      <c r="H1706" s="24"/>
      <c r="I1706" s="20" t="str">
        <f aca="false">IF(B1706="","",IF(G1706&lt;&gt;"",G1706,E1706))</f>
        <v/>
      </c>
      <c r="J1706" s="21" t="str">
        <f aca="false">IF(B1706="","",IF(H1706&lt;&gt;"",H1706,F1706))</f>
        <v/>
      </c>
      <c r="K1706" s="26" t="str">
        <f aca="false">IF(A1706="","",DATE(YEAR(A1706),MONTH(A1706),1))</f>
        <v/>
      </c>
      <c r="L1706" s="21" t="str">
        <f aca="false">IF(J1706="",IF(B1706="","",IF(N(C1706)&gt;=0,"Income","Expense")),IFERROR(INDEX(Lists!$B$2:$B$30,MATCH(J1706,Lists!$A$2:$A$30,0)),""))</f>
        <v/>
      </c>
      <c r="M1706" s="24"/>
      <c r="N1706" s="27" t="str">
        <f aca="false">IF(B1706="","",IFERROR(1000-SUMPRODUCT(MAX(ISNUMBER(SEARCH(Rules!$A$5:$A$204,B1706))*(Rules!$A$5:$A$204&lt;&gt;"")*(1000-ROW(Rules!$A$5:$A$204)))),""))</f>
        <v/>
      </c>
    </row>
    <row r="1707" customFormat="false" ht="15" hidden="false" customHeight="false" outlineLevel="0" collapsed="false">
      <c r="A1707" s="23"/>
      <c r="B1707" s="24"/>
      <c r="C1707" s="25"/>
      <c r="D1707" s="24"/>
      <c r="E1707" s="21" t="str">
        <f aca="false">IF(OR(B1707="",N(N1707)=0,N1707=1000),IF(B1707="","","Check"),INDEX(Rules!$B:$B,N1707))</f>
        <v/>
      </c>
      <c r="F1707" s="21" t="str">
        <f aca="false">IF(OR(B1707="",N(N1707)=0,N1707=1000),"",INDEX(Rules!$C:$C,N1707))</f>
        <v/>
      </c>
      <c r="G1707" s="24"/>
      <c r="H1707" s="24"/>
      <c r="I1707" s="20" t="str">
        <f aca="false">IF(B1707="","",IF(G1707&lt;&gt;"",G1707,E1707))</f>
        <v/>
      </c>
      <c r="J1707" s="21" t="str">
        <f aca="false">IF(B1707="","",IF(H1707&lt;&gt;"",H1707,F1707))</f>
        <v/>
      </c>
      <c r="K1707" s="26" t="str">
        <f aca="false">IF(A1707="","",DATE(YEAR(A1707),MONTH(A1707),1))</f>
        <v/>
      </c>
      <c r="L1707" s="21" t="str">
        <f aca="false">IF(J1707="",IF(B1707="","",IF(N(C1707)&gt;=0,"Income","Expense")),IFERROR(INDEX(Lists!$B$2:$B$30,MATCH(J1707,Lists!$A$2:$A$30,0)),""))</f>
        <v/>
      </c>
      <c r="M1707" s="24"/>
      <c r="N1707" s="27" t="str">
        <f aca="false">IF(B1707="","",IFERROR(1000-SUMPRODUCT(MAX(ISNUMBER(SEARCH(Rules!$A$5:$A$204,B1707))*(Rules!$A$5:$A$204&lt;&gt;"")*(1000-ROW(Rules!$A$5:$A$204)))),""))</f>
        <v/>
      </c>
    </row>
    <row r="1708" customFormat="false" ht="15" hidden="false" customHeight="false" outlineLevel="0" collapsed="false">
      <c r="A1708" s="23"/>
      <c r="B1708" s="24"/>
      <c r="C1708" s="25"/>
      <c r="D1708" s="24"/>
      <c r="E1708" s="21" t="str">
        <f aca="false">IF(OR(B1708="",N(N1708)=0,N1708=1000),IF(B1708="","","Check"),INDEX(Rules!$B:$B,N1708))</f>
        <v/>
      </c>
      <c r="F1708" s="21" t="str">
        <f aca="false">IF(OR(B1708="",N(N1708)=0,N1708=1000),"",INDEX(Rules!$C:$C,N1708))</f>
        <v/>
      </c>
      <c r="G1708" s="24"/>
      <c r="H1708" s="24"/>
      <c r="I1708" s="20" t="str">
        <f aca="false">IF(B1708="","",IF(G1708&lt;&gt;"",G1708,E1708))</f>
        <v/>
      </c>
      <c r="J1708" s="21" t="str">
        <f aca="false">IF(B1708="","",IF(H1708&lt;&gt;"",H1708,F1708))</f>
        <v/>
      </c>
      <c r="K1708" s="26" t="str">
        <f aca="false">IF(A1708="","",DATE(YEAR(A1708),MONTH(A1708),1))</f>
        <v/>
      </c>
      <c r="L1708" s="21" t="str">
        <f aca="false">IF(J1708="",IF(B1708="","",IF(N(C1708)&gt;=0,"Income","Expense")),IFERROR(INDEX(Lists!$B$2:$B$30,MATCH(J1708,Lists!$A$2:$A$30,0)),""))</f>
        <v/>
      </c>
      <c r="M1708" s="24"/>
      <c r="N1708" s="27" t="str">
        <f aca="false">IF(B1708="","",IFERROR(1000-SUMPRODUCT(MAX(ISNUMBER(SEARCH(Rules!$A$5:$A$204,B1708))*(Rules!$A$5:$A$204&lt;&gt;"")*(1000-ROW(Rules!$A$5:$A$204)))),""))</f>
        <v/>
      </c>
    </row>
    <row r="1709" customFormat="false" ht="15" hidden="false" customHeight="false" outlineLevel="0" collapsed="false">
      <c r="A1709" s="23"/>
      <c r="B1709" s="24"/>
      <c r="C1709" s="25"/>
      <c r="D1709" s="24"/>
      <c r="E1709" s="21" t="str">
        <f aca="false">IF(OR(B1709="",N(N1709)=0,N1709=1000),IF(B1709="","","Check"),INDEX(Rules!$B:$B,N1709))</f>
        <v/>
      </c>
      <c r="F1709" s="21" t="str">
        <f aca="false">IF(OR(B1709="",N(N1709)=0,N1709=1000),"",INDEX(Rules!$C:$C,N1709))</f>
        <v/>
      </c>
      <c r="G1709" s="24"/>
      <c r="H1709" s="24"/>
      <c r="I1709" s="20" t="str">
        <f aca="false">IF(B1709="","",IF(G1709&lt;&gt;"",G1709,E1709))</f>
        <v/>
      </c>
      <c r="J1709" s="21" t="str">
        <f aca="false">IF(B1709="","",IF(H1709&lt;&gt;"",H1709,F1709))</f>
        <v/>
      </c>
      <c r="K1709" s="26" t="str">
        <f aca="false">IF(A1709="","",DATE(YEAR(A1709),MONTH(A1709),1))</f>
        <v/>
      </c>
      <c r="L1709" s="21" t="str">
        <f aca="false">IF(J1709="",IF(B1709="","",IF(N(C1709)&gt;=0,"Income","Expense")),IFERROR(INDEX(Lists!$B$2:$B$30,MATCH(J1709,Lists!$A$2:$A$30,0)),""))</f>
        <v/>
      </c>
      <c r="M1709" s="24"/>
      <c r="N1709" s="27" t="str">
        <f aca="false">IF(B1709="","",IFERROR(1000-SUMPRODUCT(MAX(ISNUMBER(SEARCH(Rules!$A$5:$A$204,B1709))*(Rules!$A$5:$A$204&lt;&gt;"")*(1000-ROW(Rules!$A$5:$A$204)))),""))</f>
        <v/>
      </c>
    </row>
    <row r="1710" customFormat="false" ht="15" hidden="false" customHeight="false" outlineLevel="0" collapsed="false">
      <c r="A1710" s="23"/>
      <c r="B1710" s="24"/>
      <c r="C1710" s="25"/>
      <c r="D1710" s="24"/>
      <c r="E1710" s="21" t="str">
        <f aca="false">IF(OR(B1710="",N(N1710)=0,N1710=1000),IF(B1710="","","Check"),INDEX(Rules!$B:$B,N1710))</f>
        <v/>
      </c>
      <c r="F1710" s="21" t="str">
        <f aca="false">IF(OR(B1710="",N(N1710)=0,N1710=1000),"",INDEX(Rules!$C:$C,N1710))</f>
        <v/>
      </c>
      <c r="G1710" s="24"/>
      <c r="H1710" s="24"/>
      <c r="I1710" s="20" t="str">
        <f aca="false">IF(B1710="","",IF(G1710&lt;&gt;"",G1710,E1710))</f>
        <v/>
      </c>
      <c r="J1710" s="21" t="str">
        <f aca="false">IF(B1710="","",IF(H1710&lt;&gt;"",H1710,F1710))</f>
        <v/>
      </c>
      <c r="K1710" s="26" t="str">
        <f aca="false">IF(A1710="","",DATE(YEAR(A1710),MONTH(A1710),1))</f>
        <v/>
      </c>
      <c r="L1710" s="21" t="str">
        <f aca="false">IF(J1710="",IF(B1710="","",IF(N(C1710)&gt;=0,"Income","Expense")),IFERROR(INDEX(Lists!$B$2:$B$30,MATCH(J1710,Lists!$A$2:$A$30,0)),""))</f>
        <v/>
      </c>
      <c r="M1710" s="24"/>
      <c r="N1710" s="27" t="str">
        <f aca="false">IF(B1710="","",IFERROR(1000-SUMPRODUCT(MAX(ISNUMBER(SEARCH(Rules!$A$5:$A$204,B1710))*(Rules!$A$5:$A$204&lt;&gt;"")*(1000-ROW(Rules!$A$5:$A$204)))),""))</f>
        <v/>
      </c>
    </row>
    <row r="1711" customFormat="false" ht="15" hidden="false" customHeight="false" outlineLevel="0" collapsed="false">
      <c r="A1711" s="23"/>
      <c r="B1711" s="24"/>
      <c r="C1711" s="25"/>
      <c r="D1711" s="24"/>
      <c r="E1711" s="21" t="str">
        <f aca="false">IF(OR(B1711="",N(N1711)=0,N1711=1000),IF(B1711="","","Check"),INDEX(Rules!$B:$B,N1711))</f>
        <v/>
      </c>
      <c r="F1711" s="21" t="str">
        <f aca="false">IF(OR(B1711="",N(N1711)=0,N1711=1000),"",INDEX(Rules!$C:$C,N1711))</f>
        <v/>
      </c>
      <c r="G1711" s="24"/>
      <c r="H1711" s="24"/>
      <c r="I1711" s="20" t="str">
        <f aca="false">IF(B1711="","",IF(G1711&lt;&gt;"",G1711,E1711))</f>
        <v/>
      </c>
      <c r="J1711" s="21" t="str">
        <f aca="false">IF(B1711="","",IF(H1711&lt;&gt;"",H1711,F1711))</f>
        <v/>
      </c>
      <c r="K1711" s="26" t="str">
        <f aca="false">IF(A1711="","",DATE(YEAR(A1711),MONTH(A1711),1))</f>
        <v/>
      </c>
      <c r="L1711" s="21" t="str">
        <f aca="false">IF(J1711="",IF(B1711="","",IF(N(C1711)&gt;=0,"Income","Expense")),IFERROR(INDEX(Lists!$B$2:$B$30,MATCH(J1711,Lists!$A$2:$A$30,0)),""))</f>
        <v/>
      </c>
      <c r="M1711" s="24"/>
      <c r="N1711" s="27" t="str">
        <f aca="false">IF(B1711="","",IFERROR(1000-SUMPRODUCT(MAX(ISNUMBER(SEARCH(Rules!$A$5:$A$204,B1711))*(Rules!$A$5:$A$204&lt;&gt;"")*(1000-ROW(Rules!$A$5:$A$204)))),""))</f>
        <v/>
      </c>
    </row>
    <row r="1712" customFormat="false" ht="15" hidden="false" customHeight="false" outlineLevel="0" collapsed="false">
      <c r="A1712" s="23"/>
      <c r="B1712" s="24"/>
      <c r="C1712" s="25"/>
      <c r="D1712" s="24"/>
      <c r="E1712" s="21" t="str">
        <f aca="false">IF(OR(B1712="",N(N1712)=0,N1712=1000),IF(B1712="","","Check"),INDEX(Rules!$B:$B,N1712))</f>
        <v/>
      </c>
      <c r="F1712" s="21" t="str">
        <f aca="false">IF(OR(B1712="",N(N1712)=0,N1712=1000),"",INDEX(Rules!$C:$C,N1712))</f>
        <v/>
      </c>
      <c r="G1712" s="24"/>
      <c r="H1712" s="24"/>
      <c r="I1712" s="20" t="str">
        <f aca="false">IF(B1712="","",IF(G1712&lt;&gt;"",G1712,E1712))</f>
        <v/>
      </c>
      <c r="J1712" s="21" t="str">
        <f aca="false">IF(B1712="","",IF(H1712&lt;&gt;"",H1712,F1712))</f>
        <v/>
      </c>
      <c r="K1712" s="26" t="str">
        <f aca="false">IF(A1712="","",DATE(YEAR(A1712),MONTH(A1712),1))</f>
        <v/>
      </c>
      <c r="L1712" s="21" t="str">
        <f aca="false">IF(J1712="",IF(B1712="","",IF(N(C1712)&gt;=0,"Income","Expense")),IFERROR(INDEX(Lists!$B$2:$B$30,MATCH(J1712,Lists!$A$2:$A$30,0)),""))</f>
        <v/>
      </c>
      <c r="M1712" s="24"/>
      <c r="N1712" s="27" t="str">
        <f aca="false">IF(B1712="","",IFERROR(1000-SUMPRODUCT(MAX(ISNUMBER(SEARCH(Rules!$A$5:$A$204,B1712))*(Rules!$A$5:$A$204&lt;&gt;"")*(1000-ROW(Rules!$A$5:$A$204)))),""))</f>
        <v/>
      </c>
    </row>
    <row r="1713" customFormat="false" ht="15" hidden="false" customHeight="false" outlineLevel="0" collapsed="false">
      <c r="A1713" s="23"/>
      <c r="B1713" s="24"/>
      <c r="C1713" s="25"/>
      <c r="D1713" s="24"/>
      <c r="E1713" s="21" t="str">
        <f aca="false">IF(OR(B1713="",N(N1713)=0,N1713=1000),IF(B1713="","","Check"),INDEX(Rules!$B:$B,N1713))</f>
        <v/>
      </c>
      <c r="F1713" s="21" t="str">
        <f aca="false">IF(OR(B1713="",N(N1713)=0,N1713=1000),"",INDEX(Rules!$C:$C,N1713))</f>
        <v/>
      </c>
      <c r="G1713" s="24"/>
      <c r="H1713" s="24"/>
      <c r="I1713" s="20" t="str">
        <f aca="false">IF(B1713="","",IF(G1713&lt;&gt;"",G1713,E1713))</f>
        <v/>
      </c>
      <c r="J1713" s="21" t="str">
        <f aca="false">IF(B1713="","",IF(H1713&lt;&gt;"",H1713,F1713))</f>
        <v/>
      </c>
      <c r="K1713" s="26" t="str">
        <f aca="false">IF(A1713="","",DATE(YEAR(A1713),MONTH(A1713),1))</f>
        <v/>
      </c>
      <c r="L1713" s="21" t="str">
        <f aca="false">IF(J1713="",IF(B1713="","",IF(N(C1713)&gt;=0,"Income","Expense")),IFERROR(INDEX(Lists!$B$2:$B$30,MATCH(J1713,Lists!$A$2:$A$30,0)),""))</f>
        <v/>
      </c>
      <c r="M1713" s="24"/>
      <c r="N1713" s="27" t="str">
        <f aca="false">IF(B1713="","",IFERROR(1000-SUMPRODUCT(MAX(ISNUMBER(SEARCH(Rules!$A$5:$A$204,B1713))*(Rules!$A$5:$A$204&lt;&gt;"")*(1000-ROW(Rules!$A$5:$A$204)))),""))</f>
        <v/>
      </c>
    </row>
    <row r="1714" customFormat="false" ht="15" hidden="false" customHeight="false" outlineLevel="0" collapsed="false">
      <c r="A1714" s="23"/>
      <c r="B1714" s="24"/>
      <c r="C1714" s="25"/>
      <c r="D1714" s="24"/>
      <c r="E1714" s="21" t="str">
        <f aca="false">IF(OR(B1714="",N(N1714)=0,N1714=1000),IF(B1714="","","Check"),INDEX(Rules!$B:$B,N1714))</f>
        <v/>
      </c>
      <c r="F1714" s="21" t="str">
        <f aca="false">IF(OR(B1714="",N(N1714)=0,N1714=1000),"",INDEX(Rules!$C:$C,N1714))</f>
        <v/>
      </c>
      <c r="G1714" s="24"/>
      <c r="H1714" s="24"/>
      <c r="I1714" s="20" t="str">
        <f aca="false">IF(B1714="","",IF(G1714&lt;&gt;"",G1714,E1714))</f>
        <v/>
      </c>
      <c r="J1714" s="21" t="str">
        <f aca="false">IF(B1714="","",IF(H1714&lt;&gt;"",H1714,F1714))</f>
        <v/>
      </c>
      <c r="K1714" s="26" t="str">
        <f aca="false">IF(A1714="","",DATE(YEAR(A1714),MONTH(A1714),1))</f>
        <v/>
      </c>
      <c r="L1714" s="21" t="str">
        <f aca="false">IF(J1714="",IF(B1714="","",IF(N(C1714)&gt;=0,"Income","Expense")),IFERROR(INDEX(Lists!$B$2:$B$30,MATCH(J1714,Lists!$A$2:$A$30,0)),""))</f>
        <v/>
      </c>
      <c r="M1714" s="24"/>
      <c r="N1714" s="27" t="str">
        <f aca="false">IF(B1714="","",IFERROR(1000-SUMPRODUCT(MAX(ISNUMBER(SEARCH(Rules!$A$5:$A$204,B1714))*(Rules!$A$5:$A$204&lt;&gt;"")*(1000-ROW(Rules!$A$5:$A$204)))),""))</f>
        <v/>
      </c>
    </row>
    <row r="1715" customFormat="false" ht="15" hidden="false" customHeight="false" outlineLevel="0" collapsed="false">
      <c r="A1715" s="23"/>
      <c r="B1715" s="24"/>
      <c r="C1715" s="25"/>
      <c r="D1715" s="24"/>
      <c r="E1715" s="21" t="str">
        <f aca="false">IF(OR(B1715="",N(N1715)=0,N1715=1000),IF(B1715="","","Check"),INDEX(Rules!$B:$B,N1715))</f>
        <v/>
      </c>
      <c r="F1715" s="21" t="str">
        <f aca="false">IF(OR(B1715="",N(N1715)=0,N1715=1000),"",INDEX(Rules!$C:$C,N1715))</f>
        <v/>
      </c>
      <c r="G1715" s="24"/>
      <c r="H1715" s="24"/>
      <c r="I1715" s="20" t="str">
        <f aca="false">IF(B1715="","",IF(G1715&lt;&gt;"",G1715,E1715))</f>
        <v/>
      </c>
      <c r="J1715" s="21" t="str">
        <f aca="false">IF(B1715="","",IF(H1715&lt;&gt;"",H1715,F1715))</f>
        <v/>
      </c>
      <c r="K1715" s="26" t="str">
        <f aca="false">IF(A1715="","",DATE(YEAR(A1715),MONTH(A1715),1))</f>
        <v/>
      </c>
      <c r="L1715" s="21" t="str">
        <f aca="false">IF(J1715="",IF(B1715="","",IF(N(C1715)&gt;=0,"Income","Expense")),IFERROR(INDEX(Lists!$B$2:$B$30,MATCH(J1715,Lists!$A$2:$A$30,0)),""))</f>
        <v/>
      </c>
      <c r="M1715" s="24"/>
      <c r="N1715" s="27" t="str">
        <f aca="false">IF(B1715="","",IFERROR(1000-SUMPRODUCT(MAX(ISNUMBER(SEARCH(Rules!$A$5:$A$204,B1715))*(Rules!$A$5:$A$204&lt;&gt;"")*(1000-ROW(Rules!$A$5:$A$204)))),""))</f>
        <v/>
      </c>
    </row>
    <row r="1716" customFormat="false" ht="15" hidden="false" customHeight="false" outlineLevel="0" collapsed="false">
      <c r="A1716" s="23"/>
      <c r="B1716" s="24"/>
      <c r="C1716" s="25"/>
      <c r="D1716" s="24"/>
      <c r="E1716" s="21" t="str">
        <f aca="false">IF(OR(B1716="",N(N1716)=0,N1716=1000),IF(B1716="","","Check"),INDEX(Rules!$B:$B,N1716))</f>
        <v/>
      </c>
      <c r="F1716" s="21" t="str">
        <f aca="false">IF(OR(B1716="",N(N1716)=0,N1716=1000),"",INDEX(Rules!$C:$C,N1716))</f>
        <v/>
      </c>
      <c r="G1716" s="24"/>
      <c r="H1716" s="24"/>
      <c r="I1716" s="20" t="str">
        <f aca="false">IF(B1716="","",IF(G1716&lt;&gt;"",G1716,E1716))</f>
        <v/>
      </c>
      <c r="J1716" s="21" t="str">
        <f aca="false">IF(B1716="","",IF(H1716&lt;&gt;"",H1716,F1716))</f>
        <v/>
      </c>
      <c r="K1716" s="26" t="str">
        <f aca="false">IF(A1716="","",DATE(YEAR(A1716),MONTH(A1716),1))</f>
        <v/>
      </c>
      <c r="L1716" s="21" t="str">
        <f aca="false">IF(J1716="",IF(B1716="","",IF(N(C1716)&gt;=0,"Income","Expense")),IFERROR(INDEX(Lists!$B$2:$B$30,MATCH(J1716,Lists!$A$2:$A$30,0)),""))</f>
        <v/>
      </c>
      <c r="M1716" s="24"/>
      <c r="N1716" s="27" t="str">
        <f aca="false">IF(B1716="","",IFERROR(1000-SUMPRODUCT(MAX(ISNUMBER(SEARCH(Rules!$A$5:$A$204,B1716))*(Rules!$A$5:$A$204&lt;&gt;"")*(1000-ROW(Rules!$A$5:$A$204)))),""))</f>
        <v/>
      </c>
    </row>
    <row r="1717" customFormat="false" ht="15" hidden="false" customHeight="false" outlineLevel="0" collapsed="false">
      <c r="A1717" s="23"/>
      <c r="B1717" s="24"/>
      <c r="C1717" s="25"/>
      <c r="D1717" s="24"/>
      <c r="E1717" s="21" t="str">
        <f aca="false">IF(OR(B1717="",N(N1717)=0,N1717=1000),IF(B1717="","","Check"),INDEX(Rules!$B:$B,N1717))</f>
        <v/>
      </c>
      <c r="F1717" s="21" t="str">
        <f aca="false">IF(OR(B1717="",N(N1717)=0,N1717=1000),"",INDEX(Rules!$C:$C,N1717))</f>
        <v/>
      </c>
      <c r="G1717" s="24"/>
      <c r="H1717" s="24"/>
      <c r="I1717" s="20" t="str">
        <f aca="false">IF(B1717="","",IF(G1717&lt;&gt;"",G1717,E1717))</f>
        <v/>
      </c>
      <c r="J1717" s="21" t="str">
        <f aca="false">IF(B1717="","",IF(H1717&lt;&gt;"",H1717,F1717))</f>
        <v/>
      </c>
      <c r="K1717" s="26" t="str">
        <f aca="false">IF(A1717="","",DATE(YEAR(A1717),MONTH(A1717),1))</f>
        <v/>
      </c>
      <c r="L1717" s="21" t="str">
        <f aca="false">IF(J1717="",IF(B1717="","",IF(N(C1717)&gt;=0,"Income","Expense")),IFERROR(INDEX(Lists!$B$2:$B$30,MATCH(J1717,Lists!$A$2:$A$30,0)),""))</f>
        <v/>
      </c>
      <c r="M1717" s="24"/>
      <c r="N1717" s="27" t="str">
        <f aca="false">IF(B1717="","",IFERROR(1000-SUMPRODUCT(MAX(ISNUMBER(SEARCH(Rules!$A$5:$A$204,B1717))*(Rules!$A$5:$A$204&lt;&gt;"")*(1000-ROW(Rules!$A$5:$A$204)))),""))</f>
        <v/>
      </c>
    </row>
    <row r="1718" customFormat="false" ht="15" hidden="false" customHeight="false" outlineLevel="0" collapsed="false">
      <c r="A1718" s="23"/>
      <c r="B1718" s="24"/>
      <c r="C1718" s="25"/>
      <c r="D1718" s="24"/>
      <c r="E1718" s="21" t="str">
        <f aca="false">IF(OR(B1718="",N(N1718)=0,N1718=1000),IF(B1718="","","Check"),INDEX(Rules!$B:$B,N1718))</f>
        <v/>
      </c>
      <c r="F1718" s="21" t="str">
        <f aca="false">IF(OR(B1718="",N(N1718)=0,N1718=1000),"",INDEX(Rules!$C:$C,N1718))</f>
        <v/>
      </c>
      <c r="G1718" s="24"/>
      <c r="H1718" s="24"/>
      <c r="I1718" s="20" t="str">
        <f aca="false">IF(B1718="","",IF(G1718&lt;&gt;"",G1718,E1718))</f>
        <v/>
      </c>
      <c r="J1718" s="21" t="str">
        <f aca="false">IF(B1718="","",IF(H1718&lt;&gt;"",H1718,F1718))</f>
        <v/>
      </c>
      <c r="K1718" s="26" t="str">
        <f aca="false">IF(A1718="","",DATE(YEAR(A1718),MONTH(A1718),1))</f>
        <v/>
      </c>
      <c r="L1718" s="21" t="str">
        <f aca="false">IF(J1718="",IF(B1718="","",IF(N(C1718)&gt;=0,"Income","Expense")),IFERROR(INDEX(Lists!$B$2:$B$30,MATCH(J1718,Lists!$A$2:$A$30,0)),""))</f>
        <v/>
      </c>
      <c r="M1718" s="24"/>
      <c r="N1718" s="27" t="str">
        <f aca="false">IF(B1718="","",IFERROR(1000-SUMPRODUCT(MAX(ISNUMBER(SEARCH(Rules!$A$5:$A$204,B1718))*(Rules!$A$5:$A$204&lt;&gt;"")*(1000-ROW(Rules!$A$5:$A$204)))),""))</f>
        <v/>
      </c>
    </row>
    <row r="1719" customFormat="false" ht="15" hidden="false" customHeight="false" outlineLevel="0" collapsed="false">
      <c r="A1719" s="23"/>
      <c r="B1719" s="24"/>
      <c r="C1719" s="25"/>
      <c r="D1719" s="24"/>
      <c r="E1719" s="21" t="str">
        <f aca="false">IF(OR(B1719="",N(N1719)=0,N1719=1000),IF(B1719="","","Check"),INDEX(Rules!$B:$B,N1719))</f>
        <v/>
      </c>
      <c r="F1719" s="21" t="str">
        <f aca="false">IF(OR(B1719="",N(N1719)=0,N1719=1000),"",INDEX(Rules!$C:$C,N1719))</f>
        <v/>
      </c>
      <c r="G1719" s="24"/>
      <c r="H1719" s="24"/>
      <c r="I1719" s="20" t="str">
        <f aca="false">IF(B1719="","",IF(G1719&lt;&gt;"",G1719,E1719))</f>
        <v/>
      </c>
      <c r="J1719" s="21" t="str">
        <f aca="false">IF(B1719="","",IF(H1719&lt;&gt;"",H1719,F1719))</f>
        <v/>
      </c>
      <c r="K1719" s="26" t="str">
        <f aca="false">IF(A1719="","",DATE(YEAR(A1719),MONTH(A1719),1))</f>
        <v/>
      </c>
      <c r="L1719" s="21" t="str">
        <f aca="false">IF(J1719="",IF(B1719="","",IF(N(C1719)&gt;=0,"Income","Expense")),IFERROR(INDEX(Lists!$B$2:$B$30,MATCH(J1719,Lists!$A$2:$A$30,0)),""))</f>
        <v/>
      </c>
      <c r="M1719" s="24"/>
      <c r="N1719" s="27" t="str">
        <f aca="false">IF(B1719="","",IFERROR(1000-SUMPRODUCT(MAX(ISNUMBER(SEARCH(Rules!$A$5:$A$204,B1719))*(Rules!$A$5:$A$204&lt;&gt;"")*(1000-ROW(Rules!$A$5:$A$204)))),""))</f>
        <v/>
      </c>
    </row>
    <row r="1720" customFormat="false" ht="15" hidden="false" customHeight="false" outlineLevel="0" collapsed="false">
      <c r="A1720" s="23"/>
      <c r="B1720" s="24"/>
      <c r="C1720" s="25"/>
      <c r="D1720" s="24"/>
      <c r="E1720" s="21" t="str">
        <f aca="false">IF(OR(B1720="",N(N1720)=0,N1720=1000),IF(B1720="","","Check"),INDEX(Rules!$B:$B,N1720))</f>
        <v/>
      </c>
      <c r="F1720" s="21" t="str">
        <f aca="false">IF(OR(B1720="",N(N1720)=0,N1720=1000),"",INDEX(Rules!$C:$C,N1720))</f>
        <v/>
      </c>
      <c r="G1720" s="24"/>
      <c r="H1720" s="24"/>
      <c r="I1720" s="20" t="str">
        <f aca="false">IF(B1720="","",IF(G1720&lt;&gt;"",G1720,E1720))</f>
        <v/>
      </c>
      <c r="J1720" s="21" t="str">
        <f aca="false">IF(B1720="","",IF(H1720&lt;&gt;"",H1720,F1720))</f>
        <v/>
      </c>
      <c r="K1720" s="26" t="str">
        <f aca="false">IF(A1720="","",DATE(YEAR(A1720),MONTH(A1720),1))</f>
        <v/>
      </c>
      <c r="L1720" s="21" t="str">
        <f aca="false">IF(J1720="",IF(B1720="","",IF(N(C1720)&gt;=0,"Income","Expense")),IFERROR(INDEX(Lists!$B$2:$B$30,MATCH(J1720,Lists!$A$2:$A$30,0)),""))</f>
        <v/>
      </c>
      <c r="M1720" s="24"/>
      <c r="N1720" s="27" t="str">
        <f aca="false">IF(B1720="","",IFERROR(1000-SUMPRODUCT(MAX(ISNUMBER(SEARCH(Rules!$A$5:$A$204,B1720))*(Rules!$A$5:$A$204&lt;&gt;"")*(1000-ROW(Rules!$A$5:$A$204)))),""))</f>
        <v/>
      </c>
    </row>
    <row r="1721" customFormat="false" ht="15" hidden="false" customHeight="false" outlineLevel="0" collapsed="false">
      <c r="A1721" s="23"/>
      <c r="B1721" s="24"/>
      <c r="C1721" s="25"/>
      <c r="D1721" s="24"/>
      <c r="E1721" s="21" t="str">
        <f aca="false">IF(OR(B1721="",N(N1721)=0,N1721=1000),IF(B1721="","","Check"),INDEX(Rules!$B:$B,N1721))</f>
        <v/>
      </c>
      <c r="F1721" s="21" t="str">
        <f aca="false">IF(OR(B1721="",N(N1721)=0,N1721=1000),"",INDEX(Rules!$C:$C,N1721))</f>
        <v/>
      </c>
      <c r="G1721" s="24"/>
      <c r="H1721" s="24"/>
      <c r="I1721" s="20" t="str">
        <f aca="false">IF(B1721="","",IF(G1721&lt;&gt;"",G1721,E1721))</f>
        <v/>
      </c>
      <c r="J1721" s="21" t="str">
        <f aca="false">IF(B1721="","",IF(H1721&lt;&gt;"",H1721,F1721))</f>
        <v/>
      </c>
      <c r="K1721" s="26" t="str">
        <f aca="false">IF(A1721="","",DATE(YEAR(A1721),MONTH(A1721),1))</f>
        <v/>
      </c>
      <c r="L1721" s="21" t="str">
        <f aca="false">IF(J1721="",IF(B1721="","",IF(N(C1721)&gt;=0,"Income","Expense")),IFERROR(INDEX(Lists!$B$2:$B$30,MATCH(J1721,Lists!$A$2:$A$30,0)),""))</f>
        <v/>
      </c>
      <c r="M1721" s="24"/>
      <c r="N1721" s="27" t="str">
        <f aca="false">IF(B1721="","",IFERROR(1000-SUMPRODUCT(MAX(ISNUMBER(SEARCH(Rules!$A$5:$A$204,B1721))*(Rules!$A$5:$A$204&lt;&gt;"")*(1000-ROW(Rules!$A$5:$A$204)))),""))</f>
        <v/>
      </c>
    </row>
    <row r="1722" customFormat="false" ht="15" hidden="false" customHeight="false" outlineLevel="0" collapsed="false">
      <c r="A1722" s="23"/>
      <c r="B1722" s="24"/>
      <c r="C1722" s="25"/>
      <c r="D1722" s="24"/>
      <c r="E1722" s="21" t="str">
        <f aca="false">IF(OR(B1722="",N(N1722)=0,N1722=1000),IF(B1722="","","Check"),INDEX(Rules!$B:$B,N1722))</f>
        <v/>
      </c>
      <c r="F1722" s="21" t="str">
        <f aca="false">IF(OR(B1722="",N(N1722)=0,N1722=1000),"",INDEX(Rules!$C:$C,N1722))</f>
        <v/>
      </c>
      <c r="G1722" s="24"/>
      <c r="H1722" s="24"/>
      <c r="I1722" s="20" t="str">
        <f aca="false">IF(B1722="","",IF(G1722&lt;&gt;"",G1722,E1722))</f>
        <v/>
      </c>
      <c r="J1722" s="21" t="str">
        <f aca="false">IF(B1722="","",IF(H1722&lt;&gt;"",H1722,F1722))</f>
        <v/>
      </c>
      <c r="K1722" s="26" t="str">
        <f aca="false">IF(A1722="","",DATE(YEAR(A1722),MONTH(A1722),1))</f>
        <v/>
      </c>
      <c r="L1722" s="21" t="str">
        <f aca="false">IF(J1722="",IF(B1722="","",IF(N(C1722)&gt;=0,"Income","Expense")),IFERROR(INDEX(Lists!$B$2:$B$30,MATCH(J1722,Lists!$A$2:$A$30,0)),""))</f>
        <v/>
      </c>
      <c r="M1722" s="24"/>
      <c r="N1722" s="27" t="str">
        <f aca="false">IF(B1722="","",IFERROR(1000-SUMPRODUCT(MAX(ISNUMBER(SEARCH(Rules!$A$5:$A$204,B1722))*(Rules!$A$5:$A$204&lt;&gt;"")*(1000-ROW(Rules!$A$5:$A$204)))),""))</f>
        <v/>
      </c>
    </row>
    <row r="1723" customFormat="false" ht="15" hidden="false" customHeight="false" outlineLevel="0" collapsed="false">
      <c r="A1723" s="23"/>
      <c r="B1723" s="24"/>
      <c r="C1723" s="25"/>
      <c r="D1723" s="24"/>
      <c r="E1723" s="21" t="str">
        <f aca="false">IF(OR(B1723="",N(N1723)=0,N1723=1000),IF(B1723="","","Check"),INDEX(Rules!$B:$B,N1723))</f>
        <v/>
      </c>
      <c r="F1723" s="21" t="str">
        <f aca="false">IF(OR(B1723="",N(N1723)=0,N1723=1000),"",INDEX(Rules!$C:$C,N1723))</f>
        <v/>
      </c>
      <c r="G1723" s="24"/>
      <c r="H1723" s="24"/>
      <c r="I1723" s="20" t="str">
        <f aca="false">IF(B1723="","",IF(G1723&lt;&gt;"",G1723,E1723))</f>
        <v/>
      </c>
      <c r="J1723" s="21" t="str">
        <f aca="false">IF(B1723="","",IF(H1723&lt;&gt;"",H1723,F1723))</f>
        <v/>
      </c>
      <c r="K1723" s="26" t="str">
        <f aca="false">IF(A1723="","",DATE(YEAR(A1723),MONTH(A1723),1))</f>
        <v/>
      </c>
      <c r="L1723" s="21" t="str">
        <f aca="false">IF(J1723="",IF(B1723="","",IF(N(C1723)&gt;=0,"Income","Expense")),IFERROR(INDEX(Lists!$B$2:$B$30,MATCH(J1723,Lists!$A$2:$A$30,0)),""))</f>
        <v/>
      </c>
      <c r="M1723" s="24"/>
      <c r="N1723" s="27" t="str">
        <f aca="false">IF(B1723="","",IFERROR(1000-SUMPRODUCT(MAX(ISNUMBER(SEARCH(Rules!$A$5:$A$204,B1723))*(Rules!$A$5:$A$204&lt;&gt;"")*(1000-ROW(Rules!$A$5:$A$204)))),""))</f>
        <v/>
      </c>
    </row>
    <row r="1724" customFormat="false" ht="15" hidden="false" customHeight="false" outlineLevel="0" collapsed="false">
      <c r="A1724" s="23"/>
      <c r="B1724" s="24"/>
      <c r="C1724" s="25"/>
      <c r="D1724" s="24"/>
      <c r="E1724" s="21" t="str">
        <f aca="false">IF(OR(B1724="",N(N1724)=0,N1724=1000),IF(B1724="","","Check"),INDEX(Rules!$B:$B,N1724))</f>
        <v/>
      </c>
      <c r="F1724" s="21" t="str">
        <f aca="false">IF(OR(B1724="",N(N1724)=0,N1724=1000),"",INDEX(Rules!$C:$C,N1724))</f>
        <v/>
      </c>
      <c r="G1724" s="24"/>
      <c r="H1724" s="24"/>
      <c r="I1724" s="20" t="str">
        <f aca="false">IF(B1724="","",IF(G1724&lt;&gt;"",G1724,E1724))</f>
        <v/>
      </c>
      <c r="J1724" s="21" t="str">
        <f aca="false">IF(B1724="","",IF(H1724&lt;&gt;"",H1724,F1724))</f>
        <v/>
      </c>
      <c r="K1724" s="26" t="str">
        <f aca="false">IF(A1724="","",DATE(YEAR(A1724),MONTH(A1724),1))</f>
        <v/>
      </c>
      <c r="L1724" s="21" t="str">
        <f aca="false">IF(J1724="",IF(B1724="","",IF(N(C1724)&gt;=0,"Income","Expense")),IFERROR(INDEX(Lists!$B$2:$B$30,MATCH(J1724,Lists!$A$2:$A$30,0)),""))</f>
        <v/>
      </c>
      <c r="M1724" s="24"/>
      <c r="N1724" s="27" t="str">
        <f aca="false">IF(B1724="","",IFERROR(1000-SUMPRODUCT(MAX(ISNUMBER(SEARCH(Rules!$A$5:$A$204,B1724))*(Rules!$A$5:$A$204&lt;&gt;"")*(1000-ROW(Rules!$A$5:$A$204)))),""))</f>
        <v/>
      </c>
    </row>
    <row r="1725" customFormat="false" ht="15" hidden="false" customHeight="false" outlineLevel="0" collapsed="false">
      <c r="A1725" s="23"/>
      <c r="B1725" s="24"/>
      <c r="C1725" s="25"/>
      <c r="D1725" s="24"/>
      <c r="E1725" s="21" t="str">
        <f aca="false">IF(OR(B1725="",N(N1725)=0,N1725=1000),IF(B1725="","","Check"),INDEX(Rules!$B:$B,N1725))</f>
        <v/>
      </c>
      <c r="F1725" s="21" t="str">
        <f aca="false">IF(OR(B1725="",N(N1725)=0,N1725=1000),"",INDEX(Rules!$C:$C,N1725))</f>
        <v/>
      </c>
      <c r="G1725" s="24"/>
      <c r="H1725" s="24"/>
      <c r="I1725" s="20" t="str">
        <f aca="false">IF(B1725="","",IF(G1725&lt;&gt;"",G1725,E1725))</f>
        <v/>
      </c>
      <c r="J1725" s="21" t="str">
        <f aca="false">IF(B1725="","",IF(H1725&lt;&gt;"",H1725,F1725))</f>
        <v/>
      </c>
      <c r="K1725" s="26" t="str">
        <f aca="false">IF(A1725="","",DATE(YEAR(A1725),MONTH(A1725),1))</f>
        <v/>
      </c>
      <c r="L1725" s="21" t="str">
        <f aca="false">IF(J1725="",IF(B1725="","",IF(N(C1725)&gt;=0,"Income","Expense")),IFERROR(INDEX(Lists!$B$2:$B$30,MATCH(J1725,Lists!$A$2:$A$30,0)),""))</f>
        <v/>
      </c>
      <c r="M1725" s="24"/>
      <c r="N1725" s="27" t="str">
        <f aca="false">IF(B1725="","",IFERROR(1000-SUMPRODUCT(MAX(ISNUMBER(SEARCH(Rules!$A$5:$A$204,B1725))*(Rules!$A$5:$A$204&lt;&gt;"")*(1000-ROW(Rules!$A$5:$A$204)))),""))</f>
        <v/>
      </c>
    </row>
    <row r="1726" customFormat="false" ht="15" hidden="false" customHeight="false" outlineLevel="0" collapsed="false">
      <c r="A1726" s="23"/>
      <c r="B1726" s="24"/>
      <c r="C1726" s="25"/>
      <c r="D1726" s="24"/>
      <c r="E1726" s="21" t="str">
        <f aca="false">IF(OR(B1726="",N(N1726)=0,N1726=1000),IF(B1726="","","Check"),INDEX(Rules!$B:$B,N1726))</f>
        <v/>
      </c>
      <c r="F1726" s="21" t="str">
        <f aca="false">IF(OR(B1726="",N(N1726)=0,N1726=1000),"",INDEX(Rules!$C:$C,N1726))</f>
        <v/>
      </c>
      <c r="G1726" s="24"/>
      <c r="H1726" s="24"/>
      <c r="I1726" s="20" t="str">
        <f aca="false">IF(B1726="","",IF(G1726&lt;&gt;"",G1726,E1726))</f>
        <v/>
      </c>
      <c r="J1726" s="21" t="str">
        <f aca="false">IF(B1726="","",IF(H1726&lt;&gt;"",H1726,F1726))</f>
        <v/>
      </c>
      <c r="K1726" s="26" t="str">
        <f aca="false">IF(A1726="","",DATE(YEAR(A1726),MONTH(A1726),1))</f>
        <v/>
      </c>
      <c r="L1726" s="21" t="str">
        <f aca="false">IF(J1726="",IF(B1726="","",IF(N(C1726)&gt;=0,"Income","Expense")),IFERROR(INDEX(Lists!$B$2:$B$30,MATCH(J1726,Lists!$A$2:$A$30,0)),""))</f>
        <v/>
      </c>
      <c r="M1726" s="24"/>
      <c r="N1726" s="27" t="str">
        <f aca="false">IF(B1726="","",IFERROR(1000-SUMPRODUCT(MAX(ISNUMBER(SEARCH(Rules!$A$5:$A$204,B1726))*(Rules!$A$5:$A$204&lt;&gt;"")*(1000-ROW(Rules!$A$5:$A$204)))),""))</f>
        <v/>
      </c>
    </row>
    <row r="1727" customFormat="false" ht="15" hidden="false" customHeight="false" outlineLevel="0" collapsed="false">
      <c r="A1727" s="23"/>
      <c r="B1727" s="24"/>
      <c r="C1727" s="25"/>
      <c r="D1727" s="24"/>
      <c r="E1727" s="21" t="str">
        <f aca="false">IF(OR(B1727="",N(N1727)=0,N1727=1000),IF(B1727="","","Check"),INDEX(Rules!$B:$B,N1727))</f>
        <v/>
      </c>
      <c r="F1727" s="21" t="str">
        <f aca="false">IF(OR(B1727="",N(N1727)=0,N1727=1000),"",INDEX(Rules!$C:$C,N1727))</f>
        <v/>
      </c>
      <c r="G1727" s="24"/>
      <c r="H1727" s="24"/>
      <c r="I1727" s="20" t="str">
        <f aca="false">IF(B1727="","",IF(G1727&lt;&gt;"",G1727,E1727))</f>
        <v/>
      </c>
      <c r="J1727" s="21" t="str">
        <f aca="false">IF(B1727="","",IF(H1727&lt;&gt;"",H1727,F1727))</f>
        <v/>
      </c>
      <c r="K1727" s="26" t="str">
        <f aca="false">IF(A1727="","",DATE(YEAR(A1727),MONTH(A1727),1))</f>
        <v/>
      </c>
      <c r="L1727" s="21" t="str">
        <f aca="false">IF(J1727="",IF(B1727="","",IF(N(C1727)&gt;=0,"Income","Expense")),IFERROR(INDEX(Lists!$B$2:$B$30,MATCH(J1727,Lists!$A$2:$A$30,0)),""))</f>
        <v/>
      </c>
      <c r="M1727" s="24"/>
      <c r="N1727" s="27" t="str">
        <f aca="false">IF(B1727="","",IFERROR(1000-SUMPRODUCT(MAX(ISNUMBER(SEARCH(Rules!$A$5:$A$204,B1727))*(Rules!$A$5:$A$204&lt;&gt;"")*(1000-ROW(Rules!$A$5:$A$204)))),""))</f>
        <v/>
      </c>
    </row>
    <row r="1728" customFormat="false" ht="15" hidden="false" customHeight="false" outlineLevel="0" collapsed="false">
      <c r="A1728" s="23"/>
      <c r="B1728" s="24"/>
      <c r="C1728" s="25"/>
      <c r="D1728" s="24"/>
      <c r="E1728" s="21" t="str">
        <f aca="false">IF(OR(B1728="",N(N1728)=0,N1728=1000),IF(B1728="","","Check"),INDEX(Rules!$B:$B,N1728))</f>
        <v/>
      </c>
      <c r="F1728" s="21" t="str">
        <f aca="false">IF(OR(B1728="",N(N1728)=0,N1728=1000),"",INDEX(Rules!$C:$C,N1728))</f>
        <v/>
      </c>
      <c r="G1728" s="24"/>
      <c r="H1728" s="24"/>
      <c r="I1728" s="20" t="str">
        <f aca="false">IF(B1728="","",IF(G1728&lt;&gt;"",G1728,E1728))</f>
        <v/>
      </c>
      <c r="J1728" s="21" t="str">
        <f aca="false">IF(B1728="","",IF(H1728&lt;&gt;"",H1728,F1728))</f>
        <v/>
      </c>
      <c r="K1728" s="26" t="str">
        <f aca="false">IF(A1728="","",DATE(YEAR(A1728),MONTH(A1728),1))</f>
        <v/>
      </c>
      <c r="L1728" s="21" t="str">
        <f aca="false">IF(J1728="",IF(B1728="","",IF(N(C1728)&gt;=0,"Income","Expense")),IFERROR(INDEX(Lists!$B$2:$B$30,MATCH(J1728,Lists!$A$2:$A$30,0)),""))</f>
        <v/>
      </c>
      <c r="M1728" s="24"/>
      <c r="N1728" s="27" t="str">
        <f aca="false">IF(B1728="","",IFERROR(1000-SUMPRODUCT(MAX(ISNUMBER(SEARCH(Rules!$A$5:$A$204,B1728))*(Rules!$A$5:$A$204&lt;&gt;"")*(1000-ROW(Rules!$A$5:$A$204)))),""))</f>
        <v/>
      </c>
    </row>
    <row r="1729" customFormat="false" ht="15" hidden="false" customHeight="false" outlineLevel="0" collapsed="false">
      <c r="A1729" s="23"/>
      <c r="B1729" s="24"/>
      <c r="C1729" s="25"/>
      <c r="D1729" s="24"/>
      <c r="E1729" s="21" t="str">
        <f aca="false">IF(OR(B1729="",N(N1729)=0,N1729=1000),IF(B1729="","","Check"),INDEX(Rules!$B:$B,N1729))</f>
        <v/>
      </c>
      <c r="F1729" s="21" t="str">
        <f aca="false">IF(OR(B1729="",N(N1729)=0,N1729=1000),"",INDEX(Rules!$C:$C,N1729))</f>
        <v/>
      </c>
      <c r="G1729" s="24"/>
      <c r="H1729" s="24"/>
      <c r="I1729" s="20" t="str">
        <f aca="false">IF(B1729="","",IF(G1729&lt;&gt;"",G1729,E1729))</f>
        <v/>
      </c>
      <c r="J1729" s="21" t="str">
        <f aca="false">IF(B1729="","",IF(H1729&lt;&gt;"",H1729,F1729))</f>
        <v/>
      </c>
      <c r="K1729" s="26" t="str">
        <f aca="false">IF(A1729="","",DATE(YEAR(A1729),MONTH(A1729),1))</f>
        <v/>
      </c>
      <c r="L1729" s="21" t="str">
        <f aca="false">IF(J1729="",IF(B1729="","",IF(N(C1729)&gt;=0,"Income","Expense")),IFERROR(INDEX(Lists!$B$2:$B$30,MATCH(J1729,Lists!$A$2:$A$30,0)),""))</f>
        <v/>
      </c>
      <c r="M1729" s="24"/>
      <c r="N1729" s="27" t="str">
        <f aca="false">IF(B1729="","",IFERROR(1000-SUMPRODUCT(MAX(ISNUMBER(SEARCH(Rules!$A$5:$A$204,B1729))*(Rules!$A$5:$A$204&lt;&gt;"")*(1000-ROW(Rules!$A$5:$A$204)))),""))</f>
        <v/>
      </c>
    </row>
    <row r="1730" customFormat="false" ht="15" hidden="false" customHeight="false" outlineLevel="0" collapsed="false">
      <c r="A1730" s="23"/>
      <c r="B1730" s="24"/>
      <c r="C1730" s="25"/>
      <c r="D1730" s="24"/>
      <c r="E1730" s="21" t="str">
        <f aca="false">IF(OR(B1730="",N(N1730)=0,N1730=1000),IF(B1730="","","Check"),INDEX(Rules!$B:$B,N1730))</f>
        <v/>
      </c>
      <c r="F1730" s="21" t="str">
        <f aca="false">IF(OR(B1730="",N(N1730)=0,N1730=1000),"",INDEX(Rules!$C:$C,N1730))</f>
        <v/>
      </c>
      <c r="G1730" s="24"/>
      <c r="H1730" s="24"/>
      <c r="I1730" s="20" t="str">
        <f aca="false">IF(B1730="","",IF(G1730&lt;&gt;"",G1730,E1730))</f>
        <v/>
      </c>
      <c r="J1730" s="21" t="str">
        <f aca="false">IF(B1730="","",IF(H1730&lt;&gt;"",H1730,F1730))</f>
        <v/>
      </c>
      <c r="K1730" s="26" t="str">
        <f aca="false">IF(A1730="","",DATE(YEAR(A1730),MONTH(A1730),1))</f>
        <v/>
      </c>
      <c r="L1730" s="21" t="str">
        <f aca="false">IF(J1730="",IF(B1730="","",IF(N(C1730)&gt;=0,"Income","Expense")),IFERROR(INDEX(Lists!$B$2:$B$30,MATCH(J1730,Lists!$A$2:$A$30,0)),""))</f>
        <v/>
      </c>
      <c r="M1730" s="24"/>
      <c r="N1730" s="27" t="str">
        <f aca="false">IF(B1730="","",IFERROR(1000-SUMPRODUCT(MAX(ISNUMBER(SEARCH(Rules!$A$5:$A$204,B1730))*(Rules!$A$5:$A$204&lt;&gt;"")*(1000-ROW(Rules!$A$5:$A$204)))),""))</f>
        <v/>
      </c>
    </row>
    <row r="1731" customFormat="false" ht="15" hidden="false" customHeight="false" outlineLevel="0" collapsed="false">
      <c r="A1731" s="23"/>
      <c r="B1731" s="24"/>
      <c r="C1731" s="25"/>
      <c r="D1731" s="24"/>
      <c r="E1731" s="21" t="str">
        <f aca="false">IF(OR(B1731="",N(N1731)=0,N1731=1000),IF(B1731="","","Check"),INDEX(Rules!$B:$B,N1731))</f>
        <v/>
      </c>
      <c r="F1731" s="21" t="str">
        <f aca="false">IF(OR(B1731="",N(N1731)=0,N1731=1000),"",INDEX(Rules!$C:$C,N1731))</f>
        <v/>
      </c>
      <c r="G1731" s="24"/>
      <c r="H1731" s="24"/>
      <c r="I1731" s="20" t="str">
        <f aca="false">IF(B1731="","",IF(G1731&lt;&gt;"",G1731,E1731))</f>
        <v/>
      </c>
      <c r="J1731" s="21" t="str">
        <f aca="false">IF(B1731="","",IF(H1731&lt;&gt;"",H1731,F1731))</f>
        <v/>
      </c>
      <c r="K1731" s="26" t="str">
        <f aca="false">IF(A1731="","",DATE(YEAR(A1731),MONTH(A1731),1))</f>
        <v/>
      </c>
      <c r="L1731" s="21" t="str">
        <f aca="false">IF(J1731="",IF(B1731="","",IF(N(C1731)&gt;=0,"Income","Expense")),IFERROR(INDEX(Lists!$B$2:$B$30,MATCH(J1731,Lists!$A$2:$A$30,0)),""))</f>
        <v/>
      </c>
      <c r="M1731" s="24"/>
      <c r="N1731" s="27" t="str">
        <f aca="false">IF(B1731="","",IFERROR(1000-SUMPRODUCT(MAX(ISNUMBER(SEARCH(Rules!$A$5:$A$204,B1731))*(Rules!$A$5:$A$204&lt;&gt;"")*(1000-ROW(Rules!$A$5:$A$204)))),""))</f>
        <v/>
      </c>
    </row>
    <row r="1732" customFormat="false" ht="15" hidden="false" customHeight="false" outlineLevel="0" collapsed="false">
      <c r="A1732" s="23"/>
      <c r="B1732" s="24"/>
      <c r="C1732" s="25"/>
      <c r="D1732" s="24"/>
      <c r="E1732" s="21" t="str">
        <f aca="false">IF(OR(B1732="",N(N1732)=0,N1732=1000),IF(B1732="","","Check"),INDEX(Rules!$B:$B,N1732))</f>
        <v/>
      </c>
      <c r="F1732" s="21" t="str">
        <f aca="false">IF(OR(B1732="",N(N1732)=0,N1732=1000),"",INDEX(Rules!$C:$C,N1732))</f>
        <v/>
      </c>
      <c r="G1732" s="24"/>
      <c r="H1732" s="24"/>
      <c r="I1732" s="20" t="str">
        <f aca="false">IF(B1732="","",IF(G1732&lt;&gt;"",G1732,E1732))</f>
        <v/>
      </c>
      <c r="J1732" s="21" t="str">
        <f aca="false">IF(B1732="","",IF(H1732&lt;&gt;"",H1732,F1732))</f>
        <v/>
      </c>
      <c r="K1732" s="26" t="str">
        <f aca="false">IF(A1732="","",DATE(YEAR(A1732),MONTH(A1732),1))</f>
        <v/>
      </c>
      <c r="L1732" s="21" t="str">
        <f aca="false">IF(J1732="",IF(B1732="","",IF(N(C1732)&gt;=0,"Income","Expense")),IFERROR(INDEX(Lists!$B$2:$B$30,MATCH(J1732,Lists!$A$2:$A$30,0)),""))</f>
        <v/>
      </c>
      <c r="M1732" s="24"/>
      <c r="N1732" s="27" t="str">
        <f aca="false">IF(B1732="","",IFERROR(1000-SUMPRODUCT(MAX(ISNUMBER(SEARCH(Rules!$A$5:$A$204,B1732))*(Rules!$A$5:$A$204&lt;&gt;"")*(1000-ROW(Rules!$A$5:$A$204)))),""))</f>
        <v/>
      </c>
    </row>
    <row r="1733" customFormat="false" ht="15" hidden="false" customHeight="false" outlineLevel="0" collapsed="false">
      <c r="A1733" s="23"/>
      <c r="B1733" s="24"/>
      <c r="C1733" s="25"/>
      <c r="D1733" s="24"/>
      <c r="E1733" s="21" t="str">
        <f aca="false">IF(OR(B1733="",N(N1733)=0,N1733=1000),IF(B1733="","","Check"),INDEX(Rules!$B:$B,N1733))</f>
        <v/>
      </c>
      <c r="F1733" s="21" t="str">
        <f aca="false">IF(OR(B1733="",N(N1733)=0,N1733=1000),"",INDEX(Rules!$C:$C,N1733))</f>
        <v/>
      </c>
      <c r="G1733" s="24"/>
      <c r="H1733" s="24"/>
      <c r="I1733" s="20" t="str">
        <f aca="false">IF(B1733="","",IF(G1733&lt;&gt;"",G1733,E1733))</f>
        <v/>
      </c>
      <c r="J1733" s="21" t="str">
        <f aca="false">IF(B1733="","",IF(H1733&lt;&gt;"",H1733,F1733))</f>
        <v/>
      </c>
      <c r="K1733" s="26" t="str">
        <f aca="false">IF(A1733="","",DATE(YEAR(A1733),MONTH(A1733),1))</f>
        <v/>
      </c>
      <c r="L1733" s="21" t="str">
        <f aca="false">IF(J1733="",IF(B1733="","",IF(N(C1733)&gt;=0,"Income","Expense")),IFERROR(INDEX(Lists!$B$2:$B$30,MATCH(J1733,Lists!$A$2:$A$30,0)),""))</f>
        <v/>
      </c>
      <c r="M1733" s="24"/>
      <c r="N1733" s="27" t="str">
        <f aca="false">IF(B1733="","",IFERROR(1000-SUMPRODUCT(MAX(ISNUMBER(SEARCH(Rules!$A$5:$A$204,B1733))*(Rules!$A$5:$A$204&lt;&gt;"")*(1000-ROW(Rules!$A$5:$A$204)))),""))</f>
        <v/>
      </c>
    </row>
    <row r="1734" customFormat="false" ht="15" hidden="false" customHeight="false" outlineLevel="0" collapsed="false">
      <c r="A1734" s="23"/>
      <c r="B1734" s="24"/>
      <c r="C1734" s="25"/>
      <c r="D1734" s="24"/>
      <c r="E1734" s="21" t="str">
        <f aca="false">IF(OR(B1734="",N(N1734)=0,N1734=1000),IF(B1734="","","Check"),INDEX(Rules!$B:$B,N1734))</f>
        <v/>
      </c>
      <c r="F1734" s="21" t="str">
        <f aca="false">IF(OR(B1734="",N(N1734)=0,N1734=1000),"",INDEX(Rules!$C:$C,N1734))</f>
        <v/>
      </c>
      <c r="G1734" s="24"/>
      <c r="H1734" s="24"/>
      <c r="I1734" s="20" t="str">
        <f aca="false">IF(B1734="","",IF(G1734&lt;&gt;"",G1734,E1734))</f>
        <v/>
      </c>
      <c r="J1734" s="21" t="str">
        <f aca="false">IF(B1734="","",IF(H1734&lt;&gt;"",H1734,F1734))</f>
        <v/>
      </c>
      <c r="K1734" s="26" t="str">
        <f aca="false">IF(A1734="","",DATE(YEAR(A1734),MONTH(A1734),1))</f>
        <v/>
      </c>
      <c r="L1734" s="21" t="str">
        <f aca="false">IF(J1734="",IF(B1734="","",IF(N(C1734)&gt;=0,"Income","Expense")),IFERROR(INDEX(Lists!$B$2:$B$30,MATCH(J1734,Lists!$A$2:$A$30,0)),""))</f>
        <v/>
      </c>
      <c r="M1734" s="24"/>
      <c r="N1734" s="27" t="str">
        <f aca="false">IF(B1734="","",IFERROR(1000-SUMPRODUCT(MAX(ISNUMBER(SEARCH(Rules!$A$5:$A$204,B1734))*(Rules!$A$5:$A$204&lt;&gt;"")*(1000-ROW(Rules!$A$5:$A$204)))),""))</f>
        <v/>
      </c>
    </row>
    <row r="1735" customFormat="false" ht="15" hidden="false" customHeight="false" outlineLevel="0" collapsed="false">
      <c r="A1735" s="23"/>
      <c r="B1735" s="24"/>
      <c r="C1735" s="25"/>
      <c r="D1735" s="24"/>
      <c r="E1735" s="21" t="str">
        <f aca="false">IF(OR(B1735="",N(N1735)=0,N1735=1000),IF(B1735="","","Check"),INDEX(Rules!$B:$B,N1735))</f>
        <v/>
      </c>
      <c r="F1735" s="21" t="str">
        <f aca="false">IF(OR(B1735="",N(N1735)=0,N1735=1000),"",INDEX(Rules!$C:$C,N1735))</f>
        <v/>
      </c>
      <c r="G1735" s="24"/>
      <c r="H1735" s="24"/>
      <c r="I1735" s="20" t="str">
        <f aca="false">IF(B1735="","",IF(G1735&lt;&gt;"",G1735,E1735))</f>
        <v/>
      </c>
      <c r="J1735" s="21" t="str">
        <f aca="false">IF(B1735="","",IF(H1735&lt;&gt;"",H1735,F1735))</f>
        <v/>
      </c>
      <c r="K1735" s="26" t="str">
        <f aca="false">IF(A1735="","",DATE(YEAR(A1735),MONTH(A1735),1))</f>
        <v/>
      </c>
      <c r="L1735" s="21" t="str">
        <f aca="false">IF(J1735="",IF(B1735="","",IF(N(C1735)&gt;=0,"Income","Expense")),IFERROR(INDEX(Lists!$B$2:$B$30,MATCH(J1735,Lists!$A$2:$A$30,0)),""))</f>
        <v/>
      </c>
      <c r="M1735" s="24"/>
      <c r="N1735" s="27" t="str">
        <f aca="false">IF(B1735="","",IFERROR(1000-SUMPRODUCT(MAX(ISNUMBER(SEARCH(Rules!$A$5:$A$204,B1735))*(Rules!$A$5:$A$204&lt;&gt;"")*(1000-ROW(Rules!$A$5:$A$204)))),""))</f>
        <v/>
      </c>
    </row>
    <row r="1736" customFormat="false" ht="15" hidden="false" customHeight="false" outlineLevel="0" collapsed="false">
      <c r="A1736" s="23"/>
      <c r="B1736" s="24"/>
      <c r="C1736" s="25"/>
      <c r="D1736" s="24"/>
      <c r="E1736" s="21" t="str">
        <f aca="false">IF(OR(B1736="",N(N1736)=0,N1736=1000),IF(B1736="","","Check"),INDEX(Rules!$B:$B,N1736))</f>
        <v/>
      </c>
      <c r="F1736" s="21" t="str">
        <f aca="false">IF(OR(B1736="",N(N1736)=0,N1736=1000),"",INDEX(Rules!$C:$C,N1736))</f>
        <v/>
      </c>
      <c r="G1736" s="24"/>
      <c r="H1736" s="24"/>
      <c r="I1736" s="20" t="str">
        <f aca="false">IF(B1736="","",IF(G1736&lt;&gt;"",G1736,E1736))</f>
        <v/>
      </c>
      <c r="J1736" s="21" t="str">
        <f aca="false">IF(B1736="","",IF(H1736&lt;&gt;"",H1736,F1736))</f>
        <v/>
      </c>
      <c r="K1736" s="26" t="str">
        <f aca="false">IF(A1736="","",DATE(YEAR(A1736),MONTH(A1736),1))</f>
        <v/>
      </c>
      <c r="L1736" s="21" t="str">
        <f aca="false">IF(J1736="",IF(B1736="","",IF(N(C1736)&gt;=0,"Income","Expense")),IFERROR(INDEX(Lists!$B$2:$B$30,MATCH(J1736,Lists!$A$2:$A$30,0)),""))</f>
        <v/>
      </c>
      <c r="M1736" s="24"/>
      <c r="N1736" s="27" t="str">
        <f aca="false">IF(B1736="","",IFERROR(1000-SUMPRODUCT(MAX(ISNUMBER(SEARCH(Rules!$A$5:$A$204,B1736))*(Rules!$A$5:$A$204&lt;&gt;"")*(1000-ROW(Rules!$A$5:$A$204)))),""))</f>
        <v/>
      </c>
    </row>
    <row r="1737" customFormat="false" ht="15" hidden="false" customHeight="false" outlineLevel="0" collapsed="false">
      <c r="A1737" s="23"/>
      <c r="B1737" s="24"/>
      <c r="C1737" s="25"/>
      <c r="D1737" s="24"/>
      <c r="E1737" s="21" t="str">
        <f aca="false">IF(OR(B1737="",N(N1737)=0,N1737=1000),IF(B1737="","","Check"),INDEX(Rules!$B:$B,N1737))</f>
        <v/>
      </c>
      <c r="F1737" s="21" t="str">
        <f aca="false">IF(OR(B1737="",N(N1737)=0,N1737=1000),"",INDEX(Rules!$C:$C,N1737))</f>
        <v/>
      </c>
      <c r="G1737" s="24"/>
      <c r="H1737" s="24"/>
      <c r="I1737" s="20" t="str">
        <f aca="false">IF(B1737="","",IF(G1737&lt;&gt;"",G1737,E1737))</f>
        <v/>
      </c>
      <c r="J1737" s="21" t="str">
        <f aca="false">IF(B1737="","",IF(H1737&lt;&gt;"",H1737,F1737))</f>
        <v/>
      </c>
      <c r="K1737" s="26" t="str">
        <f aca="false">IF(A1737="","",DATE(YEAR(A1737),MONTH(A1737),1))</f>
        <v/>
      </c>
      <c r="L1737" s="21" t="str">
        <f aca="false">IF(J1737="",IF(B1737="","",IF(N(C1737)&gt;=0,"Income","Expense")),IFERROR(INDEX(Lists!$B$2:$B$30,MATCH(J1737,Lists!$A$2:$A$30,0)),""))</f>
        <v/>
      </c>
      <c r="M1737" s="24"/>
      <c r="N1737" s="27" t="str">
        <f aca="false">IF(B1737="","",IFERROR(1000-SUMPRODUCT(MAX(ISNUMBER(SEARCH(Rules!$A$5:$A$204,B1737))*(Rules!$A$5:$A$204&lt;&gt;"")*(1000-ROW(Rules!$A$5:$A$204)))),""))</f>
        <v/>
      </c>
    </row>
    <row r="1738" customFormat="false" ht="15" hidden="false" customHeight="false" outlineLevel="0" collapsed="false">
      <c r="A1738" s="23"/>
      <c r="B1738" s="24"/>
      <c r="C1738" s="25"/>
      <c r="D1738" s="24"/>
      <c r="E1738" s="21" t="str">
        <f aca="false">IF(OR(B1738="",N(N1738)=0,N1738=1000),IF(B1738="","","Check"),INDEX(Rules!$B:$B,N1738))</f>
        <v/>
      </c>
      <c r="F1738" s="21" t="str">
        <f aca="false">IF(OR(B1738="",N(N1738)=0,N1738=1000),"",INDEX(Rules!$C:$C,N1738))</f>
        <v/>
      </c>
      <c r="G1738" s="24"/>
      <c r="H1738" s="24"/>
      <c r="I1738" s="20" t="str">
        <f aca="false">IF(B1738="","",IF(G1738&lt;&gt;"",G1738,E1738))</f>
        <v/>
      </c>
      <c r="J1738" s="21" t="str">
        <f aca="false">IF(B1738="","",IF(H1738&lt;&gt;"",H1738,F1738))</f>
        <v/>
      </c>
      <c r="K1738" s="26" t="str">
        <f aca="false">IF(A1738="","",DATE(YEAR(A1738),MONTH(A1738),1))</f>
        <v/>
      </c>
      <c r="L1738" s="21" t="str">
        <f aca="false">IF(J1738="",IF(B1738="","",IF(N(C1738)&gt;=0,"Income","Expense")),IFERROR(INDEX(Lists!$B$2:$B$30,MATCH(J1738,Lists!$A$2:$A$30,0)),""))</f>
        <v/>
      </c>
      <c r="M1738" s="24"/>
      <c r="N1738" s="27" t="str">
        <f aca="false">IF(B1738="","",IFERROR(1000-SUMPRODUCT(MAX(ISNUMBER(SEARCH(Rules!$A$5:$A$204,B1738))*(Rules!$A$5:$A$204&lt;&gt;"")*(1000-ROW(Rules!$A$5:$A$204)))),""))</f>
        <v/>
      </c>
    </row>
    <row r="1739" customFormat="false" ht="15" hidden="false" customHeight="false" outlineLevel="0" collapsed="false">
      <c r="A1739" s="23"/>
      <c r="B1739" s="24"/>
      <c r="C1739" s="25"/>
      <c r="D1739" s="24"/>
      <c r="E1739" s="21" t="str">
        <f aca="false">IF(OR(B1739="",N(N1739)=0,N1739=1000),IF(B1739="","","Check"),INDEX(Rules!$B:$B,N1739))</f>
        <v/>
      </c>
      <c r="F1739" s="21" t="str">
        <f aca="false">IF(OR(B1739="",N(N1739)=0,N1739=1000),"",INDEX(Rules!$C:$C,N1739))</f>
        <v/>
      </c>
      <c r="G1739" s="24"/>
      <c r="H1739" s="24"/>
      <c r="I1739" s="20" t="str">
        <f aca="false">IF(B1739="","",IF(G1739&lt;&gt;"",G1739,E1739))</f>
        <v/>
      </c>
      <c r="J1739" s="21" t="str">
        <f aca="false">IF(B1739="","",IF(H1739&lt;&gt;"",H1739,F1739))</f>
        <v/>
      </c>
      <c r="K1739" s="26" t="str">
        <f aca="false">IF(A1739="","",DATE(YEAR(A1739),MONTH(A1739),1))</f>
        <v/>
      </c>
      <c r="L1739" s="21" t="str">
        <f aca="false">IF(J1739="",IF(B1739="","",IF(N(C1739)&gt;=0,"Income","Expense")),IFERROR(INDEX(Lists!$B$2:$B$30,MATCH(J1739,Lists!$A$2:$A$30,0)),""))</f>
        <v/>
      </c>
      <c r="M1739" s="24"/>
      <c r="N1739" s="27" t="str">
        <f aca="false">IF(B1739="","",IFERROR(1000-SUMPRODUCT(MAX(ISNUMBER(SEARCH(Rules!$A$5:$A$204,B1739))*(Rules!$A$5:$A$204&lt;&gt;"")*(1000-ROW(Rules!$A$5:$A$204)))),""))</f>
        <v/>
      </c>
    </row>
    <row r="1740" customFormat="false" ht="15" hidden="false" customHeight="false" outlineLevel="0" collapsed="false">
      <c r="A1740" s="23"/>
      <c r="B1740" s="24"/>
      <c r="C1740" s="25"/>
      <c r="D1740" s="24"/>
      <c r="E1740" s="21" t="str">
        <f aca="false">IF(OR(B1740="",N(N1740)=0,N1740=1000),IF(B1740="","","Check"),INDEX(Rules!$B:$B,N1740))</f>
        <v/>
      </c>
      <c r="F1740" s="21" t="str">
        <f aca="false">IF(OR(B1740="",N(N1740)=0,N1740=1000),"",INDEX(Rules!$C:$C,N1740))</f>
        <v/>
      </c>
      <c r="G1740" s="24"/>
      <c r="H1740" s="24"/>
      <c r="I1740" s="20" t="str">
        <f aca="false">IF(B1740="","",IF(G1740&lt;&gt;"",G1740,E1740))</f>
        <v/>
      </c>
      <c r="J1740" s="21" t="str">
        <f aca="false">IF(B1740="","",IF(H1740&lt;&gt;"",H1740,F1740))</f>
        <v/>
      </c>
      <c r="K1740" s="26" t="str">
        <f aca="false">IF(A1740="","",DATE(YEAR(A1740),MONTH(A1740),1))</f>
        <v/>
      </c>
      <c r="L1740" s="21" t="str">
        <f aca="false">IF(J1740="",IF(B1740="","",IF(N(C1740)&gt;=0,"Income","Expense")),IFERROR(INDEX(Lists!$B$2:$B$30,MATCH(J1740,Lists!$A$2:$A$30,0)),""))</f>
        <v/>
      </c>
      <c r="M1740" s="24"/>
      <c r="N1740" s="27" t="str">
        <f aca="false">IF(B1740="","",IFERROR(1000-SUMPRODUCT(MAX(ISNUMBER(SEARCH(Rules!$A$5:$A$204,B1740))*(Rules!$A$5:$A$204&lt;&gt;"")*(1000-ROW(Rules!$A$5:$A$204)))),""))</f>
        <v/>
      </c>
    </row>
    <row r="1741" customFormat="false" ht="15" hidden="false" customHeight="false" outlineLevel="0" collapsed="false">
      <c r="A1741" s="23"/>
      <c r="B1741" s="24"/>
      <c r="C1741" s="25"/>
      <c r="D1741" s="24"/>
      <c r="E1741" s="21" t="str">
        <f aca="false">IF(OR(B1741="",N(N1741)=0,N1741=1000),IF(B1741="","","Check"),INDEX(Rules!$B:$B,N1741))</f>
        <v/>
      </c>
      <c r="F1741" s="21" t="str">
        <f aca="false">IF(OR(B1741="",N(N1741)=0,N1741=1000),"",INDEX(Rules!$C:$C,N1741))</f>
        <v/>
      </c>
      <c r="G1741" s="24"/>
      <c r="H1741" s="24"/>
      <c r="I1741" s="20" t="str">
        <f aca="false">IF(B1741="","",IF(G1741&lt;&gt;"",G1741,E1741))</f>
        <v/>
      </c>
      <c r="J1741" s="21" t="str">
        <f aca="false">IF(B1741="","",IF(H1741&lt;&gt;"",H1741,F1741))</f>
        <v/>
      </c>
      <c r="K1741" s="26" t="str">
        <f aca="false">IF(A1741="","",DATE(YEAR(A1741),MONTH(A1741),1))</f>
        <v/>
      </c>
      <c r="L1741" s="21" t="str">
        <f aca="false">IF(J1741="",IF(B1741="","",IF(N(C1741)&gt;=0,"Income","Expense")),IFERROR(INDEX(Lists!$B$2:$B$30,MATCH(J1741,Lists!$A$2:$A$30,0)),""))</f>
        <v/>
      </c>
      <c r="M1741" s="24"/>
      <c r="N1741" s="27" t="str">
        <f aca="false">IF(B1741="","",IFERROR(1000-SUMPRODUCT(MAX(ISNUMBER(SEARCH(Rules!$A$5:$A$204,B1741))*(Rules!$A$5:$A$204&lt;&gt;"")*(1000-ROW(Rules!$A$5:$A$204)))),""))</f>
        <v/>
      </c>
    </row>
    <row r="1742" customFormat="false" ht="15" hidden="false" customHeight="false" outlineLevel="0" collapsed="false">
      <c r="A1742" s="23"/>
      <c r="B1742" s="24"/>
      <c r="C1742" s="25"/>
      <c r="D1742" s="24"/>
      <c r="E1742" s="21" t="str">
        <f aca="false">IF(OR(B1742="",N(N1742)=0,N1742=1000),IF(B1742="","","Check"),INDEX(Rules!$B:$B,N1742))</f>
        <v/>
      </c>
      <c r="F1742" s="21" t="str">
        <f aca="false">IF(OR(B1742="",N(N1742)=0,N1742=1000),"",INDEX(Rules!$C:$C,N1742))</f>
        <v/>
      </c>
      <c r="G1742" s="24"/>
      <c r="H1742" s="24"/>
      <c r="I1742" s="20" t="str">
        <f aca="false">IF(B1742="","",IF(G1742&lt;&gt;"",G1742,E1742))</f>
        <v/>
      </c>
      <c r="J1742" s="21" t="str">
        <f aca="false">IF(B1742="","",IF(H1742&lt;&gt;"",H1742,F1742))</f>
        <v/>
      </c>
      <c r="K1742" s="26" t="str">
        <f aca="false">IF(A1742="","",DATE(YEAR(A1742),MONTH(A1742),1))</f>
        <v/>
      </c>
      <c r="L1742" s="21" t="str">
        <f aca="false">IF(J1742="",IF(B1742="","",IF(N(C1742)&gt;=0,"Income","Expense")),IFERROR(INDEX(Lists!$B$2:$B$30,MATCH(J1742,Lists!$A$2:$A$30,0)),""))</f>
        <v/>
      </c>
      <c r="M1742" s="24"/>
      <c r="N1742" s="27" t="str">
        <f aca="false">IF(B1742="","",IFERROR(1000-SUMPRODUCT(MAX(ISNUMBER(SEARCH(Rules!$A$5:$A$204,B1742))*(Rules!$A$5:$A$204&lt;&gt;"")*(1000-ROW(Rules!$A$5:$A$204)))),""))</f>
        <v/>
      </c>
    </row>
    <row r="1743" customFormat="false" ht="15" hidden="false" customHeight="false" outlineLevel="0" collapsed="false">
      <c r="A1743" s="23"/>
      <c r="B1743" s="24"/>
      <c r="C1743" s="25"/>
      <c r="D1743" s="24"/>
      <c r="E1743" s="21" t="str">
        <f aca="false">IF(OR(B1743="",N(N1743)=0,N1743=1000),IF(B1743="","","Check"),INDEX(Rules!$B:$B,N1743))</f>
        <v/>
      </c>
      <c r="F1743" s="21" t="str">
        <f aca="false">IF(OR(B1743="",N(N1743)=0,N1743=1000),"",INDEX(Rules!$C:$C,N1743))</f>
        <v/>
      </c>
      <c r="G1743" s="24"/>
      <c r="H1743" s="24"/>
      <c r="I1743" s="20" t="str">
        <f aca="false">IF(B1743="","",IF(G1743&lt;&gt;"",G1743,E1743))</f>
        <v/>
      </c>
      <c r="J1743" s="21" t="str">
        <f aca="false">IF(B1743="","",IF(H1743&lt;&gt;"",H1743,F1743))</f>
        <v/>
      </c>
      <c r="K1743" s="26" t="str">
        <f aca="false">IF(A1743="","",DATE(YEAR(A1743),MONTH(A1743),1))</f>
        <v/>
      </c>
      <c r="L1743" s="21" t="str">
        <f aca="false">IF(J1743="",IF(B1743="","",IF(N(C1743)&gt;=0,"Income","Expense")),IFERROR(INDEX(Lists!$B$2:$B$30,MATCH(J1743,Lists!$A$2:$A$30,0)),""))</f>
        <v/>
      </c>
      <c r="M1743" s="24"/>
      <c r="N1743" s="27" t="str">
        <f aca="false">IF(B1743="","",IFERROR(1000-SUMPRODUCT(MAX(ISNUMBER(SEARCH(Rules!$A$5:$A$204,B1743))*(Rules!$A$5:$A$204&lt;&gt;"")*(1000-ROW(Rules!$A$5:$A$204)))),""))</f>
        <v/>
      </c>
    </row>
    <row r="1744" customFormat="false" ht="15" hidden="false" customHeight="false" outlineLevel="0" collapsed="false">
      <c r="A1744" s="23"/>
      <c r="B1744" s="24"/>
      <c r="C1744" s="25"/>
      <c r="D1744" s="24"/>
      <c r="E1744" s="21" t="str">
        <f aca="false">IF(OR(B1744="",N(N1744)=0,N1744=1000),IF(B1744="","","Check"),INDEX(Rules!$B:$B,N1744))</f>
        <v/>
      </c>
      <c r="F1744" s="21" t="str">
        <f aca="false">IF(OR(B1744="",N(N1744)=0,N1744=1000),"",INDEX(Rules!$C:$C,N1744))</f>
        <v/>
      </c>
      <c r="G1744" s="24"/>
      <c r="H1744" s="24"/>
      <c r="I1744" s="20" t="str">
        <f aca="false">IF(B1744="","",IF(G1744&lt;&gt;"",G1744,E1744))</f>
        <v/>
      </c>
      <c r="J1744" s="21" t="str">
        <f aca="false">IF(B1744="","",IF(H1744&lt;&gt;"",H1744,F1744))</f>
        <v/>
      </c>
      <c r="K1744" s="26" t="str">
        <f aca="false">IF(A1744="","",DATE(YEAR(A1744),MONTH(A1744),1))</f>
        <v/>
      </c>
      <c r="L1744" s="21" t="str">
        <f aca="false">IF(J1744="",IF(B1744="","",IF(N(C1744)&gt;=0,"Income","Expense")),IFERROR(INDEX(Lists!$B$2:$B$30,MATCH(J1744,Lists!$A$2:$A$30,0)),""))</f>
        <v/>
      </c>
      <c r="M1744" s="24"/>
      <c r="N1744" s="27" t="str">
        <f aca="false">IF(B1744="","",IFERROR(1000-SUMPRODUCT(MAX(ISNUMBER(SEARCH(Rules!$A$5:$A$204,B1744))*(Rules!$A$5:$A$204&lt;&gt;"")*(1000-ROW(Rules!$A$5:$A$204)))),""))</f>
        <v/>
      </c>
    </row>
    <row r="1745" customFormat="false" ht="15" hidden="false" customHeight="false" outlineLevel="0" collapsed="false">
      <c r="A1745" s="23"/>
      <c r="B1745" s="24"/>
      <c r="C1745" s="25"/>
      <c r="D1745" s="24"/>
      <c r="E1745" s="21" t="str">
        <f aca="false">IF(OR(B1745="",N(N1745)=0,N1745=1000),IF(B1745="","","Check"),INDEX(Rules!$B:$B,N1745))</f>
        <v/>
      </c>
      <c r="F1745" s="21" t="str">
        <f aca="false">IF(OR(B1745="",N(N1745)=0,N1745=1000),"",INDEX(Rules!$C:$C,N1745))</f>
        <v/>
      </c>
      <c r="G1745" s="24"/>
      <c r="H1745" s="24"/>
      <c r="I1745" s="20" t="str">
        <f aca="false">IF(B1745="","",IF(G1745&lt;&gt;"",G1745,E1745))</f>
        <v/>
      </c>
      <c r="J1745" s="21" t="str">
        <f aca="false">IF(B1745="","",IF(H1745&lt;&gt;"",H1745,F1745))</f>
        <v/>
      </c>
      <c r="K1745" s="26" t="str">
        <f aca="false">IF(A1745="","",DATE(YEAR(A1745),MONTH(A1745),1))</f>
        <v/>
      </c>
      <c r="L1745" s="21" t="str">
        <f aca="false">IF(J1745="",IF(B1745="","",IF(N(C1745)&gt;=0,"Income","Expense")),IFERROR(INDEX(Lists!$B$2:$B$30,MATCH(J1745,Lists!$A$2:$A$30,0)),""))</f>
        <v/>
      </c>
      <c r="M1745" s="24"/>
      <c r="N1745" s="27" t="str">
        <f aca="false">IF(B1745="","",IFERROR(1000-SUMPRODUCT(MAX(ISNUMBER(SEARCH(Rules!$A$5:$A$204,B1745))*(Rules!$A$5:$A$204&lt;&gt;"")*(1000-ROW(Rules!$A$5:$A$204)))),""))</f>
        <v/>
      </c>
    </row>
    <row r="1746" customFormat="false" ht="15" hidden="false" customHeight="false" outlineLevel="0" collapsed="false">
      <c r="A1746" s="23"/>
      <c r="B1746" s="24"/>
      <c r="C1746" s="25"/>
      <c r="D1746" s="24"/>
      <c r="E1746" s="21" t="str">
        <f aca="false">IF(OR(B1746="",N(N1746)=0,N1746=1000),IF(B1746="","","Check"),INDEX(Rules!$B:$B,N1746))</f>
        <v/>
      </c>
      <c r="F1746" s="21" t="str">
        <f aca="false">IF(OR(B1746="",N(N1746)=0,N1746=1000),"",INDEX(Rules!$C:$C,N1746))</f>
        <v/>
      </c>
      <c r="G1746" s="24"/>
      <c r="H1746" s="24"/>
      <c r="I1746" s="20" t="str">
        <f aca="false">IF(B1746="","",IF(G1746&lt;&gt;"",G1746,E1746))</f>
        <v/>
      </c>
      <c r="J1746" s="21" t="str">
        <f aca="false">IF(B1746="","",IF(H1746&lt;&gt;"",H1746,F1746))</f>
        <v/>
      </c>
      <c r="K1746" s="26" t="str">
        <f aca="false">IF(A1746="","",DATE(YEAR(A1746),MONTH(A1746),1))</f>
        <v/>
      </c>
      <c r="L1746" s="21" t="str">
        <f aca="false">IF(J1746="",IF(B1746="","",IF(N(C1746)&gt;=0,"Income","Expense")),IFERROR(INDEX(Lists!$B$2:$B$30,MATCH(J1746,Lists!$A$2:$A$30,0)),""))</f>
        <v/>
      </c>
      <c r="M1746" s="24"/>
      <c r="N1746" s="27" t="str">
        <f aca="false">IF(B1746="","",IFERROR(1000-SUMPRODUCT(MAX(ISNUMBER(SEARCH(Rules!$A$5:$A$204,B1746))*(Rules!$A$5:$A$204&lt;&gt;"")*(1000-ROW(Rules!$A$5:$A$204)))),""))</f>
        <v/>
      </c>
    </row>
    <row r="1747" customFormat="false" ht="15" hidden="false" customHeight="false" outlineLevel="0" collapsed="false">
      <c r="A1747" s="23"/>
      <c r="B1747" s="24"/>
      <c r="C1747" s="25"/>
      <c r="D1747" s="24"/>
      <c r="E1747" s="21" t="str">
        <f aca="false">IF(OR(B1747="",N(N1747)=0,N1747=1000),IF(B1747="","","Check"),INDEX(Rules!$B:$B,N1747))</f>
        <v/>
      </c>
      <c r="F1747" s="21" t="str">
        <f aca="false">IF(OR(B1747="",N(N1747)=0,N1747=1000),"",INDEX(Rules!$C:$C,N1747))</f>
        <v/>
      </c>
      <c r="G1747" s="24"/>
      <c r="H1747" s="24"/>
      <c r="I1747" s="20" t="str">
        <f aca="false">IF(B1747="","",IF(G1747&lt;&gt;"",G1747,E1747))</f>
        <v/>
      </c>
      <c r="J1747" s="21" t="str">
        <f aca="false">IF(B1747="","",IF(H1747&lt;&gt;"",H1747,F1747))</f>
        <v/>
      </c>
      <c r="K1747" s="26" t="str">
        <f aca="false">IF(A1747="","",DATE(YEAR(A1747),MONTH(A1747),1))</f>
        <v/>
      </c>
      <c r="L1747" s="21" t="str">
        <f aca="false">IF(J1747="",IF(B1747="","",IF(N(C1747)&gt;=0,"Income","Expense")),IFERROR(INDEX(Lists!$B$2:$B$30,MATCH(J1747,Lists!$A$2:$A$30,0)),""))</f>
        <v/>
      </c>
      <c r="M1747" s="24"/>
      <c r="N1747" s="27" t="str">
        <f aca="false">IF(B1747="","",IFERROR(1000-SUMPRODUCT(MAX(ISNUMBER(SEARCH(Rules!$A$5:$A$204,B1747))*(Rules!$A$5:$A$204&lt;&gt;"")*(1000-ROW(Rules!$A$5:$A$204)))),""))</f>
        <v/>
      </c>
    </row>
    <row r="1748" customFormat="false" ht="15" hidden="false" customHeight="false" outlineLevel="0" collapsed="false">
      <c r="A1748" s="23"/>
      <c r="B1748" s="24"/>
      <c r="C1748" s="25"/>
      <c r="D1748" s="24"/>
      <c r="E1748" s="21" t="str">
        <f aca="false">IF(OR(B1748="",N(N1748)=0,N1748=1000),IF(B1748="","","Check"),INDEX(Rules!$B:$B,N1748))</f>
        <v/>
      </c>
      <c r="F1748" s="21" t="str">
        <f aca="false">IF(OR(B1748="",N(N1748)=0,N1748=1000),"",INDEX(Rules!$C:$C,N1748))</f>
        <v/>
      </c>
      <c r="G1748" s="24"/>
      <c r="H1748" s="24"/>
      <c r="I1748" s="20" t="str">
        <f aca="false">IF(B1748="","",IF(G1748&lt;&gt;"",G1748,E1748))</f>
        <v/>
      </c>
      <c r="J1748" s="21" t="str">
        <f aca="false">IF(B1748="","",IF(H1748&lt;&gt;"",H1748,F1748))</f>
        <v/>
      </c>
      <c r="K1748" s="26" t="str">
        <f aca="false">IF(A1748="","",DATE(YEAR(A1748),MONTH(A1748),1))</f>
        <v/>
      </c>
      <c r="L1748" s="21" t="str">
        <f aca="false">IF(J1748="",IF(B1748="","",IF(N(C1748)&gt;=0,"Income","Expense")),IFERROR(INDEX(Lists!$B$2:$B$30,MATCH(J1748,Lists!$A$2:$A$30,0)),""))</f>
        <v/>
      </c>
      <c r="M1748" s="24"/>
      <c r="N1748" s="27" t="str">
        <f aca="false">IF(B1748="","",IFERROR(1000-SUMPRODUCT(MAX(ISNUMBER(SEARCH(Rules!$A$5:$A$204,B1748))*(Rules!$A$5:$A$204&lt;&gt;"")*(1000-ROW(Rules!$A$5:$A$204)))),""))</f>
        <v/>
      </c>
    </row>
    <row r="1749" customFormat="false" ht="15" hidden="false" customHeight="false" outlineLevel="0" collapsed="false">
      <c r="A1749" s="23"/>
      <c r="B1749" s="24"/>
      <c r="C1749" s="25"/>
      <c r="D1749" s="24"/>
      <c r="E1749" s="21" t="str">
        <f aca="false">IF(OR(B1749="",N(N1749)=0,N1749=1000),IF(B1749="","","Check"),INDEX(Rules!$B:$B,N1749))</f>
        <v/>
      </c>
      <c r="F1749" s="21" t="str">
        <f aca="false">IF(OR(B1749="",N(N1749)=0,N1749=1000),"",INDEX(Rules!$C:$C,N1749))</f>
        <v/>
      </c>
      <c r="G1749" s="24"/>
      <c r="H1749" s="24"/>
      <c r="I1749" s="20" t="str">
        <f aca="false">IF(B1749="","",IF(G1749&lt;&gt;"",G1749,E1749))</f>
        <v/>
      </c>
      <c r="J1749" s="21" t="str">
        <f aca="false">IF(B1749="","",IF(H1749&lt;&gt;"",H1749,F1749))</f>
        <v/>
      </c>
      <c r="K1749" s="26" t="str">
        <f aca="false">IF(A1749="","",DATE(YEAR(A1749),MONTH(A1749),1))</f>
        <v/>
      </c>
      <c r="L1749" s="21" t="str">
        <f aca="false">IF(J1749="",IF(B1749="","",IF(N(C1749)&gt;=0,"Income","Expense")),IFERROR(INDEX(Lists!$B$2:$B$30,MATCH(J1749,Lists!$A$2:$A$30,0)),""))</f>
        <v/>
      </c>
      <c r="M1749" s="24"/>
      <c r="N1749" s="27" t="str">
        <f aca="false">IF(B1749="","",IFERROR(1000-SUMPRODUCT(MAX(ISNUMBER(SEARCH(Rules!$A$5:$A$204,B1749))*(Rules!$A$5:$A$204&lt;&gt;"")*(1000-ROW(Rules!$A$5:$A$204)))),""))</f>
        <v/>
      </c>
    </row>
    <row r="1750" customFormat="false" ht="15" hidden="false" customHeight="false" outlineLevel="0" collapsed="false">
      <c r="A1750" s="23"/>
      <c r="B1750" s="24"/>
      <c r="C1750" s="25"/>
      <c r="D1750" s="24"/>
      <c r="E1750" s="21" t="str">
        <f aca="false">IF(OR(B1750="",N(N1750)=0,N1750=1000),IF(B1750="","","Check"),INDEX(Rules!$B:$B,N1750))</f>
        <v/>
      </c>
      <c r="F1750" s="21" t="str">
        <f aca="false">IF(OR(B1750="",N(N1750)=0,N1750=1000),"",INDEX(Rules!$C:$C,N1750))</f>
        <v/>
      </c>
      <c r="G1750" s="24"/>
      <c r="H1750" s="24"/>
      <c r="I1750" s="20" t="str">
        <f aca="false">IF(B1750="","",IF(G1750&lt;&gt;"",G1750,E1750))</f>
        <v/>
      </c>
      <c r="J1750" s="21" t="str">
        <f aca="false">IF(B1750="","",IF(H1750&lt;&gt;"",H1750,F1750))</f>
        <v/>
      </c>
      <c r="K1750" s="26" t="str">
        <f aca="false">IF(A1750="","",DATE(YEAR(A1750),MONTH(A1750),1))</f>
        <v/>
      </c>
      <c r="L1750" s="21" t="str">
        <f aca="false">IF(J1750="",IF(B1750="","",IF(N(C1750)&gt;=0,"Income","Expense")),IFERROR(INDEX(Lists!$B$2:$B$30,MATCH(J1750,Lists!$A$2:$A$30,0)),""))</f>
        <v/>
      </c>
      <c r="M1750" s="24"/>
      <c r="N1750" s="27" t="str">
        <f aca="false">IF(B1750="","",IFERROR(1000-SUMPRODUCT(MAX(ISNUMBER(SEARCH(Rules!$A$5:$A$204,B1750))*(Rules!$A$5:$A$204&lt;&gt;"")*(1000-ROW(Rules!$A$5:$A$204)))),""))</f>
        <v/>
      </c>
    </row>
    <row r="1751" customFormat="false" ht="15" hidden="false" customHeight="false" outlineLevel="0" collapsed="false">
      <c r="A1751" s="23"/>
      <c r="B1751" s="24"/>
      <c r="C1751" s="25"/>
      <c r="D1751" s="24"/>
      <c r="E1751" s="21" t="str">
        <f aca="false">IF(OR(B1751="",N(N1751)=0,N1751=1000),IF(B1751="","","Check"),INDEX(Rules!$B:$B,N1751))</f>
        <v/>
      </c>
      <c r="F1751" s="21" t="str">
        <f aca="false">IF(OR(B1751="",N(N1751)=0,N1751=1000),"",INDEX(Rules!$C:$C,N1751))</f>
        <v/>
      </c>
      <c r="G1751" s="24"/>
      <c r="H1751" s="24"/>
      <c r="I1751" s="20" t="str">
        <f aca="false">IF(B1751="","",IF(G1751&lt;&gt;"",G1751,E1751))</f>
        <v/>
      </c>
      <c r="J1751" s="21" t="str">
        <f aca="false">IF(B1751="","",IF(H1751&lt;&gt;"",H1751,F1751))</f>
        <v/>
      </c>
      <c r="K1751" s="26" t="str">
        <f aca="false">IF(A1751="","",DATE(YEAR(A1751),MONTH(A1751),1))</f>
        <v/>
      </c>
      <c r="L1751" s="21" t="str">
        <f aca="false">IF(J1751="",IF(B1751="","",IF(N(C1751)&gt;=0,"Income","Expense")),IFERROR(INDEX(Lists!$B$2:$B$30,MATCH(J1751,Lists!$A$2:$A$30,0)),""))</f>
        <v/>
      </c>
      <c r="M1751" s="24"/>
      <c r="N1751" s="27" t="str">
        <f aca="false">IF(B1751="","",IFERROR(1000-SUMPRODUCT(MAX(ISNUMBER(SEARCH(Rules!$A$5:$A$204,B1751))*(Rules!$A$5:$A$204&lt;&gt;"")*(1000-ROW(Rules!$A$5:$A$204)))),""))</f>
        <v/>
      </c>
    </row>
    <row r="1752" customFormat="false" ht="15" hidden="false" customHeight="false" outlineLevel="0" collapsed="false">
      <c r="A1752" s="23"/>
      <c r="B1752" s="24"/>
      <c r="C1752" s="25"/>
      <c r="D1752" s="24"/>
      <c r="E1752" s="21" t="str">
        <f aca="false">IF(OR(B1752="",N(N1752)=0,N1752=1000),IF(B1752="","","Check"),INDEX(Rules!$B:$B,N1752))</f>
        <v/>
      </c>
      <c r="F1752" s="21" t="str">
        <f aca="false">IF(OR(B1752="",N(N1752)=0,N1752=1000),"",INDEX(Rules!$C:$C,N1752))</f>
        <v/>
      </c>
      <c r="G1752" s="24"/>
      <c r="H1752" s="24"/>
      <c r="I1752" s="20" t="str">
        <f aca="false">IF(B1752="","",IF(G1752&lt;&gt;"",G1752,E1752))</f>
        <v/>
      </c>
      <c r="J1752" s="21" t="str">
        <f aca="false">IF(B1752="","",IF(H1752&lt;&gt;"",H1752,F1752))</f>
        <v/>
      </c>
      <c r="K1752" s="26" t="str">
        <f aca="false">IF(A1752="","",DATE(YEAR(A1752),MONTH(A1752),1))</f>
        <v/>
      </c>
      <c r="L1752" s="21" t="str">
        <f aca="false">IF(J1752="",IF(B1752="","",IF(N(C1752)&gt;=0,"Income","Expense")),IFERROR(INDEX(Lists!$B$2:$B$30,MATCH(J1752,Lists!$A$2:$A$30,0)),""))</f>
        <v/>
      </c>
      <c r="M1752" s="24"/>
      <c r="N1752" s="27" t="str">
        <f aca="false">IF(B1752="","",IFERROR(1000-SUMPRODUCT(MAX(ISNUMBER(SEARCH(Rules!$A$5:$A$204,B1752))*(Rules!$A$5:$A$204&lt;&gt;"")*(1000-ROW(Rules!$A$5:$A$204)))),""))</f>
        <v/>
      </c>
    </row>
    <row r="1753" customFormat="false" ht="15" hidden="false" customHeight="false" outlineLevel="0" collapsed="false">
      <c r="A1753" s="23"/>
      <c r="B1753" s="24"/>
      <c r="C1753" s="25"/>
      <c r="D1753" s="24"/>
      <c r="E1753" s="21" t="str">
        <f aca="false">IF(OR(B1753="",N(N1753)=0,N1753=1000),IF(B1753="","","Check"),INDEX(Rules!$B:$B,N1753))</f>
        <v/>
      </c>
      <c r="F1753" s="21" t="str">
        <f aca="false">IF(OR(B1753="",N(N1753)=0,N1753=1000),"",INDEX(Rules!$C:$C,N1753))</f>
        <v/>
      </c>
      <c r="G1753" s="24"/>
      <c r="H1753" s="24"/>
      <c r="I1753" s="20" t="str">
        <f aca="false">IF(B1753="","",IF(G1753&lt;&gt;"",G1753,E1753))</f>
        <v/>
      </c>
      <c r="J1753" s="21" t="str">
        <f aca="false">IF(B1753="","",IF(H1753&lt;&gt;"",H1753,F1753))</f>
        <v/>
      </c>
      <c r="K1753" s="26" t="str">
        <f aca="false">IF(A1753="","",DATE(YEAR(A1753),MONTH(A1753),1))</f>
        <v/>
      </c>
      <c r="L1753" s="21" t="str">
        <f aca="false">IF(J1753="",IF(B1753="","",IF(N(C1753)&gt;=0,"Income","Expense")),IFERROR(INDEX(Lists!$B$2:$B$30,MATCH(J1753,Lists!$A$2:$A$30,0)),""))</f>
        <v/>
      </c>
      <c r="M1753" s="24"/>
      <c r="N1753" s="27" t="str">
        <f aca="false">IF(B1753="","",IFERROR(1000-SUMPRODUCT(MAX(ISNUMBER(SEARCH(Rules!$A$5:$A$204,B1753))*(Rules!$A$5:$A$204&lt;&gt;"")*(1000-ROW(Rules!$A$5:$A$204)))),""))</f>
        <v/>
      </c>
    </row>
    <row r="1754" customFormat="false" ht="15" hidden="false" customHeight="false" outlineLevel="0" collapsed="false">
      <c r="A1754" s="23"/>
      <c r="B1754" s="24"/>
      <c r="C1754" s="25"/>
      <c r="D1754" s="24"/>
      <c r="E1754" s="21" t="str">
        <f aca="false">IF(OR(B1754="",N(N1754)=0,N1754=1000),IF(B1754="","","Check"),INDEX(Rules!$B:$B,N1754))</f>
        <v/>
      </c>
      <c r="F1754" s="21" t="str">
        <f aca="false">IF(OR(B1754="",N(N1754)=0,N1754=1000),"",INDEX(Rules!$C:$C,N1754))</f>
        <v/>
      </c>
      <c r="G1754" s="24"/>
      <c r="H1754" s="24"/>
      <c r="I1754" s="20" t="str">
        <f aca="false">IF(B1754="","",IF(G1754&lt;&gt;"",G1754,E1754))</f>
        <v/>
      </c>
      <c r="J1754" s="21" t="str">
        <f aca="false">IF(B1754="","",IF(H1754&lt;&gt;"",H1754,F1754))</f>
        <v/>
      </c>
      <c r="K1754" s="26" t="str">
        <f aca="false">IF(A1754="","",DATE(YEAR(A1754),MONTH(A1754),1))</f>
        <v/>
      </c>
      <c r="L1754" s="21" t="str">
        <f aca="false">IF(J1754="",IF(B1754="","",IF(N(C1754)&gt;=0,"Income","Expense")),IFERROR(INDEX(Lists!$B$2:$B$30,MATCH(J1754,Lists!$A$2:$A$30,0)),""))</f>
        <v/>
      </c>
      <c r="M1754" s="24"/>
      <c r="N1754" s="27" t="str">
        <f aca="false">IF(B1754="","",IFERROR(1000-SUMPRODUCT(MAX(ISNUMBER(SEARCH(Rules!$A$5:$A$204,B1754))*(Rules!$A$5:$A$204&lt;&gt;"")*(1000-ROW(Rules!$A$5:$A$204)))),""))</f>
        <v/>
      </c>
    </row>
    <row r="1755" customFormat="false" ht="15" hidden="false" customHeight="false" outlineLevel="0" collapsed="false">
      <c r="A1755" s="23"/>
      <c r="B1755" s="24"/>
      <c r="C1755" s="25"/>
      <c r="D1755" s="24"/>
      <c r="E1755" s="21" t="str">
        <f aca="false">IF(OR(B1755="",N(N1755)=0,N1755=1000),IF(B1755="","","Check"),INDEX(Rules!$B:$B,N1755))</f>
        <v/>
      </c>
      <c r="F1755" s="21" t="str">
        <f aca="false">IF(OR(B1755="",N(N1755)=0,N1755=1000),"",INDEX(Rules!$C:$C,N1755))</f>
        <v/>
      </c>
      <c r="G1755" s="24"/>
      <c r="H1755" s="24"/>
      <c r="I1755" s="20" t="str">
        <f aca="false">IF(B1755="","",IF(G1755&lt;&gt;"",G1755,E1755))</f>
        <v/>
      </c>
      <c r="J1755" s="21" t="str">
        <f aca="false">IF(B1755="","",IF(H1755&lt;&gt;"",H1755,F1755))</f>
        <v/>
      </c>
      <c r="K1755" s="26" t="str">
        <f aca="false">IF(A1755="","",DATE(YEAR(A1755),MONTH(A1755),1))</f>
        <v/>
      </c>
      <c r="L1755" s="21" t="str">
        <f aca="false">IF(J1755="",IF(B1755="","",IF(N(C1755)&gt;=0,"Income","Expense")),IFERROR(INDEX(Lists!$B$2:$B$30,MATCH(J1755,Lists!$A$2:$A$30,0)),""))</f>
        <v/>
      </c>
      <c r="M1755" s="24"/>
      <c r="N1755" s="27" t="str">
        <f aca="false">IF(B1755="","",IFERROR(1000-SUMPRODUCT(MAX(ISNUMBER(SEARCH(Rules!$A$5:$A$204,B1755))*(Rules!$A$5:$A$204&lt;&gt;"")*(1000-ROW(Rules!$A$5:$A$204)))),""))</f>
        <v/>
      </c>
    </row>
    <row r="1756" customFormat="false" ht="15" hidden="false" customHeight="false" outlineLevel="0" collapsed="false">
      <c r="A1756" s="23"/>
      <c r="B1756" s="24"/>
      <c r="C1756" s="25"/>
      <c r="D1756" s="24"/>
      <c r="E1756" s="21" t="str">
        <f aca="false">IF(OR(B1756="",N(N1756)=0,N1756=1000),IF(B1756="","","Check"),INDEX(Rules!$B:$B,N1756))</f>
        <v/>
      </c>
      <c r="F1756" s="21" t="str">
        <f aca="false">IF(OR(B1756="",N(N1756)=0,N1756=1000),"",INDEX(Rules!$C:$C,N1756))</f>
        <v/>
      </c>
      <c r="G1756" s="24"/>
      <c r="H1756" s="24"/>
      <c r="I1756" s="20" t="str">
        <f aca="false">IF(B1756="","",IF(G1756&lt;&gt;"",G1756,E1756))</f>
        <v/>
      </c>
      <c r="J1756" s="21" t="str">
        <f aca="false">IF(B1756="","",IF(H1756&lt;&gt;"",H1756,F1756))</f>
        <v/>
      </c>
      <c r="K1756" s="26" t="str">
        <f aca="false">IF(A1756="","",DATE(YEAR(A1756),MONTH(A1756),1))</f>
        <v/>
      </c>
      <c r="L1756" s="21" t="str">
        <f aca="false">IF(J1756="",IF(B1756="","",IF(N(C1756)&gt;=0,"Income","Expense")),IFERROR(INDEX(Lists!$B$2:$B$30,MATCH(J1756,Lists!$A$2:$A$30,0)),""))</f>
        <v/>
      </c>
      <c r="M1756" s="24"/>
      <c r="N1756" s="27" t="str">
        <f aca="false">IF(B1756="","",IFERROR(1000-SUMPRODUCT(MAX(ISNUMBER(SEARCH(Rules!$A$5:$A$204,B1756))*(Rules!$A$5:$A$204&lt;&gt;"")*(1000-ROW(Rules!$A$5:$A$204)))),""))</f>
        <v/>
      </c>
    </row>
    <row r="1757" customFormat="false" ht="15" hidden="false" customHeight="false" outlineLevel="0" collapsed="false">
      <c r="A1757" s="23"/>
      <c r="B1757" s="24"/>
      <c r="C1757" s="25"/>
      <c r="D1757" s="24"/>
      <c r="E1757" s="21" t="str">
        <f aca="false">IF(OR(B1757="",N(N1757)=0,N1757=1000),IF(B1757="","","Check"),INDEX(Rules!$B:$B,N1757))</f>
        <v/>
      </c>
      <c r="F1757" s="21" t="str">
        <f aca="false">IF(OR(B1757="",N(N1757)=0,N1757=1000),"",INDEX(Rules!$C:$C,N1757))</f>
        <v/>
      </c>
      <c r="G1757" s="24"/>
      <c r="H1757" s="24"/>
      <c r="I1757" s="20" t="str">
        <f aca="false">IF(B1757="","",IF(G1757&lt;&gt;"",G1757,E1757))</f>
        <v/>
      </c>
      <c r="J1757" s="21" t="str">
        <f aca="false">IF(B1757="","",IF(H1757&lt;&gt;"",H1757,F1757))</f>
        <v/>
      </c>
      <c r="K1757" s="26" t="str">
        <f aca="false">IF(A1757="","",DATE(YEAR(A1757),MONTH(A1757),1))</f>
        <v/>
      </c>
      <c r="L1757" s="21" t="str">
        <f aca="false">IF(J1757="",IF(B1757="","",IF(N(C1757)&gt;=0,"Income","Expense")),IFERROR(INDEX(Lists!$B$2:$B$30,MATCH(J1757,Lists!$A$2:$A$30,0)),""))</f>
        <v/>
      </c>
      <c r="M1757" s="24"/>
      <c r="N1757" s="27" t="str">
        <f aca="false">IF(B1757="","",IFERROR(1000-SUMPRODUCT(MAX(ISNUMBER(SEARCH(Rules!$A$5:$A$204,B1757))*(Rules!$A$5:$A$204&lt;&gt;"")*(1000-ROW(Rules!$A$5:$A$204)))),""))</f>
        <v/>
      </c>
    </row>
    <row r="1758" customFormat="false" ht="15" hidden="false" customHeight="false" outlineLevel="0" collapsed="false">
      <c r="A1758" s="23"/>
      <c r="B1758" s="24"/>
      <c r="C1758" s="25"/>
      <c r="D1758" s="24"/>
      <c r="E1758" s="21" t="str">
        <f aca="false">IF(OR(B1758="",N(N1758)=0,N1758=1000),IF(B1758="","","Check"),INDEX(Rules!$B:$B,N1758))</f>
        <v/>
      </c>
      <c r="F1758" s="21" t="str">
        <f aca="false">IF(OR(B1758="",N(N1758)=0,N1758=1000),"",INDEX(Rules!$C:$C,N1758))</f>
        <v/>
      </c>
      <c r="G1758" s="24"/>
      <c r="H1758" s="24"/>
      <c r="I1758" s="20" t="str">
        <f aca="false">IF(B1758="","",IF(G1758&lt;&gt;"",G1758,E1758))</f>
        <v/>
      </c>
      <c r="J1758" s="21" t="str">
        <f aca="false">IF(B1758="","",IF(H1758&lt;&gt;"",H1758,F1758))</f>
        <v/>
      </c>
      <c r="K1758" s="26" t="str">
        <f aca="false">IF(A1758="","",DATE(YEAR(A1758),MONTH(A1758),1))</f>
        <v/>
      </c>
      <c r="L1758" s="21" t="str">
        <f aca="false">IF(J1758="",IF(B1758="","",IF(N(C1758)&gt;=0,"Income","Expense")),IFERROR(INDEX(Lists!$B$2:$B$30,MATCH(J1758,Lists!$A$2:$A$30,0)),""))</f>
        <v/>
      </c>
      <c r="M1758" s="24"/>
      <c r="N1758" s="27" t="str">
        <f aca="false">IF(B1758="","",IFERROR(1000-SUMPRODUCT(MAX(ISNUMBER(SEARCH(Rules!$A$5:$A$204,B1758))*(Rules!$A$5:$A$204&lt;&gt;"")*(1000-ROW(Rules!$A$5:$A$204)))),""))</f>
        <v/>
      </c>
    </row>
    <row r="1759" customFormat="false" ht="15" hidden="false" customHeight="false" outlineLevel="0" collapsed="false">
      <c r="A1759" s="23"/>
      <c r="B1759" s="24"/>
      <c r="C1759" s="25"/>
      <c r="D1759" s="24"/>
      <c r="E1759" s="21" t="str">
        <f aca="false">IF(OR(B1759="",N(N1759)=0,N1759=1000),IF(B1759="","","Check"),INDEX(Rules!$B:$B,N1759))</f>
        <v/>
      </c>
      <c r="F1759" s="21" t="str">
        <f aca="false">IF(OR(B1759="",N(N1759)=0,N1759=1000),"",INDEX(Rules!$C:$C,N1759))</f>
        <v/>
      </c>
      <c r="G1759" s="24"/>
      <c r="H1759" s="24"/>
      <c r="I1759" s="20" t="str">
        <f aca="false">IF(B1759="","",IF(G1759&lt;&gt;"",G1759,E1759))</f>
        <v/>
      </c>
      <c r="J1759" s="21" t="str">
        <f aca="false">IF(B1759="","",IF(H1759&lt;&gt;"",H1759,F1759))</f>
        <v/>
      </c>
      <c r="K1759" s="26" t="str">
        <f aca="false">IF(A1759="","",DATE(YEAR(A1759),MONTH(A1759),1))</f>
        <v/>
      </c>
      <c r="L1759" s="21" t="str">
        <f aca="false">IF(J1759="",IF(B1759="","",IF(N(C1759)&gt;=0,"Income","Expense")),IFERROR(INDEX(Lists!$B$2:$B$30,MATCH(J1759,Lists!$A$2:$A$30,0)),""))</f>
        <v/>
      </c>
      <c r="M1759" s="24"/>
      <c r="N1759" s="27" t="str">
        <f aca="false">IF(B1759="","",IFERROR(1000-SUMPRODUCT(MAX(ISNUMBER(SEARCH(Rules!$A$5:$A$204,B1759))*(Rules!$A$5:$A$204&lt;&gt;"")*(1000-ROW(Rules!$A$5:$A$204)))),""))</f>
        <v/>
      </c>
    </row>
    <row r="1760" customFormat="false" ht="15" hidden="false" customHeight="false" outlineLevel="0" collapsed="false">
      <c r="A1760" s="23"/>
      <c r="B1760" s="24"/>
      <c r="C1760" s="25"/>
      <c r="D1760" s="24"/>
      <c r="E1760" s="21" t="str">
        <f aca="false">IF(OR(B1760="",N(N1760)=0,N1760=1000),IF(B1760="","","Check"),INDEX(Rules!$B:$B,N1760))</f>
        <v/>
      </c>
      <c r="F1760" s="21" t="str">
        <f aca="false">IF(OR(B1760="",N(N1760)=0,N1760=1000),"",INDEX(Rules!$C:$C,N1760))</f>
        <v/>
      </c>
      <c r="G1760" s="24"/>
      <c r="H1760" s="24"/>
      <c r="I1760" s="20" t="str">
        <f aca="false">IF(B1760="","",IF(G1760&lt;&gt;"",G1760,E1760))</f>
        <v/>
      </c>
      <c r="J1760" s="21" t="str">
        <f aca="false">IF(B1760="","",IF(H1760&lt;&gt;"",H1760,F1760))</f>
        <v/>
      </c>
      <c r="K1760" s="26" t="str">
        <f aca="false">IF(A1760="","",DATE(YEAR(A1760),MONTH(A1760),1))</f>
        <v/>
      </c>
      <c r="L1760" s="21" t="str">
        <f aca="false">IF(J1760="",IF(B1760="","",IF(N(C1760)&gt;=0,"Income","Expense")),IFERROR(INDEX(Lists!$B$2:$B$30,MATCH(J1760,Lists!$A$2:$A$30,0)),""))</f>
        <v/>
      </c>
      <c r="M1760" s="24"/>
      <c r="N1760" s="27" t="str">
        <f aca="false">IF(B1760="","",IFERROR(1000-SUMPRODUCT(MAX(ISNUMBER(SEARCH(Rules!$A$5:$A$204,B1760))*(Rules!$A$5:$A$204&lt;&gt;"")*(1000-ROW(Rules!$A$5:$A$204)))),""))</f>
        <v/>
      </c>
    </row>
    <row r="1761" customFormat="false" ht="15" hidden="false" customHeight="false" outlineLevel="0" collapsed="false">
      <c r="A1761" s="23"/>
      <c r="B1761" s="24"/>
      <c r="C1761" s="25"/>
      <c r="D1761" s="24"/>
      <c r="E1761" s="21" t="str">
        <f aca="false">IF(OR(B1761="",N(N1761)=0,N1761=1000),IF(B1761="","","Check"),INDEX(Rules!$B:$B,N1761))</f>
        <v/>
      </c>
      <c r="F1761" s="21" t="str">
        <f aca="false">IF(OR(B1761="",N(N1761)=0,N1761=1000),"",INDEX(Rules!$C:$C,N1761))</f>
        <v/>
      </c>
      <c r="G1761" s="24"/>
      <c r="H1761" s="24"/>
      <c r="I1761" s="20" t="str">
        <f aca="false">IF(B1761="","",IF(G1761&lt;&gt;"",G1761,E1761))</f>
        <v/>
      </c>
      <c r="J1761" s="21" t="str">
        <f aca="false">IF(B1761="","",IF(H1761&lt;&gt;"",H1761,F1761))</f>
        <v/>
      </c>
      <c r="K1761" s="26" t="str">
        <f aca="false">IF(A1761="","",DATE(YEAR(A1761),MONTH(A1761),1))</f>
        <v/>
      </c>
      <c r="L1761" s="21" t="str">
        <f aca="false">IF(J1761="",IF(B1761="","",IF(N(C1761)&gt;=0,"Income","Expense")),IFERROR(INDEX(Lists!$B$2:$B$30,MATCH(J1761,Lists!$A$2:$A$30,0)),""))</f>
        <v/>
      </c>
      <c r="M1761" s="24"/>
      <c r="N1761" s="27" t="str">
        <f aca="false">IF(B1761="","",IFERROR(1000-SUMPRODUCT(MAX(ISNUMBER(SEARCH(Rules!$A$5:$A$204,B1761))*(Rules!$A$5:$A$204&lt;&gt;"")*(1000-ROW(Rules!$A$5:$A$204)))),""))</f>
        <v/>
      </c>
    </row>
    <row r="1762" customFormat="false" ht="15" hidden="false" customHeight="false" outlineLevel="0" collapsed="false">
      <c r="A1762" s="23"/>
      <c r="B1762" s="24"/>
      <c r="C1762" s="25"/>
      <c r="D1762" s="24"/>
      <c r="E1762" s="21" t="str">
        <f aca="false">IF(OR(B1762="",N(N1762)=0,N1762=1000),IF(B1762="","","Check"),INDEX(Rules!$B:$B,N1762))</f>
        <v/>
      </c>
      <c r="F1762" s="21" t="str">
        <f aca="false">IF(OR(B1762="",N(N1762)=0,N1762=1000),"",INDEX(Rules!$C:$C,N1762))</f>
        <v/>
      </c>
      <c r="G1762" s="24"/>
      <c r="H1762" s="24"/>
      <c r="I1762" s="20" t="str">
        <f aca="false">IF(B1762="","",IF(G1762&lt;&gt;"",G1762,E1762))</f>
        <v/>
      </c>
      <c r="J1762" s="21" t="str">
        <f aca="false">IF(B1762="","",IF(H1762&lt;&gt;"",H1762,F1762))</f>
        <v/>
      </c>
      <c r="K1762" s="26" t="str">
        <f aca="false">IF(A1762="","",DATE(YEAR(A1762),MONTH(A1762),1))</f>
        <v/>
      </c>
      <c r="L1762" s="21" t="str">
        <f aca="false">IF(J1762="",IF(B1762="","",IF(N(C1762)&gt;=0,"Income","Expense")),IFERROR(INDEX(Lists!$B$2:$B$30,MATCH(J1762,Lists!$A$2:$A$30,0)),""))</f>
        <v/>
      </c>
      <c r="M1762" s="24"/>
      <c r="N1762" s="27" t="str">
        <f aca="false">IF(B1762="","",IFERROR(1000-SUMPRODUCT(MAX(ISNUMBER(SEARCH(Rules!$A$5:$A$204,B1762))*(Rules!$A$5:$A$204&lt;&gt;"")*(1000-ROW(Rules!$A$5:$A$204)))),""))</f>
        <v/>
      </c>
    </row>
    <row r="1763" customFormat="false" ht="15" hidden="false" customHeight="false" outlineLevel="0" collapsed="false">
      <c r="A1763" s="23"/>
      <c r="B1763" s="24"/>
      <c r="C1763" s="25"/>
      <c r="D1763" s="24"/>
      <c r="E1763" s="21" t="str">
        <f aca="false">IF(OR(B1763="",N(N1763)=0,N1763=1000),IF(B1763="","","Check"),INDEX(Rules!$B:$B,N1763))</f>
        <v/>
      </c>
      <c r="F1763" s="21" t="str">
        <f aca="false">IF(OR(B1763="",N(N1763)=0,N1763=1000),"",INDEX(Rules!$C:$C,N1763))</f>
        <v/>
      </c>
      <c r="G1763" s="24"/>
      <c r="H1763" s="24"/>
      <c r="I1763" s="20" t="str">
        <f aca="false">IF(B1763="","",IF(G1763&lt;&gt;"",G1763,E1763))</f>
        <v/>
      </c>
      <c r="J1763" s="21" t="str">
        <f aca="false">IF(B1763="","",IF(H1763&lt;&gt;"",H1763,F1763))</f>
        <v/>
      </c>
      <c r="K1763" s="26" t="str">
        <f aca="false">IF(A1763="","",DATE(YEAR(A1763),MONTH(A1763),1))</f>
        <v/>
      </c>
      <c r="L1763" s="21" t="str">
        <f aca="false">IF(J1763="",IF(B1763="","",IF(N(C1763)&gt;=0,"Income","Expense")),IFERROR(INDEX(Lists!$B$2:$B$30,MATCH(J1763,Lists!$A$2:$A$30,0)),""))</f>
        <v/>
      </c>
      <c r="M1763" s="24"/>
      <c r="N1763" s="27" t="str">
        <f aca="false">IF(B1763="","",IFERROR(1000-SUMPRODUCT(MAX(ISNUMBER(SEARCH(Rules!$A$5:$A$204,B1763))*(Rules!$A$5:$A$204&lt;&gt;"")*(1000-ROW(Rules!$A$5:$A$204)))),""))</f>
        <v/>
      </c>
    </row>
    <row r="1764" customFormat="false" ht="15" hidden="false" customHeight="false" outlineLevel="0" collapsed="false">
      <c r="A1764" s="23"/>
      <c r="B1764" s="24"/>
      <c r="C1764" s="25"/>
      <c r="D1764" s="24"/>
      <c r="E1764" s="21" t="str">
        <f aca="false">IF(OR(B1764="",N(N1764)=0,N1764=1000),IF(B1764="","","Check"),INDEX(Rules!$B:$B,N1764))</f>
        <v/>
      </c>
      <c r="F1764" s="21" t="str">
        <f aca="false">IF(OR(B1764="",N(N1764)=0,N1764=1000),"",INDEX(Rules!$C:$C,N1764))</f>
        <v/>
      </c>
      <c r="G1764" s="24"/>
      <c r="H1764" s="24"/>
      <c r="I1764" s="20" t="str">
        <f aca="false">IF(B1764="","",IF(G1764&lt;&gt;"",G1764,E1764))</f>
        <v/>
      </c>
      <c r="J1764" s="21" t="str">
        <f aca="false">IF(B1764="","",IF(H1764&lt;&gt;"",H1764,F1764))</f>
        <v/>
      </c>
      <c r="K1764" s="26" t="str">
        <f aca="false">IF(A1764="","",DATE(YEAR(A1764),MONTH(A1764),1))</f>
        <v/>
      </c>
      <c r="L1764" s="21" t="str">
        <f aca="false">IF(J1764="",IF(B1764="","",IF(N(C1764)&gt;=0,"Income","Expense")),IFERROR(INDEX(Lists!$B$2:$B$30,MATCH(J1764,Lists!$A$2:$A$30,0)),""))</f>
        <v/>
      </c>
      <c r="M1764" s="24"/>
      <c r="N1764" s="27" t="str">
        <f aca="false">IF(B1764="","",IFERROR(1000-SUMPRODUCT(MAX(ISNUMBER(SEARCH(Rules!$A$5:$A$204,B1764))*(Rules!$A$5:$A$204&lt;&gt;"")*(1000-ROW(Rules!$A$5:$A$204)))),""))</f>
        <v/>
      </c>
    </row>
    <row r="1765" customFormat="false" ht="15" hidden="false" customHeight="false" outlineLevel="0" collapsed="false">
      <c r="A1765" s="23"/>
      <c r="B1765" s="24"/>
      <c r="C1765" s="25"/>
      <c r="D1765" s="24"/>
      <c r="E1765" s="21" t="str">
        <f aca="false">IF(OR(B1765="",N(N1765)=0,N1765=1000),IF(B1765="","","Check"),INDEX(Rules!$B:$B,N1765))</f>
        <v/>
      </c>
      <c r="F1765" s="21" t="str">
        <f aca="false">IF(OR(B1765="",N(N1765)=0,N1765=1000),"",INDEX(Rules!$C:$C,N1765))</f>
        <v/>
      </c>
      <c r="G1765" s="24"/>
      <c r="H1765" s="24"/>
      <c r="I1765" s="20" t="str">
        <f aca="false">IF(B1765="","",IF(G1765&lt;&gt;"",G1765,E1765))</f>
        <v/>
      </c>
      <c r="J1765" s="21" t="str">
        <f aca="false">IF(B1765="","",IF(H1765&lt;&gt;"",H1765,F1765))</f>
        <v/>
      </c>
      <c r="K1765" s="26" t="str">
        <f aca="false">IF(A1765="","",DATE(YEAR(A1765),MONTH(A1765),1))</f>
        <v/>
      </c>
      <c r="L1765" s="21" t="str">
        <f aca="false">IF(J1765="",IF(B1765="","",IF(N(C1765)&gt;=0,"Income","Expense")),IFERROR(INDEX(Lists!$B$2:$B$30,MATCH(J1765,Lists!$A$2:$A$30,0)),""))</f>
        <v/>
      </c>
      <c r="M1765" s="24"/>
      <c r="N1765" s="27" t="str">
        <f aca="false">IF(B1765="","",IFERROR(1000-SUMPRODUCT(MAX(ISNUMBER(SEARCH(Rules!$A$5:$A$204,B1765))*(Rules!$A$5:$A$204&lt;&gt;"")*(1000-ROW(Rules!$A$5:$A$204)))),""))</f>
        <v/>
      </c>
    </row>
    <row r="1766" customFormat="false" ht="15" hidden="false" customHeight="false" outlineLevel="0" collapsed="false">
      <c r="A1766" s="23"/>
      <c r="B1766" s="24"/>
      <c r="C1766" s="25"/>
      <c r="D1766" s="24"/>
      <c r="E1766" s="21" t="str">
        <f aca="false">IF(OR(B1766="",N(N1766)=0,N1766=1000),IF(B1766="","","Check"),INDEX(Rules!$B:$B,N1766))</f>
        <v/>
      </c>
      <c r="F1766" s="21" t="str">
        <f aca="false">IF(OR(B1766="",N(N1766)=0,N1766=1000),"",INDEX(Rules!$C:$C,N1766))</f>
        <v/>
      </c>
      <c r="G1766" s="24"/>
      <c r="H1766" s="24"/>
      <c r="I1766" s="20" t="str">
        <f aca="false">IF(B1766="","",IF(G1766&lt;&gt;"",G1766,E1766))</f>
        <v/>
      </c>
      <c r="J1766" s="21" t="str">
        <f aca="false">IF(B1766="","",IF(H1766&lt;&gt;"",H1766,F1766))</f>
        <v/>
      </c>
      <c r="K1766" s="26" t="str">
        <f aca="false">IF(A1766="","",DATE(YEAR(A1766),MONTH(A1766),1))</f>
        <v/>
      </c>
      <c r="L1766" s="21" t="str">
        <f aca="false">IF(J1766="",IF(B1766="","",IF(N(C1766)&gt;=0,"Income","Expense")),IFERROR(INDEX(Lists!$B$2:$B$30,MATCH(J1766,Lists!$A$2:$A$30,0)),""))</f>
        <v/>
      </c>
      <c r="M1766" s="24"/>
      <c r="N1766" s="27" t="str">
        <f aca="false">IF(B1766="","",IFERROR(1000-SUMPRODUCT(MAX(ISNUMBER(SEARCH(Rules!$A$5:$A$204,B1766))*(Rules!$A$5:$A$204&lt;&gt;"")*(1000-ROW(Rules!$A$5:$A$204)))),""))</f>
        <v/>
      </c>
    </row>
    <row r="1767" customFormat="false" ht="15" hidden="false" customHeight="false" outlineLevel="0" collapsed="false">
      <c r="A1767" s="23"/>
      <c r="B1767" s="24"/>
      <c r="C1767" s="25"/>
      <c r="D1767" s="24"/>
      <c r="E1767" s="21" t="str">
        <f aca="false">IF(OR(B1767="",N(N1767)=0,N1767=1000),IF(B1767="","","Check"),INDEX(Rules!$B:$B,N1767))</f>
        <v/>
      </c>
      <c r="F1767" s="21" t="str">
        <f aca="false">IF(OR(B1767="",N(N1767)=0,N1767=1000),"",INDEX(Rules!$C:$C,N1767))</f>
        <v/>
      </c>
      <c r="G1767" s="24"/>
      <c r="H1767" s="24"/>
      <c r="I1767" s="20" t="str">
        <f aca="false">IF(B1767="","",IF(G1767&lt;&gt;"",G1767,E1767))</f>
        <v/>
      </c>
      <c r="J1767" s="21" t="str">
        <f aca="false">IF(B1767="","",IF(H1767&lt;&gt;"",H1767,F1767))</f>
        <v/>
      </c>
      <c r="K1767" s="26" t="str">
        <f aca="false">IF(A1767="","",DATE(YEAR(A1767),MONTH(A1767),1))</f>
        <v/>
      </c>
      <c r="L1767" s="21" t="str">
        <f aca="false">IF(J1767="",IF(B1767="","",IF(N(C1767)&gt;=0,"Income","Expense")),IFERROR(INDEX(Lists!$B$2:$B$30,MATCH(J1767,Lists!$A$2:$A$30,0)),""))</f>
        <v/>
      </c>
      <c r="M1767" s="24"/>
      <c r="N1767" s="27" t="str">
        <f aca="false">IF(B1767="","",IFERROR(1000-SUMPRODUCT(MAX(ISNUMBER(SEARCH(Rules!$A$5:$A$204,B1767))*(Rules!$A$5:$A$204&lt;&gt;"")*(1000-ROW(Rules!$A$5:$A$204)))),""))</f>
        <v/>
      </c>
    </row>
    <row r="1768" customFormat="false" ht="15" hidden="false" customHeight="false" outlineLevel="0" collapsed="false">
      <c r="A1768" s="23"/>
      <c r="B1768" s="24"/>
      <c r="C1768" s="25"/>
      <c r="D1768" s="24"/>
      <c r="E1768" s="21" t="str">
        <f aca="false">IF(OR(B1768="",N(N1768)=0,N1768=1000),IF(B1768="","","Check"),INDEX(Rules!$B:$B,N1768))</f>
        <v/>
      </c>
      <c r="F1768" s="21" t="str">
        <f aca="false">IF(OR(B1768="",N(N1768)=0,N1768=1000),"",INDEX(Rules!$C:$C,N1768))</f>
        <v/>
      </c>
      <c r="G1768" s="24"/>
      <c r="H1768" s="24"/>
      <c r="I1768" s="20" t="str">
        <f aca="false">IF(B1768="","",IF(G1768&lt;&gt;"",G1768,E1768))</f>
        <v/>
      </c>
      <c r="J1768" s="21" t="str">
        <f aca="false">IF(B1768="","",IF(H1768&lt;&gt;"",H1768,F1768))</f>
        <v/>
      </c>
      <c r="K1768" s="26" t="str">
        <f aca="false">IF(A1768="","",DATE(YEAR(A1768),MONTH(A1768),1))</f>
        <v/>
      </c>
      <c r="L1768" s="21" t="str">
        <f aca="false">IF(J1768="",IF(B1768="","",IF(N(C1768)&gt;=0,"Income","Expense")),IFERROR(INDEX(Lists!$B$2:$B$30,MATCH(J1768,Lists!$A$2:$A$30,0)),""))</f>
        <v/>
      </c>
      <c r="M1768" s="24"/>
      <c r="N1768" s="27" t="str">
        <f aca="false">IF(B1768="","",IFERROR(1000-SUMPRODUCT(MAX(ISNUMBER(SEARCH(Rules!$A$5:$A$204,B1768))*(Rules!$A$5:$A$204&lt;&gt;"")*(1000-ROW(Rules!$A$5:$A$204)))),""))</f>
        <v/>
      </c>
    </row>
    <row r="1769" customFormat="false" ht="15" hidden="false" customHeight="false" outlineLevel="0" collapsed="false">
      <c r="A1769" s="23"/>
      <c r="B1769" s="24"/>
      <c r="C1769" s="25"/>
      <c r="D1769" s="24"/>
      <c r="E1769" s="21" t="str">
        <f aca="false">IF(OR(B1769="",N(N1769)=0,N1769=1000),IF(B1769="","","Check"),INDEX(Rules!$B:$B,N1769))</f>
        <v/>
      </c>
      <c r="F1769" s="21" t="str">
        <f aca="false">IF(OR(B1769="",N(N1769)=0,N1769=1000),"",INDEX(Rules!$C:$C,N1769))</f>
        <v/>
      </c>
      <c r="G1769" s="24"/>
      <c r="H1769" s="24"/>
      <c r="I1769" s="20" t="str">
        <f aca="false">IF(B1769="","",IF(G1769&lt;&gt;"",G1769,E1769))</f>
        <v/>
      </c>
      <c r="J1769" s="21" t="str">
        <f aca="false">IF(B1769="","",IF(H1769&lt;&gt;"",H1769,F1769))</f>
        <v/>
      </c>
      <c r="K1769" s="26" t="str">
        <f aca="false">IF(A1769="","",DATE(YEAR(A1769),MONTH(A1769),1))</f>
        <v/>
      </c>
      <c r="L1769" s="21" t="str">
        <f aca="false">IF(J1769="",IF(B1769="","",IF(N(C1769)&gt;=0,"Income","Expense")),IFERROR(INDEX(Lists!$B$2:$B$30,MATCH(J1769,Lists!$A$2:$A$30,0)),""))</f>
        <v/>
      </c>
      <c r="M1769" s="24"/>
      <c r="N1769" s="27" t="str">
        <f aca="false">IF(B1769="","",IFERROR(1000-SUMPRODUCT(MAX(ISNUMBER(SEARCH(Rules!$A$5:$A$204,B1769))*(Rules!$A$5:$A$204&lt;&gt;"")*(1000-ROW(Rules!$A$5:$A$204)))),""))</f>
        <v/>
      </c>
    </row>
    <row r="1770" customFormat="false" ht="15" hidden="false" customHeight="false" outlineLevel="0" collapsed="false">
      <c r="A1770" s="23"/>
      <c r="B1770" s="24"/>
      <c r="C1770" s="25"/>
      <c r="D1770" s="24"/>
      <c r="E1770" s="21" t="str">
        <f aca="false">IF(OR(B1770="",N(N1770)=0,N1770=1000),IF(B1770="","","Check"),INDEX(Rules!$B:$B,N1770))</f>
        <v/>
      </c>
      <c r="F1770" s="21" t="str">
        <f aca="false">IF(OR(B1770="",N(N1770)=0,N1770=1000),"",INDEX(Rules!$C:$C,N1770))</f>
        <v/>
      </c>
      <c r="G1770" s="24"/>
      <c r="H1770" s="24"/>
      <c r="I1770" s="20" t="str">
        <f aca="false">IF(B1770="","",IF(G1770&lt;&gt;"",G1770,E1770))</f>
        <v/>
      </c>
      <c r="J1770" s="21" t="str">
        <f aca="false">IF(B1770="","",IF(H1770&lt;&gt;"",H1770,F1770))</f>
        <v/>
      </c>
      <c r="K1770" s="26" t="str">
        <f aca="false">IF(A1770="","",DATE(YEAR(A1770),MONTH(A1770),1))</f>
        <v/>
      </c>
      <c r="L1770" s="21" t="str">
        <f aca="false">IF(J1770="",IF(B1770="","",IF(N(C1770)&gt;=0,"Income","Expense")),IFERROR(INDEX(Lists!$B$2:$B$30,MATCH(J1770,Lists!$A$2:$A$30,0)),""))</f>
        <v/>
      </c>
      <c r="M1770" s="24"/>
      <c r="N1770" s="27" t="str">
        <f aca="false">IF(B1770="","",IFERROR(1000-SUMPRODUCT(MAX(ISNUMBER(SEARCH(Rules!$A$5:$A$204,B1770))*(Rules!$A$5:$A$204&lt;&gt;"")*(1000-ROW(Rules!$A$5:$A$204)))),""))</f>
        <v/>
      </c>
    </row>
    <row r="1771" customFormat="false" ht="15" hidden="false" customHeight="false" outlineLevel="0" collapsed="false">
      <c r="A1771" s="23"/>
      <c r="B1771" s="24"/>
      <c r="C1771" s="25"/>
      <c r="D1771" s="24"/>
      <c r="E1771" s="21" t="str">
        <f aca="false">IF(OR(B1771="",N(N1771)=0,N1771=1000),IF(B1771="","","Check"),INDEX(Rules!$B:$B,N1771))</f>
        <v/>
      </c>
      <c r="F1771" s="21" t="str">
        <f aca="false">IF(OR(B1771="",N(N1771)=0,N1771=1000),"",INDEX(Rules!$C:$C,N1771))</f>
        <v/>
      </c>
      <c r="G1771" s="24"/>
      <c r="H1771" s="24"/>
      <c r="I1771" s="20" t="str">
        <f aca="false">IF(B1771="","",IF(G1771&lt;&gt;"",G1771,E1771))</f>
        <v/>
      </c>
      <c r="J1771" s="21" t="str">
        <f aca="false">IF(B1771="","",IF(H1771&lt;&gt;"",H1771,F1771))</f>
        <v/>
      </c>
      <c r="K1771" s="26" t="str">
        <f aca="false">IF(A1771="","",DATE(YEAR(A1771),MONTH(A1771),1))</f>
        <v/>
      </c>
      <c r="L1771" s="21" t="str">
        <f aca="false">IF(J1771="",IF(B1771="","",IF(N(C1771)&gt;=0,"Income","Expense")),IFERROR(INDEX(Lists!$B$2:$B$30,MATCH(J1771,Lists!$A$2:$A$30,0)),""))</f>
        <v/>
      </c>
      <c r="M1771" s="24"/>
      <c r="N1771" s="27" t="str">
        <f aca="false">IF(B1771="","",IFERROR(1000-SUMPRODUCT(MAX(ISNUMBER(SEARCH(Rules!$A$5:$A$204,B1771))*(Rules!$A$5:$A$204&lt;&gt;"")*(1000-ROW(Rules!$A$5:$A$204)))),""))</f>
        <v/>
      </c>
    </row>
    <row r="1772" customFormat="false" ht="15" hidden="false" customHeight="false" outlineLevel="0" collapsed="false">
      <c r="A1772" s="23"/>
      <c r="B1772" s="24"/>
      <c r="C1772" s="25"/>
      <c r="D1772" s="24"/>
      <c r="E1772" s="21" t="str">
        <f aca="false">IF(OR(B1772="",N(N1772)=0,N1772=1000),IF(B1772="","","Check"),INDEX(Rules!$B:$B,N1772))</f>
        <v/>
      </c>
      <c r="F1772" s="21" t="str">
        <f aca="false">IF(OR(B1772="",N(N1772)=0,N1772=1000),"",INDEX(Rules!$C:$C,N1772))</f>
        <v/>
      </c>
      <c r="G1772" s="24"/>
      <c r="H1772" s="24"/>
      <c r="I1772" s="20" t="str">
        <f aca="false">IF(B1772="","",IF(G1772&lt;&gt;"",G1772,E1772))</f>
        <v/>
      </c>
      <c r="J1772" s="21" t="str">
        <f aca="false">IF(B1772="","",IF(H1772&lt;&gt;"",H1772,F1772))</f>
        <v/>
      </c>
      <c r="K1772" s="26" t="str">
        <f aca="false">IF(A1772="","",DATE(YEAR(A1772),MONTH(A1772),1))</f>
        <v/>
      </c>
      <c r="L1772" s="21" t="str">
        <f aca="false">IF(J1772="",IF(B1772="","",IF(N(C1772)&gt;=0,"Income","Expense")),IFERROR(INDEX(Lists!$B$2:$B$30,MATCH(J1772,Lists!$A$2:$A$30,0)),""))</f>
        <v/>
      </c>
      <c r="M1772" s="24"/>
      <c r="N1772" s="27" t="str">
        <f aca="false">IF(B1772="","",IFERROR(1000-SUMPRODUCT(MAX(ISNUMBER(SEARCH(Rules!$A$5:$A$204,B1772))*(Rules!$A$5:$A$204&lt;&gt;"")*(1000-ROW(Rules!$A$5:$A$204)))),""))</f>
        <v/>
      </c>
    </row>
    <row r="1773" customFormat="false" ht="15" hidden="false" customHeight="false" outlineLevel="0" collapsed="false">
      <c r="A1773" s="23"/>
      <c r="B1773" s="24"/>
      <c r="C1773" s="25"/>
      <c r="D1773" s="24"/>
      <c r="E1773" s="21" t="str">
        <f aca="false">IF(OR(B1773="",N(N1773)=0,N1773=1000),IF(B1773="","","Check"),INDEX(Rules!$B:$B,N1773))</f>
        <v/>
      </c>
      <c r="F1773" s="21" t="str">
        <f aca="false">IF(OR(B1773="",N(N1773)=0,N1773=1000),"",INDEX(Rules!$C:$C,N1773))</f>
        <v/>
      </c>
      <c r="G1773" s="24"/>
      <c r="H1773" s="24"/>
      <c r="I1773" s="20" t="str">
        <f aca="false">IF(B1773="","",IF(G1773&lt;&gt;"",G1773,E1773))</f>
        <v/>
      </c>
      <c r="J1773" s="21" t="str">
        <f aca="false">IF(B1773="","",IF(H1773&lt;&gt;"",H1773,F1773))</f>
        <v/>
      </c>
      <c r="K1773" s="26" t="str">
        <f aca="false">IF(A1773="","",DATE(YEAR(A1773),MONTH(A1773),1))</f>
        <v/>
      </c>
      <c r="L1773" s="21" t="str">
        <f aca="false">IF(J1773="",IF(B1773="","",IF(N(C1773)&gt;=0,"Income","Expense")),IFERROR(INDEX(Lists!$B$2:$B$30,MATCH(J1773,Lists!$A$2:$A$30,0)),""))</f>
        <v/>
      </c>
      <c r="M1773" s="24"/>
      <c r="N1773" s="27" t="str">
        <f aca="false">IF(B1773="","",IFERROR(1000-SUMPRODUCT(MAX(ISNUMBER(SEARCH(Rules!$A$5:$A$204,B1773))*(Rules!$A$5:$A$204&lt;&gt;"")*(1000-ROW(Rules!$A$5:$A$204)))),""))</f>
        <v/>
      </c>
    </row>
    <row r="1774" customFormat="false" ht="15" hidden="false" customHeight="false" outlineLevel="0" collapsed="false">
      <c r="A1774" s="23"/>
      <c r="B1774" s="24"/>
      <c r="C1774" s="25"/>
      <c r="D1774" s="24"/>
      <c r="E1774" s="21" t="str">
        <f aca="false">IF(OR(B1774="",N(N1774)=0,N1774=1000),IF(B1774="","","Check"),INDEX(Rules!$B:$B,N1774))</f>
        <v/>
      </c>
      <c r="F1774" s="21" t="str">
        <f aca="false">IF(OR(B1774="",N(N1774)=0,N1774=1000),"",INDEX(Rules!$C:$C,N1774))</f>
        <v/>
      </c>
      <c r="G1774" s="24"/>
      <c r="H1774" s="24"/>
      <c r="I1774" s="20" t="str">
        <f aca="false">IF(B1774="","",IF(G1774&lt;&gt;"",G1774,E1774))</f>
        <v/>
      </c>
      <c r="J1774" s="21" t="str">
        <f aca="false">IF(B1774="","",IF(H1774&lt;&gt;"",H1774,F1774))</f>
        <v/>
      </c>
      <c r="K1774" s="26" t="str">
        <f aca="false">IF(A1774="","",DATE(YEAR(A1774),MONTH(A1774),1))</f>
        <v/>
      </c>
      <c r="L1774" s="21" t="str">
        <f aca="false">IF(J1774="",IF(B1774="","",IF(N(C1774)&gt;=0,"Income","Expense")),IFERROR(INDEX(Lists!$B$2:$B$30,MATCH(J1774,Lists!$A$2:$A$30,0)),""))</f>
        <v/>
      </c>
      <c r="M1774" s="24"/>
      <c r="N1774" s="27" t="str">
        <f aca="false">IF(B1774="","",IFERROR(1000-SUMPRODUCT(MAX(ISNUMBER(SEARCH(Rules!$A$5:$A$204,B1774))*(Rules!$A$5:$A$204&lt;&gt;"")*(1000-ROW(Rules!$A$5:$A$204)))),""))</f>
        <v/>
      </c>
    </row>
    <row r="1775" customFormat="false" ht="15" hidden="false" customHeight="false" outlineLevel="0" collapsed="false">
      <c r="A1775" s="23"/>
      <c r="B1775" s="24"/>
      <c r="C1775" s="25"/>
      <c r="D1775" s="24"/>
      <c r="E1775" s="21" t="str">
        <f aca="false">IF(OR(B1775="",N(N1775)=0,N1775=1000),IF(B1775="","","Check"),INDEX(Rules!$B:$B,N1775))</f>
        <v/>
      </c>
      <c r="F1775" s="21" t="str">
        <f aca="false">IF(OR(B1775="",N(N1775)=0,N1775=1000),"",INDEX(Rules!$C:$C,N1775))</f>
        <v/>
      </c>
      <c r="G1775" s="24"/>
      <c r="H1775" s="24"/>
      <c r="I1775" s="20" t="str">
        <f aca="false">IF(B1775="","",IF(G1775&lt;&gt;"",G1775,E1775))</f>
        <v/>
      </c>
      <c r="J1775" s="21" t="str">
        <f aca="false">IF(B1775="","",IF(H1775&lt;&gt;"",H1775,F1775))</f>
        <v/>
      </c>
      <c r="K1775" s="26" t="str">
        <f aca="false">IF(A1775="","",DATE(YEAR(A1775),MONTH(A1775),1))</f>
        <v/>
      </c>
      <c r="L1775" s="21" t="str">
        <f aca="false">IF(J1775="",IF(B1775="","",IF(N(C1775)&gt;=0,"Income","Expense")),IFERROR(INDEX(Lists!$B$2:$B$30,MATCH(J1775,Lists!$A$2:$A$30,0)),""))</f>
        <v/>
      </c>
      <c r="M1775" s="24"/>
      <c r="N1775" s="27" t="str">
        <f aca="false">IF(B1775="","",IFERROR(1000-SUMPRODUCT(MAX(ISNUMBER(SEARCH(Rules!$A$5:$A$204,B1775))*(Rules!$A$5:$A$204&lt;&gt;"")*(1000-ROW(Rules!$A$5:$A$204)))),""))</f>
        <v/>
      </c>
    </row>
    <row r="1776" customFormat="false" ht="15" hidden="false" customHeight="false" outlineLevel="0" collapsed="false">
      <c r="A1776" s="23"/>
      <c r="B1776" s="24"/>
      <c r="C1776" s="25"/>
      <c r="D1776" s="24"/>
      <c r="E1776" s="21" t="str">
        <f aca="false">IF(OR(B1776="",N(N1776)=0,N1776=1000),IF(B1776="","","Check"),INDEX(Rules!$B:$B,N1776))</f>
        <v/>
      </c>
      <c r="F1776" s="21" t="str">
        <f aca="false">IF(OR(B1776="",N(N1776)=0,N1776=1000),"",INDEX(Rules!$C:$C,N1776))</f>
        <v/>
      </c>
      <c r="G1776" s="24"/>
      <c r="H1776" s="24"/>
      <c r="I1776" s="20" t="str">
        <f aca="false">IF(B1776="","",IF(G1776&lt;&gt;"",G1776,E1776))</f>
        <v/>
      </c>
      <c r="J1776" s="21" t="str">
        <f aca="false">IF(B1776="","",IF(H1776&lt;&gt;"",H1776,F1776))</f>
        <v/>
      </c>
      <c r="K1776" s="26" t="str">
        <f aca="false">IF(A1776="","",DATE(YEAR(A1776),MONTH(A1776),1))</f>
        <v/>
      </c>
      <c r="L1776" s="21" t="str">
        <f aca="false">IF(J1776="",IF(B1776="","",IF(N(C1776)&gt;=0,"Income","Expense")),IFERROR(INDEX(Lists!$B$2:$B$30,MATCH(J1776,Lists!$A$2:$A$30,0)),""))</f>
        <v/>
      </c>
      <c r="M1776" s="24"/>
      <c r="N1776" s="27" t="str">
        <f aca="false">IF(B1776="","",IFERROR(1000-SUMPRODUCT(MAX(ISNUMBER(SEARCH(Rules!$A$5:$A$204,B1776))*(Rules!$A$5:$A$204&lt;&gt;"")*(1000-ROW(Rules!$A$5:$A$204)))),""))</f>
        <v/>
      </c>
    </row>
    <row r="1777" customFormat="false" ht="15" hidden="false" customHeight="false" outlineLevel="0" collapsed="false">
      <c r="A1777" s="23"/>
      <c r="B1777" s="24"/>
      <c r="C1777" s="25"/>
      <c r="D1777" s="24"/>
      <c r="E1777" s="21" t="str">
        <f aca="false">IF(OR(B1777="",N(N1777)=0,N1777=1000),IF(B1777="","","Check"),INDEX(Rules!$B:$B,N1777))</f>
        <v/>
      </c>
      <c r="F1777" s="21" t="str">
        <f aca="false">IF(OR(B1777="",N(N1777)=0,N1777=1000),"",INDEX(Rules!$C:$C,N1777))</f>
        <v/>
      </c>
      <c r="G1777" s="24"/>
      <c r="H1777" s="24"/>
      <c r="I1777" s="20" t="str">
        <f aca="false">IF(B1777="","",IF(G1777&lt;&gt;"",G1777,E1777))</f>
        <v/>
      </c>
      <c r="J1777" s="21" t="str">
        <f aca="false">IF(B1777="","",IF(H1777&lt;&gt;"",H1777,F1777))</f>
        <v/>
      </c>
      <c r="K1777" s="26" t="str">
        <f aca="false">IF(A1777="","",DATE(YEAR(A1777),MONTH(A1777),1))</f>
        <v/>
      </c>
      <c r="L1777" s="21" t="str">
        <f aca="false">IF(J1777="",IF(B1777="","",IF(N(C1777)&gt;=0,"Income","Expense")),IFERROR(INDEX(Lists!$B$2:$B$30,MATCH(J1777,Lists!$A$2:$A$30,0)),""))</f>
        <v/>
      </c>
      <c r="M1777" s="24"/>
      <c r="N1777" s="27" t="str">
        <f aca="false">IF(B1777="","",IFERROR(1000-SUMPRODUCT(MAX(ISNUMBER(SEARCH(Rules!$A$5:$A$204,B1777))*(Rules!$A$5:$A$204&lt;&gt;"")*(1000-ROW(Rules!$A$5:$A$204)))),""))</f>
        <v/>
      </c>
    </row>
    <row r="1778" customFormat="false" ht="15" hidden="false" customHeight="false" outlineLevel="0" collapsed="false">
      <c r="A1778" s="23"/>
      <c r="B1778" s="24"/>
      <c r="C1778" s="25"/>
      <c r="D1778" s="24"/>
      <c r="E1778" s="21" t="str">
        <f aca="false">IF(OR(B1778="",N(N1778)=0,N1778=1000),IF(B1778="","","Check"),INDEX(Rules!$B:$B,N1778))</f>
        <v/>
      </c>
      <c r="F1778" s="21" t="str">
        <f aca="false">IF(OR(B1778="",N(N1778)=0,N1778=1000),"",INDEX(Rules!$C:$C,N1778))</f>
        <v/>
      </c>
      <c r="G1778" s="24"/>
      <c r="H1778" s="24"/>
      <c r="I1778" s="20" t="str">
        <f aca="false">IF(B1778="","",IF(G1778&lt;&gt;"",G1778,E1778))</f>
        <v/>
      </c>
      <c r="J1778" s="21" t="str">
        <f aca="false">IF(B1778="","",IF(H1778&lt;&gt;"",H1778,F1778))</f>
        <v/>
      </c>
      <c r="K1778" s="26" t="str">
        <f aca="false">IF(A1778="","",DATE(YEAR(A1778),MONTH(A1778),1))</f>
        <v/>
      </c>
      <c r="L1778" s="21" t="str">
        <f aca="false">IF(J1778="",IF(B1778="","",IF(N(C1778)&gt;=0,"Income","Expense")),IFERROR(INDEX(Lists!$B$2:$B$30,MATCH(J1778,Lists!$A$2:$A$30,0)),""))</f>
        <v/>
      </c>
      <c r="M1778" s="24"/>
      <c r="N1778" s="27" t="str">
        <f aca="false">IF(B1778="","",IFERROR(1000-SUMPRODUCT(MAX(ISNUMBER(SEARCH(Rules!$A$5:$A$204,B1778))*(Rules!$A$5:$A$204&lt;&gt;"")*(1000-ROW(Rules!$A$5:$A$204)))),""))</f>
        <v/>
      </c>
    </row>
    <row r="1779" customFormat="false" ht="15" hidden="false" customHeight="false" outlineLevel="0" collapsed="false">
      <c r="A1779" s="23"/>
      <c r="B1779" s="24"/>
      <c r="C1779" s="25"/>
      <c r="D1779" s="24"/>
      <c r="E1779" s="21" t="str">
        <f aca="false">IF(OR(B1779="",N(N1779)=0,N1779=1000),IF(B1779="","","Check"),INDEX(Rules!$B:$B,N1779))</f>
        <v/>
      </c>
      <c r="F1779" s="21" t="str">
        <f aca="false">IF(OR(B1779="",N(N1779)=0,N1779=1000),"",INDEX(Rules!$C:$C,N1779))</f>
        <v/>
      </c>
      <c r="G1779" s="24"/>
      <c r="H1779" s="24"/>
      <c r="I1779" s="20" t="str">
        <f aca="false">IF(B1779="","",IF(G1779&lt;&gt;"",G1779,E1779))</f>
        <v/>
      </c>
      <c r="J1779" s="21" t="str">
        <f aca="false">IF(B1779="","",IF(H1779&lt;&gt;"",H1779,F1779))</f>
        <v/>
      </c>
      <c r="K1779" s="26" t="str">
        <f aca="false">IF(A1779="","",DATE(YEAR(A1779),MONTH(A1779),1))</f>
        <v/>
      </c>
      <c r="L1779" s="21" t="str">
        <f aca="false">IF(J1779="",IF(B1779="","",IF(N(C1779)&gt;=0,"Income","Expense")),IFERROR(INDEX(Lists!$B$2:$B$30,MATCH(J1779,Lists!$A$2:$A$30,0)),""))</f>
        <v/>
      </c>
      <c r="M1779" s="24"/>
      <c r="N1779" s="27" t="str">
        <f aca="false">IF(B1779="","",IFERROR(1000-SUMPRODUCT(MAX(ISNUMBER(SEARCH(Rules!$A$5:$A$204,B1779))*(Rules!$A$5:$A$204&lt;&gt;"")*(1000-ROW(Rules!$A$5:$A$204)))),""))</f>
        <v/>
      </c>
    </row>
    <row r="1780" customFormat="false" ht="15" hidden="false" customHeight="false" outlineLevel="0" collapsed="false">
      <c r="A1780" s="23"/>
      <c r="B1780" s="24"/>
      <c r="C1780" s="25"/>
      <c r="D1780" s="24"/>
      <c r="E1780" s="21" t="str">
        <f aca="false">IF(OR(B1780="",N(N1780)=0,N1780=1000),IF(B1780="","","Check"),INDEX(Rules!$B:$B,N1780))</f>
        <v/>
      </c>
      <c r="F1780" s="21" t="str">
        <f aca="false">IF(OR(B1780="",N(N1780)=0,N1780=1000),"",INDEX(Rules!$C:$C,N1780))</f>
        <v/>
      </c>
      <c r="G1780" s="24"/>
      <c r="H1780" s="24"/>
      <c r="I1780" s="20" t="str">
        <f aca="false">IF(B1780="","",IF(G1780&lt;&gt;"",G1780,E1780))</f>
        <v/>
      </c>
      <c r="J1780" s="21" t="str">
        <f aca="false">IF(B1780="","",IF(H1780&lt;&gt;"",H1780,F1780))</f>
        <v/>
      </c>
      <c r="K1780" s="26" t="str">
        <f aca="false">IF(A1780="","",DATE(YEAR(A1780),MONTH(A1780),1))</f>
        <v/>
      </c>
      <c r="L1780" s="21" t="str">
        <f aca="false">IF(J1780="",IF(B1780="","",IF(N(C1780)&gt;=0,"Income","Expense")),IFERROR(INDEX(Lists!$B$2:$B$30,MATCH(J1780,Lists!$A$2:$A$30,0)),""))</f>
        <v/>
      </c>
      <c r="M1780" s="24"/>
      <c r="N1780" s="27" t="str">
        <f aca="false">IF(B1780="","",IFERROR(1000-SUMPRODUCT(MAX(ISNUMBER(SEARCH(Rules!$A$5:$A$204,B1780))*(Rules!$A$5:$A$204&lt;&gt;"")*(1000-ROW(Rules!$A$5:$A$204)))),""))</f>
        <v/>
      </c>
    </row>
    <row r="1781" customFormat="false" ht="15" hidden="false" customHeight="false" outlineLevel="0" collapsed="false">
      <c r="A1781" s="23"/>
      <c r="B1781" s="24"/>
      <c r="C1781" s="25"/>
      <c r="D1781" s="24"/>
      <c r="E1781" s="21" t="str">
        <f aca="false">IF(OR(B1781="",N(N1781)=0,N1781=1000),IF(B1781="","","Check"),INDEX(Rules!$B:$B,N1781))</f>
        <v/>
      </c>
      <c r="F1781" s="21" t="str">
        <f aca="false">IF(OR(B1781="",N(N1781)=0,N1781=1000),"",INDEX(Rules!$C:$C,N1781))</f>
        <v/>
      </c>
      <c r="G1781" s="24"/>
      <c r="H1781" s="24"/>
      <c r="I1781" s="20" t="str">
        <f aca="false">IF(B1781="","",IF(G1781&lt;&gt;"",G1781,E1781))</f>
        <v/>
      </c>
      <c r="J1781" s="21" t="str">
        <f aca="false">IF(B1781="","",IF(H1781&lt;&gt;"",H1781,F1781))</f>
        <v/>
      </c>
      <c r="K1781" s="26" t="str">
        <f aca="false">IF(A1781="","",DATE(YEAR(A1781),MONTH(A1781),1))</f>
        <v/>
      </c>
      <c r="L1781" s="21" t="str">
        <f aca="false">IF(J1781="",IF(B1781="","",IF(N(C1781)&gt;=0,"Income","Expense")),IFERROR(INDEX(Lists!$B$2:$B$30,MATCH(J1781,Lists!$A$2:$A$30,0)),""))</f>
        <v/>
      </c>
      <c r="M1781" s="24"/>
      <c r="N1781" s="27" t="str">
        <f aca="false">IF(B1781="","",IFERROR(1000-SUMPRODUCT(MAX(ISNUMBER(SEARCH(Rules!$A$5:$A$204,B1781))*(Rules!$A$5:$A$204&lt;&gt;"")*(1000-ROW(Rules!$A$5:$A$204)))),""))</f>
        <v/>
      </c>
    </row>
    <row r="1782" customFormat="false" ht="15" hidden="false" customHeight="false" outlineLevel="0" collapsed="false">
      <c r="A1782" s="23"/>
      <c r="B1782" s="24"/>
      <c r="C1782" s="25"/>
      <c r="D1782" s="24"/>
      <c r="E1782" s="21" t="str">
        <f aca="false">IF(OR(B1782="",N(N1782)=0,N1782=1000),IF(B1782="","","Check"),INDEX(Rules!$B:$B,N1782))</f>
        <v/>
      </c>
      <c r="F1782" s="21" t="str">
        <f aca="false">IF(OR(B1782="",N(N1782)=0,N1782=1000),"",INDEX(Rules!$C:$C,N1782))</f>
        <v/>
      </c>
      <c r="G1782" s="24"/>
      <c r="H1782" s="24"/>
      <c r="I1782" s="20" t="str">
        <f aca="false">IF(B1782="","",IF(G1782&lt;&gt;"",G1782,E1782))</f>
        <v/>
      </c>
      <c r="J1782" s="21" t="str">
        <f aca="false">IF(B1782="","",IF(H1782&lt;&gt;"",H1782,F1782))</f>
        <v/>
      </c>
      <c r="K1782" s="26" t="str">
        <f aca="false">IF(A1782="","",DATE(YEAR(A1782),MONTH(A1782),1))</f>
        <v/>
      </c>
      <c r="L1782" s="21" t="str">
        <f aca="false">IF(J1782="",IF(B1782="","",IF(N(C1782)&gt;=0,"Income","Expense")),IFERROR(INDEX(Lists!$B$2:$B$30,MATCH(J1782,Lists!$A$2:$A$30,0)),""))</f>
        <v/>
      </c>
      <c r="M1782" s="24"/>
      <c r="N1782" s="27" t="str">
        <f aca="false">IF(B1782="","",IFERROR(1000-SUMPRODUCT(MAX(ISNUMBER(SEARCH(Rules!$A$5:$A$204,B1782))*(Rules!$A$5:$A$204&lt;&gt;"")*(1000-ROW(Rules!$A$5:$A$204)))),""))</f>
        <v/>
      </c>
    </row>
    <row r="1783" customFormat="false" ht="15" hidden="false" customHeight="false" outlineLevel="0" collapsed="false">
      <c r="A1783" s="23"/>
      <c r="B1783" s="24"/>
      <c r="C1783" s="25"/>
      <c r="D1783" s="24"/>
      <c r="E1783" s="21" t="str">
        <f aca="false">IF(OR(B1783="",N(N1783)=0,N1783=1000),IF(B1783="","","Check"),INDEX(Rules!$B:$B,N1783))</f>
        <v/>
      </c>
      <c r="F1783" s="21" t="str">
        <f aca="false">IF(OR(B1783="",N(N1783)=0,N1783=1000),"",INDEX(Rules!$C:$C,N1783))</f>
        <v/>
      </c>
      <c r="G1783" s="24"/>
      <c r="H1783" s="24"/>
      <c r="I1783" s="20" t="str">
        <f aca="false">IF(B1783="","",IF(G1783&lt;&gt;"",G1783,E1783))</f>
        <v/>
      </c>
      <c r="J1783" s="21" t="str">
        <f aca="false">IF(B1783="","",IF(H1783&lt;&gt;"",H1783,F1783))</f>
        <v/>
      </c>
      <c r="K1783" s="26" t="str">
        <f aca="false">IF(A1783="","",DATE(YEAR(A1783),MONTH(A1783),1))</f>
        <v/>
      </c>
      <c r="L1783" s="21" t="str">
        <f aca="false">IF(J1783="",IF(B1783="","",IF(N(C1783)&gt;=0,"Income","Expense")),IFERROR(INDEX(Lists!$B$2:$B$30,MATCH(J1783,Lists!$A$2:$A$30,0)),""))</f>
        <v/>
      </c>
      <c r="M1783" s="24"/>
      <c r="N1783" s="27" t="str">
        <f aca="false">IF(B1783="","",IFERROR(1000-SUMPRODUCT(MAX(ISNUMBER(SEARCH(Rules!$A$5:$A$204,B1783))*(Rules!$A$5:$A$204&lt;&gt;"")*(1000-ROW(Rules!$A$5:$A$204)))),""))</f>
        <v/>
      </c>
    </row>
    <row r="1784" customFormat="false" ht="15" hidden="false" customHeight="false" outlineLevel="0" collapsed="false">
      <c r="A1784" s="23"/>
      <c r="B1784" s="24"/>
      <c r="C1784" s="25"/>
      <c r="D1784" s="24"/>
      <c r="E1784" s="21" t="str">
        <f aca="false">IF(OR(B1784="",N(N1784)=0,N1784=1000),IF(B1784="","","Check"),INDEX(Rules!$B:$B,N1784))</f>
        <v/>
      </c>
      <c r="F1784" s="21" t="str">
        <f aca="false">IF(OR(B1784="",N(N1784)=0,N1784=1000),"",INDEX(Rules!$C:$C,N1784))</f>
        <v/>
      </c>
      <c r="G1784" s="24"/>
      <c r="H1784" s="24"/>
      <c r="I1784" s="20" t="str">
        <f aca="false">IF(B1784="","",IF(G1784&lt;&gt;"",G1784,E1784))</f>
        <v/>
      </c>
      <c r="J1784" s="21" t="str">
        <f aca="false">IF(B1784="","",IF(H1784&lt;&gt;"",H1784,F1784))</f>
        <v/>
      </c>
      <c r="K1784" s="26" t="str">
        <f aca="false">IF(A1784="","",DATE(YEAR(A1784),MONTH(A1784),1))</f>
        <v/>
      </c>
      <c r="L1784" s="21" t="str">
        <f aca="false">IF(J1784="",IF(B1784="","",IF(N(C1784)&gt;=0,"Income","Expense")),IFERROR(INDEX(Lists!$B$2:$B$30,MATCH(J1784,Lists!$A$2:$A$30,0)),""))</f>
        <v/>
      </c>
      <c r="M1784" s="24"/>
      <c r="N1784" s="27" t="str">
        <f aca="false">IF(B1784="","",IFERROR(1000-SUMPRODUCT(MAX(ISNUMBER(SEARCH(Rules!$A$5:$A$204,B1784))*(Rules!$A$5:$A$204&lt;&gt;"")*(1000-ROW(Rules!$A$5:$A$204)))),""))</f>
        <v/>
      </c>
    </row>
    <row r="1785" customFormat="false" ht="15" hidden="false" customHeight="false" outlineLevel="0" collapsed="false">
      <c r="A1785" s="23"/>
      <c r="B1785" s="24"/>
      <c r="C1785" s="25"/>
      <c r="D1785" s="24"/>
      <c r="E1785" s="21" t="str">
        <f aca="false">IF(OR(B1785="",N(N1785)=0,N1785=1000),IF(B1785="","","Check"),INDEX(Rules!$B:$B,N1785))</f>
        <v/>
      </c>
      <c r="F1785" s="21" t="str">
        <f aca="false">IF(OR(B1785="",N(N1785)=0,N1785=1000),"",INDEX(Rules!$C:$C,N1785))</f>
        <v/>
      </c>
      <c r="G1785" s="24"/>
      <c r="H1785" s="24"/>
      <c r="I1785" s="20" t="str">
        <f aca="false">IF(B1785="","",IF(G1785&lt;&gt;"",G1785,E1785))</f>
        <v/>
      </c>
      <c r="J1785" s="21" t="str">
        <f aca="false">IF(B1785="","",IF(H1785&lt;&gt;"",H1785,F1785))</f>
        <v/>
      </c>
      <c r="K1785" s="26" t="str">
        <f aca="false">IF(A1785="","",DATE(YEAR(A1785),MONTH(A1785),1))</f>
        <v/>
      </c>
      <c r="L1785" s="21" t="str">
        <f aca="false">IF(J1785="",IF(B1785="","",IF(N(C1785)&gt;=0,"Income","Expense")),IFERROR(INDEX(Lists!$B$2:$B$30,MATCH(J1785,Lists!$A$2:$A$30,0)),""))</f>
        <v/>
      </c>
      <c r="M1785" s="24"/>
      <c r="N1785" s="27" t="str">
        <f aca="false">IF(B1785="","",IFERROR(1000-SUMPRODUCT(MAX(ISNUMBER(SEARCH(Rules!$A$5:$A$204,B1785))*(Rules!$A$5:$A$204&lt;&gt;"")*(1000-ROW(Rules!$A$5:$A$204)))),""))</f>
        <v/>
      </c>
    </row>
    <row r="1786" customFormat="false" ht="15" hidden="false" customHeight="false" outlineLevel="0" collapsed="false">
      <c r="A1786" s="23"/>
      <c r="B1786" s="24"/>
      <c r="C1786" s="25"/>
      <c r="D1786" s="24"/>
      <c r="E1786" s="21" t="str">
        <f aca="false">IF(OR(B1786="",N(N1786)=0,N1786=1000),IF(B1786="","","Check"),INDEX(Rules!$B:$B,N1786))</f>
        <v/>
      </c>
      <c r="F1786" s="21" t="str">
        <f aca="false">IF(OR(B1786="",N(N1786)=0,N1786=1000),"",INDEX(Rules!$C:$C,N1786))</f>
        <v/>
      </c>
      <c r="G1786" s="24"/>
      <c r="H1786" s="24"/>
      <c r="I1786" s="20" t="str">
        <f aca="false">IF(B1786="","",IF(G1786&lt;&gt;"",G1786,E1786))</f>
        <v/>
      </c>
      <c r="J1786" s="21" t="str">
        <f aca="false">IF(B1786="","",IF(H1786&lt;&gt;"",H1786,F1786))</f>
        <v/>
      </c>
      <c r="K1786" s="26" t="str">
        <f aca="false">IF(A1786="","",DATE(YEAR(A1786),MONTH(A1786),1))</f>
        <v/>
      </c>
      <c r="L1786" s="21" t="str">
        <f aca="false">IF(J1786="",IF(B1786="","",IF(N(C1786)&gt;=0,"Income","Expense")),IFERROR(INDEX(Lists!$B$2:$B$30,MATCH(J1786,Lists!$A$2:$A$30,0)),""))</f>
        <v/>
      </c>
      <c r="M1786" s="24"/>
      <c r="N1786" s="27" t="str">
        <f aca="false">IF(B1786="","",IFERROR(1000-SUMPRODUCT(MAX(ISNUMBER(SEARCH(Rules!$A$5:$A$204,B1786))*(Rules!$A$5:$A$204&lt;&gt;"")*(1000-ROW(Rules!$A$5:$A$204)))),""))</f>
        <v/>
      </c>
    </row>
    <row r="1787" customFormat="false" ht="15" hidden="false" customHeight="false" outlineLevel="0" collapsed="false">
      <c r="A1787" s="23"/>
      <c r="B1787" s="24"/>
      <c r="C1787" s="25"/>
      <c r="D1787" s="24"/>
      <c r="E1787" s="21" t="str">
        <f aca="false">IF(OR(B1787="",N(N1787)=0,N1787=1000),IF(B1787="","","Check"),INDEX(Rules!$B:$B,N1787))</f>
        <v/>
      </c>
      <c r="F1787" s="21" t="str">
        <f aca="false">IF(OR(B1787="",N(N1787)=0,N1787=1000),"",INDEX(Rules!$C:$C,N1787))</f>
        <v/>
      </c>
      <c r="G1787" s="24"/>
      <c r="H1787" s="24"/>
      <c r="I1787" s="20" t="str">
        <f aca="false">IF(B1787="","",IF(G1787&lt;&gt;"",G1787,E1787))</f>
        <v/>
      </c>
      <c r="J1787" s="21" t="str">
        <f aca="false">IF(B1787="","",IF(H1787&lt;&gt;"",H1787,F1787))</f>
        <v/>
      </c>
      <c r="K1787" s="26" t="str">
        <f aca="false">IF(A1787="","",DATE(YEAR(A1787),MONTH(A1787),1))</f>
        <v/>
      </c>
      <c r="L1787" s="21" t="str">
        <f aca="false">IF(J1787="",IF(B1787="","",IF(N(C1787)&gt;=0,"Income","Expense")),IFERROR(INDEX(Lists!$B$2:$B$30,MATCH(J1787,Lists!$A$2:$A$30,0)),""))</f>
        <v/>
      </c>
      <c r="M1787" s="24"/>
      <c r="N1787" s="27" t="str">
        <f aca="false">IF(B1787="","",IFERROR(1000-SUMPRODUCT(MAX(ISNUMBER(SEARCH(Rules!$A$5:$A$204,B1787))*(Rules!$A$5:$A$204&lt;&gt;"")*(1000-ROW(Rules!$A$5:$A$204)))),""))</f>
        <v/>
      </c>
    </row>
    <row r="1788" customFormat="false" ht="15" hidden="false" customHeight="false" outlineLevel="0" collapsed="false">
      <c r="A1788" s="23"/>
      <c r="B1788" s="24"/>
      <c r="C1788" s="25"/>
      <c r="D1788" s="24"/>
      <c r="E1788" s="21" t="str">
        <f aca="false">IF(OR(B1788="",N(N1788)=0,N1788=1000),IF(B1788="","","Check"),INDEX(Rules!$B:$B,N1788))</f>
        <v/>
      </c>
      <c r="F1788" s="21" t="str">
        <f aca="false">IF(OR(B1788="",N(N1788)=0,N1788=1000),"",INDEX(Rules!$C:$C,N1788))</f>
        <v/>
      </c>
      <c r="G1788" s="24"/>
      <c r="H1788" s="24"/>
      <c r="I1788" s="20" t="str">
        <f aca="false">IF(B1788="","",IF(G1788&lt;&gt;"",G1788,E1788))</f>
        <v/>
      </c>
      <c r="J1788" s="21" t="str">
        <f aca="false">IF(B1788="","",IF(H1788&lt;&gt;"",H1788,F1788))</f>
        <v/>
      </c>
      <c r="K1788" s="26" t="str">
        <f aca="false">IF(A1788="","",DATE(YEAR(A1788),MONTH(A1788),1))</f>
        <v/>
      </c>
      <c r="L1788" s="21" t="str">
        <f aca="false">IF(J1788="",IF(B1788="","",IF(N(C1788)&gt;=0,"Income","Expense")),IFERROR(INDEX(Lists!$B$2:$B$30,MATCH(J1788,Lists!$A$2:$A$30,0)),""))</f>
        <v/>
      </c>
      <c r="M1788" s="24"/>
      <c r="N1788" s="27" t="str">
        <f aca="false">IF(B1788="","",IFERROR(1000-SUMPRODUCT(MAX(ISNUMBER(SEARCH(Rules!$A$5:$A$204,B1788))*(Rules!$A$5:$A$204&lt;&gt;"")*(1000-ROW(Rules!$A$5:$A$204)))),""))</f>
        <v/>
      </c>
    </row>
    <row r="1789" customFormat="false" ht="15" hidden="false" customHeight="false" outlineLevel="0" collapsed="false">
      <c r="A1789" s="23"/>
      <c r="B1789" s="24"/>
      <c r="C1789" s="25"/>
      <c r="D1789" s="24"/>
      <c r="E1789" s="21" t="str">
        <f aca="false">IF(OR(B1789="",N(N1789)=0,N1789=1000),IF(B1789="","","Check"),INDEX(Rules!$B:$B,N1789))</f>
        <v/>
      </c>
      <c r="F1789" s="21" t="str">
        <f aca="false">IF(OR(B1789="",N(N1789)=0,N1789=1000),"",INDEX(Rules!$C:$C,N1789))</f>
        <v/>
      </c>
      <c r="G1789" s="24"/>
      <c r="H1789" s="24"/>
      <c r="I1789" s="20" t="str">
        <f aca="false">IF(B1789="","",IF(G1789&lt;&gt;"",G1789,E1789))</f>
        <v/>
      </c>
      <c r="J1789" s="21" t="str">
        <f aca="false">IF(B1789="","",IF(H1789&lt;&gt;"",H1789,F1789))</f>
        <v/>
      </c>
      <c r="K1789" s="26" t="str">
        <f aca="false">IF(A1789="","",DATE(YEAR(A1789),MONTH(A1789),1))</f>
        <v/>
      </c>
      <c r="L1789" s="21" t="str">
        <f aca="false">IF(J1789="",IF(B1789="","",IF(N(C1789)&gt;=0,"Income","Expense")),IFERROR(INDEX(Lists!$B$2:$B$30,MATCH(J1789,Lists!$A$2:$A$30,0)),""))</f>
        <v/>
      </c>
      <c r="M1789" s="24"/>
      <c r="N1789" s="27" t="str">
        <f aca="false">IF(B1789="","",IFERROR(1000-SUMPRODUCT(MAX(ISNUMBER(SEARCH(Rules!$A$5:$A$204,B1789))*(Rules!$A$5:$A$204&lt;&gt;"")*(1000-ROW(Rules!$A$5:$A$204)))),""))</f>
        <v/>
      </c>
    </row>
    <row r="1790" customFormat="false" ht="15" hidden="false" customHeight="false" outlineLevel="0" collapsed="false">
      <c r="A1790" s="23"/>
      <c r="B1790" s="24"/>
      <c r="C1790" s="25"/>
      <c r="D1790" s="24"/>
      <c r="E1790" s="21" t="str">
        <f aca="false">IF(OR(B1790="",N(N1790)=0,N1790=1000),IF(B1790="","","Check"),INDEX(Rules!$B:$B,N1790))</f>
        <v/>
      </c>
      <c r="F1790" s="21" t="str">
        <f aca="false">IF(OR(B1790="",N(N1790)=0,N1790=1000),"",INDEX(Rules!$C:$C,N1790))</f>
        <v/>
      </c>
      <c r="G1790" s="24"/>
      <c r="H1790" s="24"/>
      <c r="I1790" s="20" t="str">
        <f aca="false">IF(B1790="","",IF(G1790&lt;&gt;"",G1790,E1790))</f>
        <v/>
      </c>
      <c r="J1790" s="21" t="str">
        <f aca="false">IF(B1790="","",IF(H1790&lt;&gt;"",H1790,F1790))</f>
        <v/>
      </c>
      <c r="K1790" s="26" t="str">
        <f aca="false">IF(A1790="","",DATE(YEAR(A1790),MONTH(A1790),1))</f>
        <v/>
      </c>
      <c r="L1790" s="21" t="str">
        <f aca="false">IF(J1790="",IF(B1790="","",IF(N(C1790)&gt;=0,"Income","Expense")),IFERROR(INDEX(Lists!$B$2:$B$30,MATCH(J1790,Lists!$A$2:$A$30,0)),""))</f>
        <v/>
      </c>
      <c r="M1790" s="24"/>
      <c r="N1790" s="27" t="str">
        <f aca="false">IF(B1790="","",IFERROR(1000-SUMPRODUCT(MAX(ISNUMBER(SEARCH(Rules!$A$5:$A$204,B1790))*(Rules!$A$5:$A$204&lt;&gt;"")*(1000-ROW(Rules!$A$5:$A$204)))),""))</f>
        <v/>
      </c>
    </row>
    <row r="1791" customFormat="false" ht="15" hidden="false" customHeight="false" outlineLevel="0" collapsed="false">
      <c r="A1791" s="23"/>
      <c r="B1791" s="24"/>
      <c r="C1791" s="25"/>
      <c r="D1791" s="24"/>
      <c r="E1791" s="21" t="str">
        <f aca="false">IF(OR(B1791="",N(N1791)=0,N1791=1000),IF(B1791="","","Check"),INDEX(Rules!$B:$B,N1791))</f>
        <v/>
      </c>
      <c r="F1791" s="21" t="str">
        <f aca="false">IF(OR(B1791="",N(N1791)=0,N1791=1000),"",INDEX(Rules!$C:$C,N1791))</f>
        <v/>
      </c>
      <c r="G1791" s="24"/>
      <c r="H1791" s="24"/>
      <c r="I1791" s="20" t="str">
        <f aca="false">IF(B1791="","",IF(G1791&lt;&gt;"",G1791,E1791))</f>
        <v/>
      </c>
      <c r="J1791" s="21" t="str">
        <f aca="false">IF(B1791="","",IF(H1791&lt;&gt;"",H1791,F1791))</f>
        <v/>
      </c>
      <c r="K1791" s="26" t="str">
        <f aca="false">IF(A1791="","",DATE(YEAR(A1791),MONTH(A1791),1))</f>
        <v/>
      </c>
      <c r="L1791" s="21" t="str">
        <f aca="false">IF(J1791="",IF(B1791="","",IF(N(C1791)&gt;=0,"Income","Expense")),IFERROR(INDEX(Lists!$B$2:$B$30,MATCH(J1791,Lists!$A$2:$A$30,0)),""))</f>
        <v/>
      </c>
      <c r="M1791" s="24"/>
      <c r="N1791" s="27" t="str">
        <f aca="false">IF(B1791="","",IFERROR(1000-SUMPRODUCT(MAX(ISNUMBER(SEARCH(Rules!$A$5:$A$204,B1791))*(Rules!$A$5:$A$204&lt;&gt;"")*(1000-ROW(Rules!$A$5:$A$204)))),""))</f>
        <v/>
      </c>
    </row>
    <row r="1792" customFormat="false" ht="15" hidden="false" customHeight="false" outlineLevel="0" collapsed="false">
      <c r="A1792" s="23"/>
      <c r="B1792" s="24"/>
      <c r="C1792" s="25"/>
      <c r="D1792" s="24"/>
      <c r="E1792" s="21" t="str">
        <f aca="false">IF(OR(B1792="",N(N1792)=0,N1792=1000),IF(B1792="","","Check"),INDEX(Rules!$B:$B,N1792))</f>
        <v/>
      </c>
      <c r="F1792" s="21" t="str">
        <f aca="false">IF(OR(B1792="",N(N1792)=0,N1792=1000),"",INDEX(Rules!$C:$C,N1792))</f>
        <v/>
      </c>
      <c r="G1792" s="24"/>
      <c r="H1792" s="24"/>
      <c r="I1792" s="20" t="str">
        <f aca="false">IF(B1792="","",IF(G1792&lt;&gt;"",G1792,E1792))</f>
        <v/>
      </c>
      <c r="J1792" s="21" t="str">
        <f aca="false">IF(B1792="","",IF(H1792&lt;&gt;"",H1792,F1792))</f>
        <v/>
      </c>
      <c r="K1792" s="26" t="str">
        <f aca="false">IF(A1792="","",DATE(YEAR(A1792),MONTH(A1792),1))</f>
        <v/>
      </c>
      <c r="L1792" s="21" t="str">
        <f aca="false">IF(J1792="",IF(B1792="","",IF(N(C1792)&gt;=0,"Income","Expense")),IFERROR(INDEX(Lists!$B$2:$B$30,MATCH(J1792,Lists!$A$2:$A$30,0)),""))</f>
        <v/>
      </c>
      <c r="M1792" s="24"/>
      <c r="N1792" s="27" t="str">
        <f aca="false">IF(B1792="","",IFERROR(1000-SUMPRODUCT(MAX(ISNUMBER(SEARCH(Rules!$A$5:$A$204,B1792))*(Rules!$A$5:$A$204&lt;&gt;"")*(1000-ROW(Rules!$A$5:$A$204)))),""))</f>
        <v/>
      </c>
    </row>
    <row r="1793" customFormat="false" ht="15" hidden="false" customHeight="false" outlineLevel="0" collapsed="false">
      <c r="A1793" s="23"/>
      <c r="B1793" s="24"/>
      <c r="C1793" s="25"/>
      <c r="D1793" s="24"/>
      <c r="E1793" s="21" t="str">
        <f aca="false">IF(OR(B1793="",N(N1793)=0,N1793=1000),IF(B1793="","","Check"),INDEX(Rules!$B:$B,N1793))</f>
        <v/>
      </c>
      <c r="F1793" s="21" t="str">
        <f aca="false">IF(OR(B1793="",N(N1793)=0,N1793=1000),"",INDEX(Rules!$C:$C,N1793))</f>
        <v/>
      </c>
      <c r="G1793" s="24"/>
      <c r="H1793" s="24"/>
      <c r="I1793" s="20" t="str">
        <f aca="false">IF(B1793="","",IF(G1793&lt;&gt;"",G1793,E1793))</f>
        <v/>
      </c>
      <c r="J1793" s="21" t="str">
        <f aca="false">IF(B1793="","",IF(H1793&lt;&gt;"",H1793,F1793))</f>
        <v/>
      </c>
      <c r="K1793" s="26" t="str">
        <f aca="false">IF(A1793="","",DATE(YEAR(A1793),MONTH(A1793),1))</f>
        <v/>
      </c>
      <c r="L1793" s="21" t="str">
        <f aca="false">IF(J1793="",IF(B1793="","",IF(N(C1793)&gt;=0,"Income","Expense")),IFERROR(INDEX(Lists!$B$2:$B$30,MATCH(J1793,Lists!$A$2:$A$30,0)),""))</f>
        <v/>
      </c>
      <c r="M1793" s="24"/>
      <c r="N1793" s="27" t="str">
        <f aca="false">IF(B1793="","",IFERROR(1000-SUMPRODUCT(MAX(ISNUMBER(SEARCH(Rules!$A$5:$A$204,B1793))*(Rules!$A$5:$A$204&lt;&gt;"")*(1000-ROW(Rules!$A$5:$A$204)))),""))</f>
        <v/>
      </c>
    </row>
    <row r="1794" customFormat="false" ht="15" hidden="false" customHeight="false" outlineLevel="0" collapsed="false">
      <c r="A1794" s="23"/>
      <c r="B1794" s="24"/>
      <c r="C1794" s="25"/>
      <c r="D1794" s="24"/>
      <c r="E1794" s="21" t="str">
        <f aca="false">IF(OR(B1794="",N(N1794)=0,N1794=1000),IF(B1794="","","Check"),INDEX(Rules!$B:$B,N1794))</f>
        <v/>
      </c>
      <c r="F1794" s="21" t="str">
        <f aca="false">IF(OR(B1794="",N(N1794)=0,N1794=1000),"",INDEX(Rules!$C:$C,N1794))</f>
        <v/>
      </c>
      <c r="G1794" s="24"/>
      <c r="H1794" s="24"/>
      <c r="I1794" s="20" t="str">
        <f aca="false">IF(B1794="","",IF(G1794&lt;&gt;"",G1794,E1794))</f>
        <v/>
      </c>
      <c r="J1794" s="21" t="str">
        <f aca="false">IF(B1794="","",IF(H1794&lt;&gt;"",H1794,F1794))</f>
        <v/>
      </c>
      <c r="K1794" s="26" t="str">
        <f aca="false">IF(A1794="","",DATE(YEAR(A1794),MONTH(A1794),1))</f>
        <v/>
      </c>
      <c r="L1794" s="21" t="str">
        <f aca="false">IF(J1794="",IF(B1794="","",IF(N(C1794)&gt;=0,"Income","Expense")),IFERROR(INDEX(Lists!$B$2:$B$30,MATCH(J1794,Lists!$A$2:$A$30,0)),""))</f>
        <v/>
      </c>
      <c r="M1794" s="24"/>
      <c r="N1794" s="27" t="str">
        <f aca="false">IF(B1794="","",IFERROR(1000-SUMPRODUCT(MAX(ISNUMBER(SEARCH(Rules!$A$5:$A$204,B1794))*(Rules!$A$5:$A$204&lt;&gt;"")*(1000-ROW(Rules!$A$5:$A$204)))),""))</f>
        <v/>
      </c>
    </row>
    <row r="1795" customFormat="false" ht="15" hidden="false" customHeight="false" outlineLevel="0" collapsed="false">
      <c r="A1795" s="23"/>
      <c r="B1795" s="24"/>
      <c r="C1795" s="25"/>
      <c r="D1795" s="24"/>
      <c r="E1795" s="21" t="str">
        <f aca="false">IF(OR(B1795="",N(N1795)=0,N1795=1000),IF(B1795="","","Check"),INDEX(Rules!$B:$B,N1795))</f>
        <v/>
      </c>
      <c r="F1795" s="21" t="str">
        <f aca="false">IF(OR(B1795="",N(N1795)=0,N1795=1000),"",INDEX(Rules!$C:$C,N1795))</f>
        <v/>
      </c>
      <c r="G1795" s="24"/>
      <c r="H1795" s="24"/>
      <c r="I1795" s="20" t="str">
        <f aca="false">IF(B1795="","",IF(G1795&lt;&gt;"",G1795,E1795))</f>
        <v/>
      </c>
      <c r="J1795" s="21" t="str">
        <f aca="false">IF(B1795="","",IF(H1795&lt;&gt;"",H1795,F1795))</f>
        <v/>
      </c>
      <c r="K1795" s="26" t="str">
        <f aca="false">IF(A1795="","",DATE(YEAR(A1795),MONTH(A1795),1))</f>
        <v/>
      </c>
      <c r="L1795" s="21" t="str">
        <f aca="false">IF(J1795="",IF(B1795="","",IF(N(C1795)&gt;=0,"Income","Expense")),IFERROR(INDEX(Lists!$B$2:$B$30,MATCH(J1795,Lists!$A$2:$A$30,0)),""))</f>
        <v/>
      </c>
      <c r="M1795" s="24"/>
      <c r="N1795" s="27" t="str">
        <f aca="false">IF(B1795="","",IFERROR(1000-SUMPRODUCT(MAX(ISNUMBER(SEARCH(Rules!$A$5:$A$204,B1795))*(Rules!$A$5:$A$204&lt;&gt;"")*(1000-ROW(Rules!$A$5:$A$204)))),""))</f>
        <v/>
      </c>
    </row>
    <row r="1796" customFormat="false" ht="15" hidden="false" customHeight="false" outlineLevel="0" collapsed="false">
      <c r="A1796" s="23"/>
      <c r="B1796" s="24"/>
      <c r="C1796" s="25"/>
      <c r="D1796" s="24"/>
      <c r="E1796" s="21" t="str">
        <f aca="false">IF(OR(B1796="",N(N1796)=0,N1796=1000),IF(B1796="","","Check"),INDEX(Rules!$B:$B,N1796))</f>
        <v/>
      </c>
      <c r="F1796" s="21" t="str">
        <f aca="false">IF(OR(B1796="",N(N1796)=0,N1796=1000),"",INDEX(Rules!$C:$C,N1796))</f>
        <v/>
      </c>
      <c r="G1796" s="24"/>
      <c r="H1796" s="24"/>
      <c r="I1796" s="20" t="str">
        <f aca="false">IF(B1796="","",IF(G1796&lt;&gt;"",G1796,E1796))</f>
        <v/>
      </c>
      <c r="J1796" s="21" t="str">
        <f aca="false">IF(B1796="","",IF(H1796&lt;&gt;"",H1796,F1796))</f>
        <v/>
      </c>
      <c r="K1796" s="26" t="str">
        <f aca="false">IF(A1796="","",DATE(YEAR(A1796),MONTH(A1796),1))</f>
        <v/>
      </c>
      <c r="L1796" s="21" t="str">
        <f aca="false">IF(J1796="",IF(B1796="","",IF(N(C1796)&gt;=0,"Income","Expense")),IFERROR(INDEX(Lists!$B$2:$B$30,MATCH(J1796,Lists!$A$2:$A$30,0)),""))</f>
        <v/>
      </c>
      <c r="M1796" s="24"/>
      <c r="N1796" s="27" t="str">
        <f aca="false">IF(B1796="","",IFERROR(1000-SUMPRODUCT(MAX(ISNUMBER(SEARCH(Rules!$A$5:$A$204,B1796))*(Rules!$A$5:$A$204&lt;&gt;"")*(1000-ROW(Rules!$A$5:$A$204)))),""))</f>
        <v/>
      </c>
    </row>
    <row r="1797" customFormat="false" ht="15" hidden="false" customHeight="false" outlineLevel="0" collapsed="false">
      <c r="A1797" s="23"/>
      <c r="B1797" s="24"/>
      <c r="C1797" s="25"/>
      <c r="D1797" s="24"/>
      <c r="E1797" s="21" t="str">
        <f aca="false">IF(OR(B1797="",N(N1797)=0,N1797=1000),IF(B1797="","","Check"),INDEX(Rules!$B:$B,N1797))</f>
        <v/>
      </c>
      <c r="F1797" s="21" t="str">
        <f aca="false">IF(OR(B1797="",N(N1797)=0,N1797=1000),"",INDEX(Rules!$C:$C,N1797))</f>
        <v/>
      </c>
      <c r="G1797" s="24"/>
      <c r="H1797" s="24"/>
      <c r="I1797" s="20" t="str">
        <f aca="false">IF(B1797="","",IF(G1797&lt;&gt;"",G1797,E1797))</f>
        <v/>
      </c>
      <c r="J1797" s="21" t="str">
        <f aca="false">IF(B1797="","",IF(H1797&lt;&gt;"",H1797,F1797))</f>
        <v/>
      </c>
      <c r="K1797" s="26" t="str">
        <f aca="false">IF(A1797="","",DATE(YEAR(A1797),MONTH(A1797),1))</f>
        <v/>
      </c>
      <c r="L1797" s="21" t="str">
        <f aca="false">IF(J1797="",IF(B1797="","",IF(N(C1797)&gt;=0,"Income","Expense")),IFERROR(INDEX(Lists!$B$2:$B$30,MATCH(J1797,Lists!$A$2:$A$30,0)),""))</f>
        <v/>
      </c>
      <c r="M1797" s="24"/>
      <c r="N1797" s="27" t="str">
        <f aca="false">IF(B1797="","",IFERROR(1000-SUMPRODUCT(MAX(ISNUMBER(SEARCH(Rules!$A$5:$A$204,B1797))*(Rules!$A$5:$A$204&lt;&gt;"")*(1000-ROW(Rules!$A$5:$A$204)))),""))</f>
        <v/>
      </c>
    </row>
    <row r="1798" customFormat="false" ht="15" hidden="false" customHeight="false" outlineLevel="0" collapsed="false">
      <c r="A1798" s="23"/>
      <c r="B1798" s="24"/>
      <c r="C1798" s="25"/>
      <c r="D1798" s="24"/>
      <c r="E1798" s="21" t="str">
        <f aca="false">IF(OR(B1798="",N(N1798)=0,N1798=1000),IF(B1798="","","Check"),INDEX(Rules!$B:$B,N1798))</f>
        <v/>
      </c>
      <c r="F1798" s="21" t="str">
        <f aca="false">IF(OR(B1798="",N(N1798)=0,N1798=1000),"",INDEX(Rules!$C:$C,N1798))</f>
        <v/>
      </c>
      <c r="G1798" s="24"/>
      <c r="H1798" s="24"/>
      <c r="I1798" s="20" t="str">
        <f aca="false">IF(B1798="","",IF(G1798&lt;&gt;"",G1798,E1798))</f>
        <v/>
      </c>
      <c r="J1798" s="21" t="str">
        <f aca="false">IF(B1798="","",IF(H1798&lt;&gt;"",H1798,F1798))</f>
        <v/>
      </c>
      <c r="K1798" s="26" t="str">
        <f aca="false">IF(A1798="","",DATE(YEAR(A1798),MONTH(A1798),1))</f>
        <v/>
      </c>
      <c r="L1798" s="21" t="str">
        <f aca="false">IF(J1798="",IF(B1798="","",IF(N(C1798)&gt;=0,"Income","Expense")),IFERROR(INDEX(Lists!$B$2:$B$30,MATCH(J1798,Lists!$A$2:$A$30,0)),""))</f>
        <v/>
      </c>
      <c r="M1798" s="24"/>
      <c r="N1798" s="27" t="str">
        <f aca="false">IF(B1798="","",IFERROR(1000-SUMPRODUCT(MAX(ISNUMBER(SEARCH(Rules!$A$5:$A$204,B1798))*(Rules!$A$5:$A$204&lt;&gt;"")*(1000-ROW(Rules!$A$5:$A$204)))),""))</f>
        <v/>
      </c>
    </row>
    <row r="1799" customFormat="false" ht="15" hidden="false" customHeight="false" outlineLevel="0" collapsed="false">
      <c r="A1799" s="23"/>
      <c r="B1799" s="24"/>
      <c r="C1799" s="25"/>
      <c r="D1799" s="24"/>
      <c r="E1799" s="21" t="str">
        <f aca="false">IF(OR(B1799="",N(N1799)=0,N1799=1000),IF(B1799="","","Check"),INDEX(Rules!$B:$B,N1799))</f>
        <v/>
      </c>
      <c r="F1799" s="21" t="str">
        <f aca="false">IF(OR(B1799="",N(N1799)=0,N1799=1000),"",INDEX(Rules!$C:$C,N1799))</f>
        <v/>
      </c>
      <c r="G1799" s="24"/>
      <c r="H1799" s="24"/>
      <c r="I1799" s="20" t="str">
        <f aca="false">IF(B1799="","",IF(G1799&lt;&gt;"",G1799,E1799))</f>
        <v/>
      </c>
      <c r="J1799" s="21" t="str">
        <f aca="false">IF(B1799="","",IF(H1799&lt;&gt;"",H1799,F1799))</f>
        <v/>
      </c>
      <c r="K1799" s="26" t="str">
        <f aca="false">IF(A1799="","",DATE(YEAR(A1799),MONTH(A1799),1))</f>
        <v/>
      </c>
      <c r="L1799" s="21" t="str">
        <f aca="false">IF(J1799="",IF(B1799="","",IF(N(C1799)&gt;=0,"Income","Expense")),IFERROR(INDEX(Lists!$B$2:$B$30,MATCH(J1799,Lists!$A$2:$A$30,0)),""))</f>
        <v/>
      </c>
      <c r="M1799" s="24"/>
      <c r="N1799" s="27" t="str">
        <f aca="false">IF(B1799="","",IFERROR(1000-SUMPRODUCT(MAX(ISNUMBER(SEARCH(Rules!$A$5:$A$204,B1799))*(Rules!$A$5:$A$204&lt;&gt;"")*(1000-ROW(Rules!$A$5:$A$204)))),""))</f>
        <v/>
      </c>
    </row>
    <row r="1800" customFormat="false" ht="15" hidden="false" customHeight="false" outlineLevel="0" collapsed="false">
      <c r="A1800" s="23"/>
      <c r="B1800" s="24"/>
      <c r="C1800" s="25"/>
      <c r="D1800" s="24"/>
      <c r="E1800" s="21" t="str">
        <f aca="false">IF(OR(B1800="",N(N1800)=0,N1800=1000),IF(B1800="","","Check"),INDEX(Rules!$B:$B,N1800))</f>
        <v/>
      </c>
      <c r="F1800" s="21" t="str">
        <f aca="false">IF(OR(B1800="",N(N1800)=0,N1800=1000),"",INDEX(Rules!$C:$C,N1800))</f>
        <v/>
      </c>
      <c r="G1800" s="24"/>
      <c r="H1800" s="24"/>
      <c r="I1800" s="20" t="str">
        <f aca="false">IF(B1800="","",IF(G1800&lt;&gt;"",G1800,E1800))</f>
        <v/>
      </c>
      <c r="J1800" s="21" t="str">
        <f aca="false">IF(B1800="","",IF(H1800&lt;&gt;"",H1800,F1800))</f>
        <v/>
      </c>
      <c r="K1800" s="26" t="str">
        <f aca="false">IF(A1800="","",DATE(YEAR(A1800),MONTH(A1800),1))</f>
        <v/>
      </c>
      <c r="L1800" s="21" t="str">
        <f aca="false">IF(J1800="",IF(B1800="","",IF(N(C1800)&gt;=0,"Income","Expense")),IFERROR(INDEX(Lists!$B$2:$B$30,MATCH(J1800,Lists!$A$2:$A$30,0)),""))</f>
        <v/>
      </c>
      <c r="M1800" s="24"/>
      <c r="N1800" s="27" t="str">
        <f aca="false">IF(B1800="","",IFERROR(1000-SUMPRODUCT(MAX(ISNUMBER(SEARCH(Rules!$A$5:$A$204,B1800))*(Rules!$A$5:$A$204&lt;&gt;"")*(1000-ROW(Rules!$A$5:$A$204)))),""))</f>
        <v/>
      </c>
    </row>
    <row r="1801" customFormat="false" ht="15" hidden="false" customHeight="false" outlineLevel="0" collapsed="false">
      <c r="A1801" s="23"/>
      <c r="B1801" s="24"/>
      <c r="C1801" s="25"/>
      <c r="D1801" s="24"/>
      <c r="E1801" s="21" t="str">
        <f aca="false">IF(OR(B1801="",N(N1801)=0,N1801=1000),IF(B1801="","","Check"),INDEX(Rules!$B:$B,N1801))</f>
        <v/>
      </c>
      <c r="F1801" s="21" t="str">
        <f aca="false">IF(OR(B1801="",N(N1801)=0,N1801=1000),"",INDEX(Rules!$C:$C,N1801))</f>
        <v/>
      </c>
      <c r="G1801" s="24"/>
      <c r="H1801" s="24"/>
      <c r="I1801" s="20" t="str">
        <f aca="false">IF(B1801="","",IF(G1801&lt;&gt;"",G1801,E1801))</f>
        <v/>
      </c>
      <c r="J1801" s="21" t="str">
        <f aca="false">IF(B1801="","",IF(H1801&lt;&gt;"",H1801,F1801))</f>
        <v/>
      </c>
      <c r="K1801" s="26" t="str">
        <f aca="false">IF(A1801="","",DATE(YEAR(A1801),MONTH(A1801),1))</f>
        <v/>
      </c>
      <c r="L1801" s="21" t="str">
        <f aca="false">IF(J1801="",IF(B1801="","",IF(N(C1801)&gt;=0,"Income","Expense")),IFERROR(INDEX(Lists!$B$2:$B$30,MATCH(J1801,Lists!$A$2:$A$30,0)),""))</f>
        <v/>
      </c>
      <c r="M1801" s="24"/>
      <c r="N1801" s="27" t="str">
        <f aca="false">IF(B1801="","",IFERROR(1000-SUMPRODUCT(MAX(ISNUMBER(SEARCH(Rules!$A$5:$A$204,B1801))*(Rules!$A$5:$A$204&lt;&gt;"")*(1000-ROW(Rules!$A$5:$A$204)))),""))</f>
        <v/>
      </c>
    </row>
    <row r="1802" customFormat="false" ht="15" hidden="false" customHeight="false" outlineLevel="0" collapsed="false">
      <c r="A1802" s="23"/>
      <c r="B1802" s="24"/>
      <c r="C1802" s="25"/>
      <c r="D1802" s="24"/>
      <c r="E1802" s="21" t="str">
        <f aca="false">IF(OR(B1802="",N(N1802)=0,N1802=1000),IF(B1802="","","Check"),INDEX(Rules!$B:$B,N1802))</f>
        <v/>
      </c>
      <c r="F1802" s="21" t="str">
        <f aca="false">IF(OR(B1802="",N(N1802)=0,N1802=1000),"",INDEX(Rules!$C:$C,N1802))</f>
        <v/>
      </c>
      <c r="G1802" s="24"/>
      <c r="H1802" s="24"/>
      <c r="I1802" s="20" t="str">
        <f aca="false">IF(B1802="","",IF(G1802&lt;&gt;"",G1802,E1802))</f>
        <v/>
      </c>
      <c r="J1802" s="21" t="str">
        <f aca="false">IF(B1802="","",IF(H1802&lt;&gt;"",H1802,F1802))</f>
        <v/>
      </c>
      <c r="K1802" s="26" t="str">
        <f aca="false">IF(A1802="","",DATE(YEAR(A1802),MONTH(A1802),1))</f>
        <v/>
      </c>
      <c r="L1802" s="21" t="str">
        <f aca="false">IF(J1802="",IF(B1802="","",IF(N(C1802)&gt;=0,"Income","Expense")),IFERROR(INDEX(Lists!$B$2:$B$30,MATCH(J1802,Lists!$A$2:$A$30,0)),""))</f>
        <v/>
      </c>
      <c r="M1802" s="24"/>
      <c r="N1802" s="27" t="str">
        <f aca="false">IF(B1802="","",IFERROR(1000-SUMPRODUCT(MAX(ISNUMBER(SEARCH(Rules!$A$5:$A$204,B1802))*(Rules!$A$5:$A$204&lt;&gt;"")*(1000-ROW(Rules!$A$5:$A$204)))),""))</f>
        <v/>
      </c>
    </row>
    <row r="1803" customFormat="false" ht="15" hidden="false" customHeight="false" outlineLevel="0" collapsed="false">
      <c r="A1803" s="23"/>
      <c r="B1803" s="24"/>
      <c r="C1803" s="25"/>
      <c r="D1803" s="24"/>
      <c r="E1803" s="21" t="str">
        <f aca="false">IF(OR(B1803="",N(N1803)=0,N1803=1000),IF(B1803="","","Check"),INDEX(Rules!$B:$B,N1803))</f>
        <v/>
      </c>
      <c r="F1803" s="21" t="str">
        <f aca="false">IF(OR(B1803="",N(N1803)=0,N1803=1000),"",INDEX(Rules!$C:$C,N1803))</f>
        <v/>
      </c>
      <c r="G1803" s="24"/>
      <c r="H1803" s="24"/>
      <c r="I1803" s="20" t="str">
        <f aca="false">IF(B1803="","",IF(G1803&lt;&gt;"",G1803,E1803))</f>
        <v/>
      </c>
      <c r="J1803" s="21" t="str">
        <f aca="false">IF(B1803="","",IF(H1803&lt;&gt;"",H1803,F1803))</f>
        <v/>
      </c>
      <c r="K1803" s="26" t="str">
        <f aca="false">IF(A1803="","",DATE(YEAR(A1803),MONTH(A1803),1))</f>
        <v/>
      </c>
      <c r="L1803" s="21" t="str">
        <f aca="false">IF(J1803="",IF(B1803="","",IF(N(C1803)&gt;=0,"Income","Expense")),IFERROR(INDEX(Lists!$B$2:$B$30,MATCH(J1803,Lists!$A$2:$A$30,0)),""))</f>
        <v/>
      </c>
      <c r="M1803" s="24"/>
      <c r="N1803" s="27" t="str">
        <f aca="false">IF(B1803="","",IFERROR(1000-SUMPRODUCT(MAX(ISNUMBER(SEARCH(Rules!$A$5:$A$204,B1803))*(Rules!$A$5:$A$204&lt;&gt;"")*(1000-ROW(Rules!$A$5:$A$204)))),""))</f>
        <v/>
      </c>
    </row>
    <row r="1804" customFormat="false" ht="15" hidden="false" customHeight="false" outlineLevel="0" collapsed="false">
      <c r="A1804" s="23"/>
      <c r="B1804" s="24"/>
      <c r="C1804" s="25"/>
      <c r="D1804" s="24"/>
      <c r="E1804" s="21" t="str">
        <f aca="false">IF(OR(B1804="",N(N1804)=0,N1804=1000),IF(B1804="","","Check"),INDEX(Rules!$B:$B,N1804))</f>
        <v/>
      </c>
      <c r="F1804" s="21" t="str">
        <f aca="false">IF(OR(B1804="",N(N1804)=0,N1804=1000),"",INDEX(Rules!$C:$C,N1804))</f>
        <v/>
      </c>
      <c r="G1804" s="24"/>
      <c r="H1804" s="24"/>
      <c r="I1804" s="20" t="str">
        <f aca="false">IF(B1804="","",IF(G1804&lt;&gt;"",G1804,E1804))</f>
        <v/>
      </c>
      <c r="J1804" s="21" t="str">
        <f aca="false">IF(B1804="","",IF(H1804&lt;&gt;"",H1804,F1804))</f>
        <v/>
      </c>
      <c r="K1804" s="26" t="str">
        <f aca="false">IF(A1804="","",DATE(YEAR(A1804),MONTH(A1804),1))</f>
        <v/>
      </c>
      <c r="L1804" s="21" t="str">
        <f aca="false">IF(J1804="",IF(B1804="","",IF(N(C1804)&gt;=0,"Income","Expense")),IFERROR(INDEX(Lists!$B$2:$B$30,MATCH(J1804,Lists!$A$2:$A$30,0)),""))</f>
        <v/>
      </c>
      <c r="M1804" s="24"/>
      <c r="N1804" s="27" t="str">
        <f aca="false">IF(B1804="","",IFERROR(1000-SUMPRODUCT(MAX(ISNUMBER(SEARCH(Rules!$A$5:$A$204,B1804))*(Rules!$A$5:$A$204&lt;&gt;"")*(1000-ROW(Rules!$A$5:$A$204)))),""))</f>
        <v/>
      </c>
    </row>
    <row r="1805" customFormat="false" ht="15" hidden="false" customHeight="false" outlineLevel="0" collapsed="false">
      <c r="A1805" s="23"/>
      <c r="B1805" s="24"/>
      <c r="C1805" s="25"/>
      <c r="D1805" s="24"/>
      <c r="E1805" s="21" t="str">
        <f aca="false">IF(OR(B1805="",N(N1805)=0,N1805=1000),IF(B1805="","","Check"),INDEX(Rules!$B:$B,N1805))</f>
        <v/>
      </c>
      <c r="F1805" s="21" t="str">
        <f aca="false">IF(OR(B1805="",N(N1805)=0,N1805=1000),"",INDEX(Rules!$C:$C,N1805))</f>
        <v/>
      </c>
      <c r="G1805" s="24"/>
      <c r="H1805" s="24"/>
      <c r="I1805" s="20" t="str">
        <f aca="false">IF(B1805="","",IF(G1805&lt;&gt;"",G1805,E1805))</f>
        <v/>
      </c>
      <c r="J1805" s="21" t="str">
        <f aca="false">IF(B1805="","",IF(H1805&lt;&gt;"",H1805,F1805))</f>
        <v/>
      </c>
      <c r="K1805" s="26" t="str">
        <f aca="false">IF(A1805="","",DATE(YEAR(A1805),MONTH(A1805),1))</f>
        <v/>
      </c>
      <c r="L1805" s="21" t="str">
        <f aca="false">IF(J1805="",IF(B1805="","",IF(N(C1805)&gt;=0,"Income","Expense")),IFERROR(INDEX(Lists!$B$2:$B$30,MATCH(J1805,Lists!$A$2:$A$30,0)),""))</f>
        <v/>
      </c>
      <c r="M1805" s="24"/>
      <c r="N1805" s="27" t="str">
        <f aca="false">IF(B1805="","",IFERROR(1000-SUMPRODUCT(MAX(ISNUMBER(SEARCH(Rules!$A$5:$A$204,B1805))*(Rules!$A$5:$A$204&lt;&gt;"")*(1000-ROW(Rules!$A$5:$A$204)))),""))</f>
        <v/>
      </c>
    </row>
    <row r="1806" customFormat="false" ht="15" hidden="false" customHeight="false" outlineLevel="0" collapsed="false">
      <c r="A1806" s="23"/>
      <c r="B1806" s="24"/>
      <c r="C1806" s="25"/>
      <c r="D1806" s="24"/>
      <c r="E1806" s="21" t="str">
        <f aca="false">IF(OR(B1806="",N(N1806)=0,N1806=1000),IF(B1806="","","Check"),INDEX(Rules!$B:$B,N1806))</f>
        <v/>
      </c>
      <c r="F1806" s="21" t="str">
        <f aca="false">IF(OR(B1806="",N(N1806)=0,N1806=1000),"",INDEX(Rules!$C:$C,N1806))</f>
        <v/>
      </c>
      <c r="G1806" s="24"/>
      <c r="H1806" s="24"/>
      <c r="I1806" s="20" t="str">
        <f aca="false">IF(B1806="","",IF(G1806&lt;&gt;"",G1806,E1806))</f>
        <v/>
      </c>
      <c r="J1806" s="21" t="str">
        <f aca="false">IF(B1806="","",IF(H1806&lt;&gt;"",H1806,F1806))</f>
        <v/>
      </c>
      <c r="K1806" s="26" t="str">
        <f aca="false">IF(A1806="","",DATE(YEAR(A1806),MONTH(A1806),1))</f>
        <v/>
      </c>
      <c r="L1806" s="21" t="str">
        <f aca="false">IF(J1806="",IF(B1806="","",IF(N(C1806)&gt;=0,"Income","Expense")),IFERROR(INDEX(Lists!$B$2:$B$30,MATCH(J1806,Lists!$A$2:$A$30,0)),""))</f>
        <v/>
      </c>
      <c r="M1806" s="24"/>
      <c r="N1806" s="27" t="str">
        <f aca="false">IF(B1806="","",IFERROR(1000-SUMPRODUCT(MAX(ISNUMBER(SEARCH(Rules!$A$5:$A$204,B1806))*(Rules!$A$5:$A$204&lt;&gt;"")*(1000-ROW(Rules!$A$5:$A$204)))),""))</f>
        <v/>
      </c>
    </row>
    <row r="1807" customFormat="false" ht="15" hidden="false" customHeight="false" outlineLevel="0" collapsed="false">
      <c r="A1807" s="23"/>
      <c r="B1807" s="24"/>
      <c r="C1807" s="25"/>
      <c r="D1807" s="24"/>
      <c r="E1807" s="21" t="str">
        <f aca="false">IF(OR(B1807="",N(N1807)=0,N1807=1000),IF(B1807="","","Check"),INDEX(Rules!$B:$B,N1807))</f>
        <v/>
      </c>
      <c r="F1807" s="21" t="str">
        <f aca="false">IF(OR(B1807="",N(N1807)=0,N1807=1000),"",INDEX(Rules!$C:$C,N1807))</f>
        <v/>
      </c>
      <c r="G1807" s="24"/>
      <c r="H1807" s="24"/>
      <c r="I1807" s="20" t="str">
        <f aca="false">IF(B1807="","",IF(G1807&lt;&gt;"",G1807,E1807))</f>
        <v/>
      </c>
      <c r="J1807" s="21" t="str">
        <f aca="false">IF(B1807="","",IF(H1807&lt;&gt;"",H1807,F1807))</f>
        <v/>
      </c>
      <c r="K1807" s="26" t="str">
        <f aca="false">IF(A1807="","",DATE(YEAR(A1807),MONTH(A1807),1))</f>
        <v/>
      </c>
      <c r="L1807" s="21" t="str">
        <f aca="false">IF(J1807="",IF(B1807="","",IF(N(C1807)&gt;=0,"Income","Expense")),IFERROR(INDEX(Lists!$B$2:$B$30,MATCH(J1807,Lists!$A$2:$A$30,0)),""))</f>
        <v/>
      </c>
      <c r="M1807" s="24"/>
      <c r="N1807" s="27" t="str">
        <f aca="false">IF(B1807="","",IFERROR(1000-SUMPRODUCT(MAX(ISNUMBER(SEARCH(Rules!$A$5:$A$204,B1807))*(Rules!$A$5:$A$204&lt;&gt;"")*(1000-ROW(Rules!$A$5:$A$204)))),""))</f>
        <v/>
      </c>
    </row>
    <row r="1808" customFormat="false" ht="15" hidden="false" customHeight="false" outlineLevel="0" collapsed="false">
      <c r="A1808" s="23"/>
      <c r="B1808" s="24"/>
      <c r="C1808" s="25"/>
      <c r="D1808" s="24"/>
      <c r="E1808" s="21" t="str">
        <f aca="false">IF(OR(B1808="",N(N1808)=0,N1808=1000),IF(B1808="","","Check"),INDEX(Rules!$B:$B,N1808))</f>
        <v/>
      </c>
      <c r="F1808" s="21" t="str">
        <f aca="false">IF(OR(B1808="",N(N1808)=0,N1808=1000),"",INDEX(Rules!$C:$C,N1808))</f>
        <v/>
      </c>
      <c r="G1808" s="24"/>
      <c r="H1808" s="24"/>
      <c r="I1808" s="20" t="str">
        <f aca="false">IF(B1808="","",IF(G1808&lt;&gt;"",G1808,E1808))</f>
        <v/>
      </c>
      <c r="J1808" s="21" t="str">
        <f aca="false">IF(B1808="","",IF(H1808&lt;&gt;"",H1808,F1808))</f>
        <v/>
      </c>
      <c r="K1808" s="26" t="str">
        <f aca="false">IF(A1808="","",DATE(YEAR(A1808),MONTH(A1808),1))</f>
        <v/>
      </c>
      <c r="L1808" s="21" t="str">
        <f aca="false">IF(J1808="",IF(B1808="","",IF(N(C1808)&gt;=0,"Income","Expense")),IFERROR(INDEX(Lists!$B$2:$B$30,MATCH(J1808,Lists!$A$2:$A$30,0)),""))</f>
        <v/>
      </c>
      <c r="M1808" s="24"/>
      <c r="N1808" s="27" t="str">
        <f aca="false">IF(B1808="","",IFERROR(1000-SUMPRODUCT(MAX(ISNUMBER(SEARCH(Rules!$A$5:$A$204,B1808))*(Rules!$A$5:$A$204&lt;&gt;"")*(1000-ROW(Rules!$A$5:$A$204)))),""))</f>
        <v/>
      </c>
    </row>
    <row r="1809" customFormat="false" ht="15" hidden="false" customHeight="false" outlineLevel="0" collapsed="false">
      <c r="A1809" s="23"/>
      <c r="B1809" s="24"/>
      <c r="C1809" s="25"/>
      <c r="D1809" s="24"/>
      <c r="E1809" s="21" t="str">
        <f aca="false">IF(OR(B1809="",N(N1809)=0,N1809=1000),IF(B1809="","","Check"),INDEX(Rules!$B:$B,N1809))</f>
        <v/>
      </c>
      <c r="F1809" s="21" t="str">
        <f aca="false">IF(OR(B1809="",N(N1809)=0,N1809=1000),"",INDEX(Rules!$C:$C,N1809))</f>
        <v/>
      </c>
      <c r="G1809" s="24"/>
      <c r="H1809" s="24"/>
      <c r="I1809" s="20" t="str">
        <f aca="false">IF(B1809="","",IF(G1809&lt;&gt;"",G1809,E1809))</f>
        <v/>
      </c>
      <c r="J1809" s="21" t="str">
        <f aca="false">IF(B1809="","",IF(H1809&lt;&gt;"",H1809,F1809))</f>
        <v/>
      </c>
      <c r="K1809" s="26" t="str">
        <f aca="false">IF(A1809="","",DATE(YEAR(A1809),MONTH(A1809),1))</f>
        <v/>
      </c>
      <c r="L1809" s="21" t="str">
        <f aca="false">IF(J1809="",IF(B1809="","",IF(N(C1809)&gt;=0,"Income","Expense")),IFERROR(INDEX(Lists!$B$2:$B$30,MATCH(J1809,Lists!$A$2:$A$30,0)),""))</f>
        <v/>
      </c>
      <c r="M1809" s="24"/>
      <c r="N1809" s="27" t="str">
        <f aca="false">IF(B1809="","",IFERROR(1000-SUMPRODUCT(MAX(ISNUMBER(SEARCH(Rules!$A$5:$A$204,B1809))*(Rules!$A$5:$A$204&lt;&gt;"")*(1000-ROW(Rules!$A$5:$A$204)))),""))</f>
        <v/>
      </c>
    </row>
    <row r="1810" customFormat="false" ht="15" hidden="false" customHeight="false" outlineLevel="0" collapsed="false">
      <c r="A1810" s="23"/>
      <c r="B1810" s="24"/>
      <c r="C1810" s="25"/>
      <c r="D1810" s="24"/>
      <c r="E1810" s="21" t="str">
        <f aca="false">IF(OR(B1810="",N(N1810)=0,N1810=1000),IF(B1810="","","Check"),INDEX(Rules!$B:$B,N1810))</f>
        <v/>
      </c>
      <c r="F1810" s="21" t="str">
        <f aca="false">IF(OR(B1810="",N(N1810)=0,N1810=1000),"",INDEX(Rules!$C:$C,N1810))</f>
        <v/>
      </c>
      <c r="G1810" s="24"/>
      <c r="H1810" s="24"/>
      <c r="I1810" s="20" t="str">
        <f aca="false">IF(B1810="","",IF(G1810&lt;&gt;"",G1810,E1810))</f>
        <v/>
      </c>
      <c r="J1810" s="21" t="str">
        <f aca="false">IF(B1810="","",IF(H1810&lt;&gt;"",H1810,F1810))</f>
        <v/>
      </c>
      <c r="K1810" s="26" t="str">
        <f aca="false">IF(A1810="","",DATE(YEAR(A1810),MONTH(A1810),1))</f>
        <v/>
      </c>
      <c r="L1810" s="21" t="str">
        <f aca="false">IF(J1810="",IF(B1810="","",IF(N(C1810)&gt;=0,"Income","Expense")),IFERROR(INDEX(Lists!$B$2:$B$30,MATCH(J1810,Lists!$A$2:$A$30,0)),""))</f>
        <v/>
      </c>
      <c r="M1810" s="24"/>
      <c r="N1810" s="27" t="str">
        <f aca="false">IF(B1810="","",IFERROR(1000-SUMPRODUCT(MAX(ISNUMBER(SEARCH(Rules!$A$5:$A$204,B1810))*(Rules!$A$5:$A$204&lt;&gt;"")*(1000-ROW(Rules!$A$5:$A$204)))),""))</f>
        <v/>
      </c>
    </row>
    <row r="1811" customFormat="false" ht="15" hidden="false" customHeight="false" outlineLevel="0" collapsed="false">
      <c r="A1811" s="23"/>
      <c r="B1811" s="24"/>
      <c r="C1811" s="25"/>
      <c r="D1811" s="24"/>
      <c r="E1811" s="21" t="str">
        <f aca="false">IF(OR(B1811="",N(N1811)=0,N1811=1000),IF(B1811="","","Check"),INDEX(Rules!$B:$B,N1811))</f>
        <v/>
      </c>
      <c r="F1811" s="21" t="str">
        <f aca="false">IF(OR(B1811="",N(N1811)=0,N1811=1000),"",INDEX(Rules!$C:$C,N1811))</f>
        <v/>
      </c>
      <c r="G1811" s="24"/>
      <c r="H1811" s="24"/>
      <c r="I1811" s="20" t="str">
        <f aca="false">IF(B1811="","",IF(G1811&lt;&gt;"",G1811,E1811))</f>
        <v/>
      </c>
      <c r="J1811" s="21" t="str">
        <f aca="false">IF(B1811="","",IF(H1811&lt;&gt;"",H1811,F1811))</f>
        <v/>
      </c>
      <c r="K1811" s="26" t="str">
        <f aca="false">IF(A1811="","",DATE(YEAR(A1811),MONTH(A1811),1))</f>
        <v/>
      </c>
      <c r="L1811" s="21" t="str">
        <f aca="false">IF(J1811="",IF(B1811="","",IF(N(C1811)&gt;=0,"Income","Expense")),IFERROR(INDEX(Lists!$B$2:$B$30,MATCH(J1811,Lists!$A$2:$A$30,0)),""))</f>
        <v/>
      </c>
      <c r="M1811" s="24"/>
      <c r="N1811" s="27" t="str">
        <f aca="false">IF(B1811="","",IFERROR(1000-SUMPRODUCT(MAX(ISNUMBER(SEARCH(Rules!$A$5:$A$204,B1811))*(Rules!$A$5:$A$204&lt;&gt;"")*(1000-ROW(Rules!$A$5:$A$204)))),""))</f>
        <v/>
      </c>
    </row>
    <row r="1812" customFormat="false" ht="15" hidden="false" customHeight="false" outlineLevel="0" collapsed="false">
      <c r="A1812" s="23"/>
      <c r="B1812" s="24"/>
      <c r="C1812" s="25"/>
      <c r="D1812" s="24"/>
      <c r="E1812" s="21" t="str">
        <f aca="false">IF(OR(B1812="",N(N1812)=0,N1812=1000),IF(B1812="","","Check"),INDEX(Rules!$B:$B,N1812))</f>
        <v/>
      </c>
      <c r="F1812" s="21" t="str">
        <f aca="false">IF(OR(B1812="",N(N1812)=0,N1812=1000),"",INDEX(Rules!$C:$C,N1812))</f>
        <v/>
      </c>
      <c r="G1812" s="24"/>
      <c r="H1812" s="24"/>
      <c r="I1812" s="20" t="str">
        <f aca="false">IF(B1812="","",IF(G1812&lt;&gt;"",G1812,E1812))</f>
        <v/>
      </c>
      <c r="J1812" s="21" t="str">
        <f aca="false">IF(B1812="","",IF(H1812&lt;&gt;"",H1812,F1812))</f>
        <v/>
      </c>
      <c r="K1812" s="26" t="str">
        <f aca="false">IF(A1812="","",DATE(YEAR(A1812),MONTH(A1812),1))</f>
        <v/>
      </c>
      <c r="L1812" s="21" t="str">
        <f aca="false">IF(J1812="",IF(B1812="","",IF(N(C1812)&gt;=0,"Income","Expense")),IFERROR(INDEX(Lists!$B$2:$B$30,MATCH(J1812,Lists!$A$2:$A$30,0)),""))</f>
        <v/>
      </c>
      <c r="M1812" s="24"/>
      <c r="N1812" s="27" t="str">
        <f aca="false">IF(B1812="","",IFERROR(1000-SUMPRODUCT(MAX(ISNUMBER(SEARCH(Rules!$A$5:$A$204,B1812))*(Rules!$A$5:$A$204&lt;&gt;"")*(1000-ROW(Rules!$A$5:$A$204)))),""))</f>
        <v/>
      </c>
    </row>
    <row r="1813" customFormat="false" ht="15" hidden="false" customHeight="false" outlineLevel="0" collapsed="false">
      <c r="A1813" s="23"/>
      <c r="B1813" s="24"/>
      <c r="C1813" s="25"/>
      <c r="D1813" s="24"/>
      <c r="E1813" s="21" t="str">
        <f aca="false">IF(OR(B1813="",N(N1813)=0,N1813=1000),IF(B1813="","","Check"),INDEX(Rules!$B:$B,N1813))</f>
        <v/>
      </c>
      <c r="F1813" s="21" t="str">
        <f aca="false">IF(OR(B1813="",N(N1813)=0,N1813=1000),"",INDEX(Rules!$C:$C,N1813))</f>
        <v/>
      </c>
      <c r="G1813" s="24"/>
      <c r="H1813" s="24"/>
      <c r="I1813" s="20" t="str">
        <f aca="false">IF(B1813="","",IF(G1813&lt;&gt;"",G1813,E1813))</f>
        <v/>
      </c>
      <c r="J1813" s="21" t="str">
        <f aca="false">IF(B1813="","",IF(H1813&lt;&gt;"",H1813,F1813))</f>
        <v/>
      </c>
      <c r="K1813" s="26" t="str">
        <f aca="false">IF(A1813="","",DATE(YEAR(A1813),MONTH(A1813),1))</f>
        <v/>
      </c>
      <c r="L1813" s="21" t="str">
        <f aca="false">IF(J1813="",IF(B1813="","",IF(N(C1813)&gt;=0,"Income","Expense")),IFERROR(INDEX(Lists!$B$2:$B$30,MATCH(J1813,Lists!$A$2:$A$30,0)),""))</f>
        <v/>
      </c>
      <c r="M1813" s="24"/>
      <c r="N1813" s="27" t="str">
        <f aca="false">IF(B1813="","",IFERROR(1000-SUMPRODUCT(MAX(ISNUMBER(SEARCH(Rules!$A$5:$A$204,B1813))*(Rules!$A$5:$A$204&lt;&gt;"")*(1000-ROW(Rules!$A$5:$A$204)))),""))</f>
        <v/>
      </c>
    </row>
    <row r="1814" customFormat="false" ht="15" hidden="false" customHeight="false" outlineLevel="0" collapsed="false">
      <c r="A1814" s="23"/>
      <c r="B1814" s="24"/>
      <c r="C1814" s="25"/>
      <c r="D1814" s="24"/>
      <c r="E1814" s="21" t="str">
        <f aca="false">IF(OR(B1814="",N(N1814)=0,N1814=1000),IF(B1814="","","Check"),INDEX(Rules!$B:$B,N1814))</f>
        <v/>
      </c>
      <c r="F1814" s="21" t="str">
        <f aca="false">IF(OR(B1814="",N(N1814)=0,N1814=1000),"",INDEX(Rules!$C:$C,N1814))</f>
        <v/>
      </c>
      <c r="G1814" s="24"/>
      <c r="H1814" s="24"/>
      <c r="I1814" s="20" t="str">
        <f aca="false">IF(B1814="","",IF(G1814&lt;&gt;"",G1814,E1814))</f>
        <v/>
      </c>
      <c r="J1814" s="21" t="str">
        <f aca="false">IF(B1814="","",IF(H1814&lt;&gt;"",H1814,F1814))</f>
        <v/>
      </c>
      <c r="K1814" s="26" t="str">
        <f aca="false">IF(A1814="","",DATE(YEAR(A1814),MONTH(A1814),1))</f>
        <v/>
      </c>
      <c r="L1814" s="21" t="str">
        <f aca="false">IF(J1814="",IF(B1814="","",IF(N(C1814)&gt;=0,"Income","Expense")),IFERROR(INDEX(Lists!$B$2:$B$30,MATCH(J1814,Lists!$A$2:$A$30,0)),""))</f>
        <v/>
      </c>
      <c r="M1814" s="24"/>
      <c r="N1814" s="27" t="str">
        <f aca="false">IF(B1814="","",IFERROR(1000-SUMPRODUCT(MAX(ISNUMBER(SEARCH(Rules!$A$5:$A$204,B1814))*(Rules!$A$5:$A$204&lt;&gt;"")*(1000-ROW(Rules!$A$5:$A$204)))),""))</f>
        <v/>
      </c>
    </row>
    <row r="1815" customFormat="false" ht="15" hidden="false" customHeight="false" outlineLevel="0" collapsed="false">
      <c r="A1815" s="23"/>
      <c r="B1815" s="24"/>
      <c r="C1815" s="25"/>
      <c r="D1815" s="24"/>
      <c r="E1815" s="21" t="str">
        <f aca="false">IF(OR(B1815="",N(N1815)=0,N1815=1000),IF(B1815="","","Check"),INDEX(Rules!$B:$B,N1815))</f>
        <v/>
      </c>
      <c r="F1815" s="21" t="str">
        <f aca="false">IF(OR(B1815="",N(N1815)=0,N1815=1000),"",INDEX(Rules!$C:$C,N1815))</f>
        <v/>
      </c>
      <c r="G1815" s="24"/>
      <c r="H1815" s="24"/>
      <c r="I1815" s="20" t="str">
        <f aca="false">IF(B1815="","",IF(G1815&lt;&gt;"",G1815,E1815))</f>
        <v/>
      </c>
      <c r="J1815" s="21" t="str">
        <f aca="false">IF(B1815="","",IF(H1815&lt;&gt;"",H1815,F1815))</f>
        <v/>
      </c>
      <c r="K1815" s="26" t="str">
        <f aca="false">IF(A1815="","",DATE(YEAR(A1815),MONTH(A1815),1))</f>
        <v/>
      </c>
      <c r="L1815" s="21" t="str">
        <f aca="false">IF(J1815="",IF(B1815="","",IF(N(C1815)&gt;=0,"Income","Expense")),IFERROR(INDEX(Lists!$B$2:$B$30,MATCH(J1815,Lists!$A$2:$A$30,0)),""))</f>
        <v/>
      </c>
      <c r="M1815" s="24"/>
      <c r="N1815" s="27" t="str">
        <f aca="false">IF(B1815="","",IFERROR(1000-SUMPRODUCT(MAX(ISNUMBER(SEARCH(Rules!$A$5:$A$204,B1815))*(Rules!$A$5:$A$204&lt;&gt;"")*(1000-ROW(Rules!$A$5:$A$204)))),""))</f>
        <v/>
      </c>
    </row>
    <row r="1816" customFormat="false" ht="15" hidden="false" customHeight="false" outlineLevel="0" collapsed="false">
      <c r="A1816" s="23"/>
      <c r="B1816" s="24"/>
      <c r="C1816" s="25"/>
      <c r="D1816" s="24"/>
      <c r="E1816" s="21" t="str">
        <f aca="false">IF(OR(B1816="",N(N1816)=0,N1816=1000),IF(B1816="","","Check"),INDEX(Rules!$B:$B,N1816))</f>
        <v/>
      </c>
      <c r="F1816" s="21" t="str">
        <f aca="false">IF(OR(B1816="",N(N1816)=0,N1816=1000),"",INDEX(Rules!$C:$C,N1816))</f>
        <v/>
      </c>
      <c r="G1816" s="24"/>
      <c r="H1816" s="24"/>
      <c r="I1816" s="20" t="str">
        <f aca="false">IF(B1816="","",IF(G1816&lt;&gt;"",G1816,E1816))</f>
        <v/>
      </c>
      <c r="J1816" s="21" t="str">
        <f aca="false">IF(B1816="","",IF(H1816&lt;&gt;"",H1816,F1816))</f>
        <v/>
      </c>
      <c r="K1816" s="26" t="str">
        <f aca="false">IF(A1816="","",DATE(YEAR(A1816),MONTH(A1816),1))</f>
        <v/>
      </c>
      <c r="L1816" s="21" t="str">
        <f aca="false">IF(J1816="",IF(B1816="","",IF(N(C1816)&gt;=0,"Income","Expense")),IFERROR(INDEX(Lists!$B$2:$B$30,MATCH(J1816,Lists!$A$2:$A$30,0)),""))</f>
        <v/>
      </c>
      <c r="M1816" s="24"/>
      <c r="N1816" s="27" t="str">
        <f aca="false">IF(B1816="","",IFERROR(1000-SUMPRODUCT(MAX(ISNUMBER(SEARCH(Rules!$A$5:$A$204,B1816))*(Rules!$A$5:$A$204&lt;&gt;"")*(1000-ROW(Rules!$A$5:$A$204)))),""))</f>
        <v/>
      </c>
    </row>
    <row r="1817" customFormat="false" ht="15" hidden="false" customHeight="false" outlineLevel="0" collapsed="false">
      <c r="A1817" s="23"/>
      <c r="B1817" s="24"/>
      <c r="C1817" s="25"/>
      <c r="D1817" s="24"/>
      <c r="E1817" s="21" t="str">
        <f aca="false">IF(OR(B1817="",N(N1817)=0,N1817=1000),IF(B1817="","","Check"),INDEX(Rules!$B:$B,N1817))</f>
        <v/>
      </c>
      <c r="F1817" s="21" t="str">
        <f aca="false">IF(OR(B1817="",N(N1817)=0,N1817=1000),"",INDEX(Rules!$C:$C,N1817))</f>
        <v/>
      </c>
      <c r="G1817" s="24"/>
      <c r="H1817" s="24"/>
      <c r="I1817" s="20" t="str">
        <f aca="false">IF(B1817="","",IF(G1817&lt;&gt;"",G1817,E1817))</f>
        <v/>
      </c>
      <c r="J1817" s="21" t="str">
        <f aca="false">IF(B1817="","",IF(H1817&lt;&gt;"",H1817,F1817))</f>
        <v/>
      </c>
      <c r="K1817" s="26" t="str">
        <f aca="false">IF(A1817="","",DATE(YEAR(A1817),MONTH(A1817),1))</f>
        <v/>
      </c>
      <c r="L1817" s="21" t="str">
        <f aca="false">IF(J1817="",IF(B1817="","",IF(N(C1817)&gt;=0,"Income","Expense")),IFERROR(INDEX(Lists!$B$2:$B$30,MATCH(J1817,Lists!$A$2:$A$30,0)),""))</f>
        <v/>
      </c>
      <c r="M1817" s="24"/>
      <c r="N1817" s="27" t="str">
        <f aca="false">IF(B1817="","",IFERROR(1000-SUMPRODUCT(MAX(ISNUMBER(SEARCH(Rules!$A$5:$A$204,B1817))*(Rules!$A$5:$A$204&lt;&gt;"")*(1000-ROW(Rules!$A$5:$A$204)))),""))</f>
        <v/>
      </c>
    </row>
    <row r="1818" customFormat="false" ht="15" hidden="false" customHeight="false" outlineLevel="0" collapsed="false">
      <c r="A1818" s="23"/>
      <c r="B1818" s="24"/>
      <c r="C1818" s="25"/>
      <c r="D1818" s="24"/>
      <c r="E1818" s="21" t="str">
        <f aca="false">IF(OR(B1818="",N(N1818)=0,N1818=1000),IF(B1818="","","Check"),INDEX(Rules!$B:$B,N1818))</f>
        <v/>
      </c>
      <c r="F1818" s="21" t="str">
        <f aca="false">IF(OR(B1818="",N(N1818)=0,N1818=1000),"",INDEX(Rules!$C:$C,N1818))</f>
        <v/>
      </c>
      <c r="G1818" s="24"/>
      <c r="H1818" s="24"/>
      <c r="I1818" s="20" t="str">
        <f aca="false">IF(B1818="","",IF(G1818&lt;&gt;"",G1818,E1818))</f>
        <v/>
      </c>
      <c r="J1818" s="21" t="str">
        <f aca="false">IF(B1818="","",IF(H1818&lt;&gt;"",H1818,F1818))</f>
        <v/>
      </c>
      <c r="K1818" s="26" t="str">
        <f aca="false">IF(A1818="","",DATE(YEAR(A1818),MONTH(A1818),1))</f>
        <v/>
      </c>
      <c r="L1818" s="21" t="str">
        <f aca="false">IF(J1818="",IF(B1818="","",IF(N(C1818)&gt;=0,"Income","Expense")),IFERROR(INDEX(Lists!$B$2:$B$30,MATCH(J1818,Lists!$A$2:$A$30,0)),""))</f>
        <v/>
      </c>
      <c r="M1818" s="24"/>
      <c r="N1818" s="27" t="str">
        <f aca="false">IF(B1818="","",IFERROR(1000-SUMPRODUCT(MAX(ISNUMBER(SEARCH(Rules!$A$5:$A$204,B1818))*(Rules!$A$5:$A$204&lt;&gt;"")*(1000-ROW(Rules!$A$5:$A$204)))),""))</f>
        <v/>
      </c>
    </row>
    <row r="1819" customFormat="false" ht="15" hidden="false" customHeight="false" outlineLevel="0" collapsed="false">
      <c r="A1819" s="23"/>
      <c r="B1819" s="24"/>
      <c r="C1819" s="25"/>
      <c r="D1819" s="24"/>
      <c r="E1819" s="21" t="str">
        <f aca="false">IF(OR(B1819="",N(N1819)=0,N1819=1000),IF(B1819="","","Check"),INDEX(Rules!$B:$B,N1819))</f>
        <v/>
      </c>
      <c r="F1819" s="21" t="str">
        <f aca="false">IF(OR(B1819="",N(N1819)=0,N1819=1000),"",INDEX(Rules!$C:$C,N1819))</f>
        <v/>
      </c>
      <c r="G1819" s="24"/>
      <c r="H1819" s="24"/>
      <c r="I1819" s="20" t="str">
        <f aca="false">IF(B1819="","",IF(G1819&lt;&gt;"",G1819,E1819))</f>
        <v/>
      </c>
      <c r="J1819" s="21" t="str">
        <f aca="false">IF(B1819="","",IF(H1819&lt;&gt;"",H1819,F1819))</f>
        <v/>
      </c>
      <c r="K1819" s="26" t="str">
        <f aca="false">IF(A1819="","",DATE(YEAR(A1819),MONTH(A1819),1))</f>
        <v/>
      </c>
      <c r="L1819" s="21" t="str">
        <f aca="false">IF(J1819="",IF(B1819="","",IF(N(C1819)&gt;=0,"Income","Expense")),IFERROR(INDEX(Lists!$B$2:$B$30,MATCH(J1819,Lists!$A$2:$A$30,0)),""))</f>
        <v/>
      </c>
      <c r="M1819" s="24"/>
      <c r="N1819" s="27" t="str">
        <f aca="false">IF(B1819="","",IFERROR(1000-SUMPRODUCT(MAX(ISNUMBER(SEARCH(Rules!$A$5:$A$204,B1819))*(Rules!$A$5:$A$204&lt;&gt;"")*(1000-ROW(Rules!$A$5:$A$204)))),""))</f>
        <v/>
      </c>
    </row>
    <row r="1820" customFormat="false" ht="15" hidden="false" customHeight="false" outlineLevel="0" collapsed="false">
      <c r="A1820" s="23"/>
      <c r="B1820" s="24"/>
      <c r="C1820" s="25"/>
      <c r="D1820" s="24"/>
      <c r="E1820" s="21" t="str">
        <f aca="false">IF(OR(B1820="",N(N1820)=0,N1820=1000),IF(B1820="","","Check"),INDEX(Rules!$B:$B,N1820))</f>
        <v/>
      </c>
      <c r="F1820" s="21" t="str">
        <f aca="false">IF(OR(B1820="",N(N1820)=0,N1820=1000),"",INDEX(Rules!$C:$C,N1820))</f>
        <v/>
      </c>
      <c r="G1820" s="24"/>
      <c r="H1820" s="24"/>
      <c r="I1820" s="20" t="str">
        <f aca="false">IF(B1820="","",IF(G1820&lt;&gt;"",G1820,E1820))</f>
        <v/>
      </c>
      <c r="J1820" s="21" t="str">
        <f aca="false">IF(B1820="","",IF(H1820&lt;&gt;"",H1820,F1820))</f>
        <v/>
      </c>
      <c r="K1820" s="26" t="str">
        <f aca="false">IF(A1820="","",DATE(YEAR(A1820),MONTH(A1820),1))</f>
        <v/>
      </c>
      <c r="L1820" s="21" t="str">
        <f aca="false">IF(J1820="",IF(B1820="","",IF(N(C1820)&gt;=0,"Income","Expense")),IFERROR(INDEX(Lists!$B$2:$B$30,MATCH(J1820,Lists!$A$2:$A$30,0)),""))</f>
        <v/>
      </c>
      <c r="M1820" s="24"/>
      <c r="N1820" s="27" t="str">
        <f aca="false">IF(B1820="","",IFERROR(1000-SUMPRODUCT(MAX(ISNUMBER(SEARCH(Rules!$A$5:$A$204,B1820))*(Rules!$A$5:$A$204&lt;&gt;"")*(1000-ROW(Rules!$A$5:$A$204)))),""))</f>
        <v/>
      </c>
    </row>
    <row r="1821" customFormat="false" ht="15" hidden="false" customHeight="false" outlineLevel="0" collapsed="false">
      <c r="A1821" s="23"/>
      <c r="B1821" s="24"/>
      <c r="C1821" s="25"/>
      <c r="D1821" s="24"/>
      <c r="E1821" s="21" t="str">
        <f aca="false">IF(OR(B1821="",N(N1821)=0,N1821=1000),IF(B1821="","","Check"),INDEX(Rules!$B:$B,N1821))</f>
        <v/>
      </c>
      <c r="F1821" s="21" t="str">
        <f aca="false">IF(OR(B1821="",N(N1821)=0,N1821=1000),"",INDEX(Rules!$C:$C,N1821))</f>
        <v/>
      </c>
      <c r="G1821" s="24"/>
      <c r="H1821" s="24"/>
      <c r="I1821" s="20" t="str">
        <f aca="false">IF(B1821="","",IF(G1821&lt;&gt;"",G1821,E1821))</f>
        <v/>
      </c>
      <c r="J1821" s="21" t="str">
        <f aca="false">IF(B1821="","",IF(H1821&lt;&gt;"",H1821,F1821))</f>
        <v/>
      </c>
      <c r="K1821" s="26" t="str">
        <f aca="false">IF(A1821="","",DATE(YEAR(A1821),MONTH(A1821),1))</f>
        <v/>
      </c>
      <c r="L1821" s="21" t="str">
        <f aca="false">IF(J1821="",IF(B1821="","",IF(N(C1821)&gt;=0,"Income","Expense")),IFERROR(INDEX(Lists!$B$2:$B$30,MATCH(J1821,Lists!$A$2:$A$30,0)),""))</f>
        <v/>
      </c>
      <c r="M1821" s="24"/>
      <c r="N1821" s="27" t="str">
        <f aca="false">IF(B1821="","",IFERROR(1000-SUMPRODUCT(MAX(ISNUMBER(SEARCH(Rules!$A$5:$A$204,B1821))*(Rules!$A$5:$A$204&lt;&gt;"")*(1000-ROW(Rules!$A$5:$A$204)))),""))</f>
        <v/>
      </c>
    </row>
    <row r="1822" customFormat="false" ht="15" hidden="false" customHeight="false" outlineLevel="0" collapsed="false">
      <c r="A1822" s="23"/>
      <c r="B1822" s="24"/>
      <c r="C1822" s="25"/>
      <c r="D1822" s="24"/>
      <c r="E1822" s="21" t="str">
        <f aca="false">IF(OR(B1822="",N(N1822)=0,N1822=1000),IF(B1822="","","Check"),INDEX(Rules!$B:$B,N1822))</f>
        <v/>
      </c>
      <c r="F1822" s="21" t="str">
        <f aca="false">IF(OR(B1822="",N(N1822)=0,N1822=1000),"",INDEX(Rules!$C:$C,N1822))</f>
        <v/>
      </c>
      <c r="G1822" s="24"/>
      <c r="H1822" s="24"/>
      <c r="I1822" s="20" t="str">
        <f aca="false">IF(B1822="","",IF(G1822&lt;&gt;"",G1822,E1822))</f>
        <v/>
      </c>
      <c r="J1822" s="21" t="str">
        <f aca="false">IF(B1822="","",IF(H1822&lt;&gt;"",H1822,F1822))</f>
        <v/>
      </c>
      <c r="K1822" s="26" t="str">
        <f aca="false">IF(A1822="","",DATE(YEAR(A1822),MONTH(A1822),1))</f>
        <v/>
      </c>
      <c r="L1822" s="21" t="str">
        <f aca="false">IF(J1822="",IF(B1822="","",IF(N(C1822)&gt;=0,"Income","Expense")),IFERROR(INDEX(Lists!$B$2:$B$30,MATCH(J1822,Lists!$A$2:$A$30,0)),""))</f>
        <v/>
      </c>
      <c r="M1822" s="24"/>
      <c r="N1822" s="27" t="str">
        <f aca="false">IF(B1822="","",IFERROR(1000-SUMPRODUCT(MAX(ISNUMBER(SEARCH(Rules!$A$5:$A$204,B1822))*(Rules!$A$5:$A$204&lt;&gt;"")*(1000-ROW(Rules!$A$5:$A$204)))),""))</f>
        <v/>
      </c>
    </row>
    <row r="1823" customFormat="false" ht="15" hidden="false" customHeight="false" outlineLevel="0" collapsed="false">
      <c r="A1823" s="23"/>
      <c r="B1823" s="24"/>
      <c r="C1823" s="25"/>
      <c r="D1823" s="24"/>
      <c r="E1823" s="21" t="str">
        <f aca="false">IF(OR(B1823="",N(N1823)=0,N1823=1000),IF(B1823="","","Check"),INDEX(Rules!$B:$B,N1823))</f>
        <v/>
      </c>
      <c r="F1823" s="21" t="str">
        <f aca="false">IF(OR(B1823="",N(N1823)=0,N1823=1000),"",INDEX(Rules!$C:$C,N1823))</f>
        <v/>
      </c>
      <c r="G1823" s="24"/>
      <c r="H1823" s="24"/>
      <c r="I1823" s="20" t="str">
        <f aca="false">IF(B1823="","",IF(G1823&lt;&gt;"",G1823,E1823))</f>
        <v/>
      </c>
      <c r="J1823" s="21" t="str">
        <f aca="false">IF(B1823="","",IF(H1823&lt;&gt;"",H1823,F1823))</f>
        <v/>
      </c>
      <c r="K1823" s="26" t="str">
        <f aca="false">IF(A1823="","",DATE(YEAR(A1823),MONTH(A1823),1))</f>
        <v/>
      </c>
      <c r="L1823" s="21" t="str">
        <f aca="false">IF(J1823="",IF(B1823="","",IF(N(C1823)&gt;=0,"Income","Expense")),IFERROR(INDEX(Lists!$B$2:$B$30,MATCH(J1823,Lists!$A$2:$A$30,0)),""))</f>
        <v/>
      </c>
      <c r="M1823" s="24"/>
      <c r="N1823" s="27" t="str">
        <f aca="false">IF(B1823="","",IFERROR(1000-SUMPRODUCT(MAX(ISNUMBER(SEARCH(Rules!$A$5:$A$204,B1823))*(Rules!$A$5:$A$204&lt;&gt;"")*(1000-ROW(Rules!$A$5:$A$204)))),""))</f>
        <v/>
      </c>
    </row>
    <row r="1824" customFormat="false" ht="15" hidden="false" customHeight="false" outlineLevel="0" collapsed="false">
      <c r="A1824" s="23"/>
      <c r="B1824" s="24"/>
      <c r="C1824" s="25"/>
      <c r="D1824" s="24"/>
      <c r="E1824" s="21" t="str">
        <f aca="false">IF(OR(B1824="",N(N1824)=0,N1824=1000),IF(B1824="","","Check"),INDEX(Rules!$B:$B,N1824))</f>
        <v/>
      </c>
      <c r="F1824" s="21" t="str">
        <f aca="false">IF(OR(B1824="",N(N1824)=0,N1824=1000),"",INDEX(Rules!$C:$C,N1824))</f>
        <v/>
      </c>
      <c r="G1824" s="24"/>
      <c r="H1824" s="24"/>
      <c r="I1824" s="20" t="str">
        <f aca="false">IF(B1824="","",IF(G1824&lt;&gt;"",G1824,E1824))</f>
        <v/>
      </c>
      <c r="J1824" s="21" t="str">
        <f aca="false">IF(B1824="","",IF(H1824&lt;&gt;"",H1824,F1824))</f>
        <v/>
      </c>
      <c r="K1824" s="26" t="str">
        <f aca="false">IF(A1824="","",DATE(YEAR(A1824),MONTH(A1824),1))</f>
        <v/>
      </c>
      <c r="L1824" s="21" t="str">
        <f aca="false">IF(J1824="",IF(B1824="","",IF(N(C1824)&gt;=0,"Income","Expense")),IFERROR(INDEX(Lists!$B$2:$B$30,MATCH(J1824,Lists!$A$2:$A$30,0)),""))</f>
        <v/>
      </c>
      <c r="M1824" s="24"/>
      <c r="N1824" s="27" t="str">
        <f aca="false">IF(B1824="","",IFERROR(1000-SUMPRODUCT(MAX(ISNUMBER(SEARCH(Rules!$A$5:$A$204,B1824))*(Rules!$A$5:$A$204&lt;&gt;"")*(1000-ROW(Rules!$A$5:$A$204)))),""))</f>
        <v/>
      </c>
    </row>
    <row r="1825" customFormat="false" ht="15" hidden="false" customHeight="false" outlineLevel="0" collapsed="false">
      <c r="A1825" s="23"/>
      <c r="B1825" s="24"/>
      <c r="C1825" s="25"/>
      <c r="D1825" s="24"/>
      <c r="E1825" s="21" t="str">
        <f aca="false">IF(OR(B1825="",N(N1825)=0,N1825=1000),IF(B1825="","","Check"),INDEX(Rules!$B:$B,N1825))</f>
        <v/>
      </c>
      <c r="F1825" s="21" t="str">
        <f aca="false">IF(OR(B1825="",N(N1825)=0,N1825=1000),"",INDEX(Rules!$C:$C,N1825))</f>
        <v/>
      </c>
      <c r="G1825" s="24"/>
      <c r="H1825" s="24"/>
      <c r="I1825" s="20" t="str">
        <f aca="false">IF(B1825="","",IF(G1825&lt;&gt;"",G1825,E1825))</f>
        <v/>
      </c>
      <c r="J1825" s="21" t="str">
        <f aca="false">IF(B1825="","",IF(H1825&lt;&gt;"",H1825,F1825))</f>
        <v/>
      </c>
      <c r="K1825" s="26" t="str">
        <f aca="false">IF(A1825="","",DATE(YEAR(A1825),MONTH(A1825),1))</f>
        <v/>
      </c>
      <c r="L1825" s="21" t="str">
        <f aca="false">IF(J1825="",IF(B1825="","",IF(N(C1825)&gt;=0,"Income","Expense")),IFERROR(INDEX(Lists!$B$2:$B$30,MATCH(J1825,Lists!$A$2:$A$30,0)),""))</f>
        <v/>
      </c>
      <c r="M1825" s="24"/>
      <c r="N1825" s="27" t="str">
        <f aca="false">IF(B1825="","",IFERROR(1000-SUMPRODUCT(MAX(ISNUMBER(SEARCH(Rules!$A$5:$A$204,B1825))*(Rules!$A$5:$A$204&lt;&gt;"")*(1000-ROW(Rules!$A$5:$A$204)))),""))</f>
        <v/>
      </c>
    </row>
    <row r="1826" customFormat="false" ht="15" hidden="false" customHeight="false" outlineLevel="0" collapsed="false">
      <c r="A1826" s="23"/>
      <c r="B1826" s="24"/>
      <c r="C1826" s="25"/>
      <c r="D1826" s="24"/>
      <c r="E1826" s="21" t="str">
        <f aca="false">IF(OR(B1826="",N(N1826)=0,N1826=1000),IF(B1826="","","Check"),INDEX(Rules!$B:$B,N1826))</f>
        <v/>
      </c>
      <c r="F1826" s="21" t="str">
        <f aca="false">IF(OR(B1826="",N(N1826)=0,N1826=1000),"",INDEX(Rules!$C:$C,N1826))</f>
        <v/>
      </c>
      <c r="G1826" s="24"/>
      <c r="H1826" s="24"/>
      <c r="I1826" s="20" t="str">
        <f aca="false">IF(B1826="","",IF(G1826&lt;&gt;"",G1826,E1826))</f>
        <v/>
      </c>
      <c r="J1826" s="21" t="str">
        <f aca="false">IF(B1826="","",IF(H1826&lt;&gt;"",H1826,F1826))</f>
        <v/>
      </c>
      <c r="K1826" s="26" t="str">
        <f aca="false">IF(A1826="","",DATE(YEAR(A1826),MONTH(A1826),1))</f>
        <v/>
      </c>
      <c r="L1826" s="21" t="str">
        <f aca="false">IF(J1826="",IF(B1826="","",IF(N(C1826)&gt;=0,"Income","Expense")),IFERROR(INDEX(Lists!$B$2:$B$30,MATCH(J1826,Lists!$A$2:$A$30,0)),""))</f>
        <v/>
      </c>
      <c r="M1826" s="24"/>
      <c r="N1826" s="27" t="str">
        <f aca="false">IF(B1826="","",IFERROR(1000-SUMPRODUCT(MAX(ISNUMBER(SEARCH(Rules!$A$5:$A$204,B1826))*(Rules!$A$5:$A$204&lt;&gt;"")*(1000-ROW(Rules!$A$5:$A$204)))),""))</f>
        <v/>
      </c>
    </row>
    <row r="1827" customFormat="false" ht="15" hidden="false" customHeight="false" outlineLevel="0" collapsed="false">
      <c r="A1827" s="23"/>
      <c r="B1827" s="24"/>
      <c r="C1827" s="25"/>
      <c r="D1827" s="24"/>
      <c r="E1827" s="21" t="str">
        <f aca="false">IF(OR(B1827="",N(N1827)=0,N1827=1000),IF(B1827="","","Check"),INDEX(Rules!$B:$B,N1827))</f>
        <v/>
      </c>
      <c r="F1827" s="21" t="str">
        <f aca="false">IF(OR(B1827="",N(N1827)=0,N1827=1000),"",INDEX(Rules!$C:$C,N1827))</f>
        <v/>
      </c>
      <c r="G1827" s="24"/>
      <c r="H1827" s="24"/>
      <c r="I1827" s="20" t="str">
        <f aca="false">IF(B1827="","",IF(G1827&lt;&gt;"",G1827,E1827))</f>
        <v/>
      </c>
      <c r="J1827" s="21" t="str">
        <f aca="false">IF(B1827="","",IF(H1827&lt;&gt;"",H1827,F1827))</f>
        <v/>
      </c>
      <c r="K1827" s="26" t="str">
        <f aca="false">IF(A1827="","",DATE(YEAR(A1827),MONTH(A1827),1))</f>
        <v/>
      </c>
      <c r="L1827" s="21" t="str">
        <f aca="false">IF(J1827="",IF(B1827="","",IF(N(C1827)&gt;=0,"Income","Expense")),IFERROR(INDEX(Lists!$B$2:$B$30,MATCH(J1827,Lists!$A$2:$A$30,0)),""))</f>
        <v/>
      </c>
      <c r="M1827" s="24"/>
      <c r="N1827" s="27" t="str">
        <f aca="false">IF(B1827="","",IFERROR(1000-SUMPRODUCT(MAX(ISNUMBER(SEARCH(Rules!$A$5:$A$204,B1827))*(Rules!$A$5:$A$204&lt;&gt;"")*(1000-ROW(Rules!$A$5:$A$204)))),""))</f>
        <v/>
      </c>
    </row>
    <row r="1828" customFormat="false" ht="15" hidden="false" customHeight="false" outlineLevel="0" collapsed="false">
      <c r="A1828" s="23"/>
      <c r="B1828" s="24"/>
      <c r="C1828" s="25"/>
      <c r="D1828" s="24"/>
      <c r="E1828" s="21" t="str">
        <f aca="false">IF(OR(B1828="",N(N1828)=0,N1828=1000),IF(B1828="","","Check"),INDEX(Rules!$B:$B,N1828))</f>
        <v/>
      </c>
      <c r="F1828" s="21" t="str">
        <f aca="false">IF(OR(B1828="",N(N1828)=0,N1828=1000),"",INDEX(Rules!$C:$C,N1828))</f>
        <v/>
      </c>
      <c r="G1828" s="24"/>
      <c r="H1828" s="24"/>
      <c r="I1828" s="20" t="str">
        <f aca="false">IF(B1828="","",IF(G1828&lt;&gt;"",G1828,E1828))</f>
        <v/>
      </c>
      <c r="J1828" s="21" t="str">
        <f aca="false">IF(B1828="","",IF(H1828&lt;&gt;"",H1828,F1828))</f>
        <v/>
      </c>
      <c r="K1828" s="26" t="str">
        <f aca="false">IF(A1828="","",DATE(YEAR(A1828),MONTH(A1828),1))</f>
        <v/>
      </c>
      <c r="L1828" s="21" t="str">
        <f aca="false">IF(J1828="",IF(B1828="","",IF(N(C1828)&gt;=0,"Income","Expense")),IFERROR(INDEX(Lists!$B$2:$B$30,MATCH(J1828,Lists!$A$2:$A$30,0)),""))</f>
        <v/>
      </c>
      <c r="M1828" s="24"/>
      <c r="N1828" s="27" t="str">
        <f aca="false">IF(B1828="","",IFERROR(1000-SUMPRODUCT(MAX(ISNUMBER(SEARCH(Rules!$A$5:$A$204,B1828))*(Rules!$A$5:$A$204&lt;&gt;"")*(1000-ROW(Rules!$A$5:$A$204)))),""))</f>
        <v/>
      </c>
    </row>
    <row r="1829" customFormat="false" ht="15" hidden="false" customHeight="false" outlineLevel="0" collapsed="false">
      <c r="A1829" s="23"/>
      <c r="B1829" s="24"/>
      <c r="C1829" s="25"/>
      <c r="D1829" s="24"/>
      <c r="E1829" s="21" t="str">
        <f aca="false">IF(OR(B1829="",N(N1829)=0,N1829=1000),IF(B1829="","","Check"),INDEX(Rules!$B:$B,N1829))</f>
        <v/>
      </c>
      <c r="F1829" s="21" t="str">
        <f aca="false">IF(OR(B1829="",N(N1829)=0,N1829=1000),"",INDEX(Rules!$C:$C,N1829))</f>
        <v/>
      </c>
      <c r="G1829" s="24"/>
      <c r="H1829" s="24"/>
      <c r="I1829" s="20" t="str">
        <f aca="false">IF(B1829="","",IF(G1829&lt;&gt;"",G1829,E1829))</f>
        <v/>
      </c>
      <c r="J1829" s="21" t="str">
        <f aca="false">IF(B1829="","",IF(H1829&lt;&gt;"",H1829,F1829))</f>
        <v/>
      </c>
      <c r="K1829" s="26" t="str">
        <f aca="false">IF(A1829="","",DATE(YEAR(A1829),MONTH(A1829),1))</f>
        <v/>
      </c>
      <c r="L1829" s="21" t="str">
        <f aca="false">IF(J1829="",IF(B1829="","",IF(N(C1829)&gt;=0,"Income","Expense")),IFERROR(INDEX(Lists!$B$2:$B$30,MATCH(J1829,Lists!$A$2:$A$30,0)),""))</f>
        <v/>
      </c>
      <c r="M1829" s="24"/>
      <c r="N1829" s="27" t="str">
        <f aca="false">IF(B1829="","",IFERROR(1000-SUMPRODUCT(MAX(ISNUMBER(SEARCH(Rules!$A$5:$A$204,B1829))*(Rules!$A$5:$A$204&lt;&gt;"")*(1000-ROW(Rules!$A$5:$A$204)))),""))</f>
        <v/>
      </c>
    </row>
    <row r="1830" customFormat="false" ht="15" hidden="false" customHeight="false" outlineLevel="0" collapsed="false">
      <c r="A1830" s="23"/>
      <c r="B1830" s="24"/>
      <c r="C1830" s="25"/>
      <c r="D1830" s="24"/>
      <c r="E1830" s="21" t="str">
        <f aca="false">IF(OR(B1830="",N(N1830)=0,N1830=1000),IF(B1830="","","Check"),INDEX(Rules!$B:$B,N1830))</f>
        <v/>
      </c>
      <c r="F1830" s="21" t="str">
        <f aca="false">IF(OR(B1830="",N(N1830)=0,N1830=1000),"",INDEX(Rules!$C:$C,N1830))</f>
        <v/>
      </c>
      <c r="G1830" s="24"/>
      <c r="H1830" s="24"/>
      <c r="I1830" s="20" t="str">
        <f aca="false">IF(B1830="","",IF(G1830&lt;&gt;"",G1830,E1830))</f>
        <v/>
      </c>
      <c r="J1830" s="21" t="str">
        <f aca="false">IF(B1830="","",IF(H1830&lt;&gt;"",H1830,F1830))</f>
        <v/>
      </c>
      <c r="K1830" s="26" t="str">
        <f aca="false">IF(A1830="","",DATE(YEAR(A1830),MONTH(A1830),1))</f>
        <v/>
      </c>
      <c r="L1830" s="21" t="str">
        <f aca="false">IF(J1830="",IF(B1830="","",IF(N(C1830)&gt;=0,"Income","Expense")),IFERROR(INDEX(Lists!$B$2:$B$30,MATCH(J1830,Lists!$A$2:$A$30,0)),""))</f>
        <v/>
      </c>
      <c r="M1830" s="24"/>
      <c r="N1830" s="27" t="str">
        <f aca="false">IF(B1830="","",IFERROR(1000-SUMPRODUCT(MAX(ISNUMBER(SEARCH(Rules!$A$5:$A$204,B1830))*(Rules!$A$5:$A$204&lt;&gt;"")*(1000-ROW(Rules!$A$5:$A$204)))),""))</f>
        <v/>
      </c>
    </row>
    <row r="1831" customFormat="false" ht="15" hidden="false" customHeight="false" outlineLevel="0" collapsed="false">
      <c r="A1831" s="23"/>
      <c r="B1831" s="24"/>
      <c r="C1831" s="25"/>
      <c r="D1831" s="24"/>
      <c r="E1831" s="21" t="str">
        <f aca="false">IF(OR(B1831="",N(N1831)=0,N1831=1000),IF(B1831="","","Check"),INDEX(Rules!$B:$B,N1831))</f>
        <v/>
      </c>
      <c r="F1831" s="21" t="str">
        <f aca="false">IF(OR(B1831="",N(N1831)=0,N1831=1000),"",INDEX(Rules!$C:$C,N1831))</f>
        <v/>
      </c>
      <c r="G1831" s="24"/>
      <c r="H1831" s="24"/>
      <c r="I1831" s="20" t="str">
        <f aca="false">IF(B1831="","",IF(G1831&lt;&gt;"",G1831,E1831))</f>
        <v/>
      </c>
      <c r="J1831" s="21" t="str">
        <f aca="false">IF(B1831="","",IF(H1831&lt;&gt;"",H1831,F1831))</f>
        <v/>
      </c>
      <c r="K1831" s="26" t="str">
        <f aca="false">IF(A1831="","",DATE(YEAR(A1831),MONTH(A1831),1))</f>
        <v/>
      </c>
      <c r="L1831" s="21" t="str">
        <f aca="false">IF(J1831="",IF(B1831="","",IF(N(C1831)&gt;=0,"Income","Expense")),IFERROR(INDEX(Lists!$B$2:$B$30,MATCH(J1831,Lists!$A$2:$A$30,0)),""))</f>
        <v/>
      </c>
      <c r="M1831" s="24"/>
      <c r="N1831" s="27" t="str">
        <f aca="false">IF(B1831="","",IFERROR(1000-SUMPRODUCT(MAX(ISNUMBER(SEARCH(Rules!$A$5:$A$204,B1831))*(Rules!$A$5:$A$204&lt;&gt;"")*(1000-ROW(Rules!$A$5:$A$204)))),""))</f>
        <v/>
      </c>
    </row>
    <row r="1832" customFormat="false" ht="15" hidden="false" customHeight="false" outlineLevel="0" collapsed="false">
      <c r="A1832" s="23"/>
      <c r="B1832" s="24"/>
      <c r="C1832" s="25"/>
      <c r="D1832" s="24"/>
      <c r="E1832" s="21" t="str">
        <f aca="false">IF(OR(B1832="",N(N1832)=0,N1832=1000),IF(B1832="","","Check"),INDEX(Rules!$B:$B,N1832))</f>
        <v/>
      </c>
      <c r="F1832" s="21" t="str">
        <f aca="false">IF(OR(B1832="",N(N1832)=0,N1832=1000),"",INDEX(Rules!$C:$C,N1832))</f>
        <v/>
      </c>
      <c r="G1832" s="24"/>
      <c r="H1832" s="24"/>
      <c r="I1832" s="20" t="str">
        <f aca="false">IF(B1832="","",IF(G1832&lt;&gt;"",G1832,E1832))</f>
        <v/>
      </c>
      <c r="J1832" s="21" t="str">
        <f aca="false">IF(B1832="","",IF(H1832&lt;&gt;"",H1832,F1832))</f>
        <v/>
      </c>
      <c r="K1832" s="26" t="str">
        <f aca="false">IF(A1832="","",DATE(YEAR(A1832),MONTH(A1832),1))</f>
        <v/>
      </c>
      <c r="L1832" s="21" t="str">
        <f aca="false">IF(J1832="",IF(B1832="","",IF(N(C1832)&gt;=0,"Income","Expense")),IFERROR(INDEX(Lists!$B$2:$B$30,MATCH(J1832,Lists!$A$2:$A$30,0)),""))</f>
        <v/>
      </c>
      <c r="M1832" s="24"/>
      <c r="N1832" s="27" t="str">
        <f aca="false">IF(B1832="","",IFERROR(1000-SUMPRODUCT(MAX(ISNUMBER(SEARCH(Rules!$A$5:$A$204,B1832))*(Rules!$A$5:$A$204&lt;&gt;"")*(1000-ROW(Rules!$A$5:$A$204)))),""))</f>
        <v/>
      </c>
    </row>
    <row r="1833" customFormat="false" ht="15" hidden="false" customHeight="false" outlineLevel="0" collapsed="false">
      <c r="A1833" s="23"/>
      <c r="B1833" s="24"/>
      <c r="C1833" s="25"/>
      <c r="D1833" s="24"/>
      <c r="E1833" s="21" t="str">
        <f aca="false">IF(OR(B1833="",N(N1833)=0,N1833=1000),IF(B1833="","","Check"),INDEX(Rules!$B:$B,N1833))</f>
        <v/>
      </c>
      <c r="F1833" s="21" t="str">
        <f aca="false">IF(OR(B1833="",N(N1833)=0,N1833=1000),"",INDEX(Rules!$C:$C,N1833))</f>
        <v/>
      </c>
      <c r="G1833" s="24"/>
      <c r="H1833" s="24"/>
      <c r="I1833" s="20" t="str">
        <f aca="false">IF(B1833="","",IF(G1833&lt;&gt;"",G1833,E1833))</f>
        <v/>
      </c>
      <c r="J1833" s="21" t="str">
        <f aca="false">IF(B1833="","",IF(H1833&lt;&gt;"",H1833,F1833))</f>
        <v/>
      </c>
      <c r="K1833" s="26" t="str">
        <f aca="false">IF(A1833="","",DATE(YEAR(A1833),MONTH(A1833),1))</f>
        <v/>
      </c>
      <c r="L1833" s="21" t="str">
        <f aca="false">IF(J1833="",IF(B1833="","",IF(N(C1833)&gt;=0,"Income","Expense")),IFERROR(INDEX(Lists!$B$2:$B$30,MATCH(J1833,Lists!$A$2:$A$30,0)),""))</f>
        <v/>
      </c>
      <c r="M1833" s="24"/>
      <c r="N1833" s="27" t="str">
        <f aca="false">IF(B1833="","",IFERROR(1000-SUMPRODUCT(MAX(ISNUMBER(SEARCH(Rules!$A$5:$A$204,B1833))*(Rules!$A$5:$A$204&lt;&gt;"")*(1000-ROW(Rules!$A$5:$A$204)))),""))</f>
        <v/>
      </c>
    </row>
    <row r="1834" customFormat="false" ht="15" hidden="false" customHeight="false" outlineLevel="0" collapsed="false">
      <c r="A1834" s="23"/>
      <c r="B1834" s="24"/>
      <c r="C1834" s="25"/>
      <c r="D1834" s="24"/>
      <c r="E1834" s="21" t="str">
        <f aca="false">IF(OR(B1834="",N(N1834)=0,N1834=1000),IF(B1834="","","Check"),INDEX(Rules!$B:$B,N1834))</f>
        <v/>
      </c>
      <c r="F1834" s="21" t="str">
        <f aca="false">IF(OR(B1834="",N(N1834)=0,N1834=1000),"",INDEX(Rules!$C:$C,N1834))</f>
        <v/>
      </c>
      <c r="G1834" s="24"/>
      <c r="H1834" s="24"/>
      <c r="I1834" s="20" t="str">
        <f aca="false">IF(B1834="","",IF(G1834&lt;&gt;"",G1834,E1834))</f>
        <v/>
      </c>
      <c r="J1834" s="21" t="str">
        <f aca="false">IF(B1834="","",IF(H1834&lt;&gt;"",H1834,F1834))</f>
        <v/>
      </c>
      <c r="K1834" s="26" t="str">
        <f aca="false">IF(A1834="","",DATE(YEAR(A1834),MONTH(A1834),1))</f>
        <v/>
      </c>
      <c r="L1834" s="21" t="str">
        <f aca="false">IF(J1834="",IF(B1834="","",IF(N(C1834)&gt;=0,"Income","Expense")),IFERROR(INDEX(Lists!$B$2:$B$30,MATCH(J1834,Lists!$A$2:$A$30,0)),""))</f>
        <v/>
      </c>
      <c r="M1834" s="24"/>
      <c r="N1834" s="27" t="str">
        <f aca="false">IF(B1834="","",IFERROR(1000-SUMPRODUCT(MAX(ISNUMBER(SEARCH(Rules!$A$5:$A$204,B1834))*(Rules!$A$5:$A$204&lt;&gt;"")*(1000-ROW(Rules!$A$5:$A$204)))),""))</f>
        <v/>
      </c>
    </row>
    <row r="1835" customFormat="false" ht="15" hidden="false" customHeight="false" outlineLevel="0" collapsed="false">
      <c r="A1835" s="23"/>
      <c r="B1835" s="24"/>
      <c r="C1835" s="25"/>
      <c r="D1835" s="24"/>
      <c r="E1835" s="21" t="str">
        <f aca="false">IF(OR(B1835="",N(N1835)=0,N1835=1000),IF(B1835="","","Check"),INDEX(Rules!$B:$B,N1835))</f>
        <v/>
      </c>
      <c r="F1835" s="21" t="str">
        <f aca="false">IF(OR(B1835="",N(N1835)=0,N1835=1000),"",INDEX(Rules!$C:$C,N1835))</f>
        <v/>
      </c>
      <c r="G1835" s="24"/>
      <c r="H1835" s="24"/>
      <c r="I1835" s="20" t="str">
        <f aca="false">IF(B1835="","",IF(G1835&lt;&gt;"",G1835,E1835))</f>
        <v/>
      </c>
      <c r="J1835" s="21" t="str">
        <f aca="false">IF(B1835="","",IF(H1835&lt;&gt;"",H1835,F1835))</f>
        <v/>
      </c>
      <c r="K1835" s="26" t="str">
        <f aca="false">IF(A1835="","",DATE(YEAR(A1835),MONTH(A1835),1))</f>
        <v/>
      </c>
      <c r="L1835" s="21" t="str">
        <f aca="false">IF(J1835="",IF(B1835="","",IF(N(C1835)&gt;=0,"Income","Expense")),IFERROR(INDEX(Lists!$B$2:$B$30,MATCH(J1835,Lists!$A$2:$A$30,0)),""))</f>
        <v/>
      </c>
      <c r="M1835" s="24"/>
      <c r="N1835" s="27" t="str">
        <f aca="false">IF(B1835="","",IFERROR(1000-SUMPRODUCT(MAX(ISNUMBER(SEARCH(Rules!$A$5:$A$204,B1835))*(Rules!$A$5:$A$204&lt;&gt;"")*(1000-ROW(Rules!$A$5:$A$204)))),""))</f>
        <v/>
      </c>
    </row>
    <row r="1836" customFormat="false" ht="15" hidden="false" customHeight="false" outlineLevel="0" collapsed="false">
      <c r="A1836" s="23"/>
      <c r="B1836" s="24"/>
      <c r="C1836" s="25"/>
      <c r="D1836" s="24"/>
      <c r="E1836" s="21" t="str">
        <f aca="false">IF(OR(B1836="",N(N1836)=0,N1836=1000),IF(B1836="","","Check"),INDEX(Rules!$B:$B,N1836))</f>
        <v/>
      </c>
      <c r="F1836" s="21" t="str">
        <f aca="false">IF(OR(B1836="",N(N1836)=0,N1836=1000),"",INDEX(Rules!$C:$C,N1836))</f>
        <v/>
      </c>
      <c r="G1836" s="24"/>
      <c r="H1836" s="24"/>
      <c r="I1836" s="20" t="str">
        <f aca="false">IF(B1836="","",IF(G1836&lt;&gt;"",G1836,E1836))</f>
        <v/>
      </c>
      <c r="J1836" s="21" t="str">
        <f aca="false">IF(B1836="","",IF(H1836&lt;&gt;"",H1836,F1836))</f>
        <v/>
      </c>
      <c r="K1836" s="26" t="str">
        <f aca="false">IF(A1836="","",DATE(YEAR(A1836),MONTH(A1836),1))</f>
        <v/>
      </c>
      <c r="L1836" s="21" t="str">
        <f aca="false">IF(J1836="",IF(B1836="","",IF(N(C1836)&gt;=0,"Income","Expense")),IFERROR(INDEX(Lists!$B$2:$B$30,MATCH(J1836,Lists!$A$2:$A$30,0)),""))</f>
        <v/>
      </c>
      <c r="M1836" s="24"/>
      <c r="N1836" s="27" t="str">
        <f aca="false">IF(B1836="","",IFERROR(1000-SUMPRODUCT(MAX(ISNUMBER(SEARCH(Rules!$A$5:$A$204,B1836))*(Rules!$A$5:$A$204&lt;&gt;"")*(1000-ROW(Rules!$A$5:$A$204)))),""))</f>
        <v/>
      </c>
    </row>
    <row r="1837" customFormat="false" ht="15" hidden="false" customHeight="false" outlineLevel="0" collapsed="false">
      <c r="A1837" s="23"/>
      <c r="B1837" s="24"/>
      <c r="C1837" s="25"/>
      <c r="D1837" s="24"/>
      <c r="E1837" s="21" t="str">
        <f aca="false">IF(OR(B1837="",N(N1837)=0,N1837=1000),IF(B1837="","","Check"),INDEX(Rules!$B:$B,N1837))</f>
        <v/>
      </c>
      <c r="F1837" s="21" t="str">
        <f aca="false">IF(OR(B1837="",N(N1837)=0,N1837=1000),"",INDEX(Rules!$C:$C,N1837))</f>
        <v/>
      </c>
      <c r="G1837" s="24"/>
      <c r="H1837" s="24"/>
      <c r="I1837" s="20" t="str">
        <f aca="false">IF(B1837="","",IF(G1837&lt;&gt;"",G1837,E1837))</f>
        <v/>
      </c>
      <c r="J1837" s="21" t="str">
        <f aca="false">IF(B1837="","",IF(H1837&lt;&gt;"",H1837,F1837))</f>
        <v/>
      </c>
      <c r="K1837" s="26" t="str">
        <f aca="false">IF(A1837="","",DATE(YEAR(A1837),MONTH(A1837),1))</f>
        <v/>
      </c>
      <c r="L1837" s="21" t="str">
        <f aca="false">IF(J1837="",IF(B1837="","",IF(N(C1837)&gt;=0,"Income","Expense")),IFERROR(INDEX(Lists!$B$2:$B$30,MATCH(J1837,Lists!$A$2:$A$30,0)),""))</f>
        <v/>
      </c>
      <c r="M1837" s="24"/>
      <c r="N1837" s="27" t="str">
        <f aca="false">IF(B1837="","",IFERROR(1000-SUMPRODUCT(MAX(ISNUMBER(SEARCH(Rules!$A$5:$A$204,B1837))*(Rules!$A$5:$A$204&lt;&gt;"")*(1000-ROW(Rules!$A$5:$A$204)))),""))</f>
        <v/>
      </c>
    </row>
    <row r="1838" customFormat="false" ht="15" hidden="false" customHeight="false" outlineLevel="0" collapsed="false">
      <c r="A1838" s="23"/>
      <c r="B1838" s="24"/>
      <c r="C1838" s="25"/>
      <c r="D1838" s="24"/>
      <c r="E1838" s="21" t="str">
        <f aca="false">IF(OR(B1838="",N(N1838)=0,N1838=1000),IF(B1838="","","Check"),INDEX(Rules!$B:$B,N1838))</f>
        <v/>
      </c>
      <c r="F1838" s="21" t="str">
        <f aca="false">IF(OR(B1838="",N(N1838)=0,N1838=1000),"",INDEX(Rules!$C:$C,N1838))</f>
        <v/>
      </c>
      <c r="G1838" s="24"/>
      <c r="H1838" s="24"/>
      <c r="I1838" s="20" t="str">
        <f aca="false">IF(B1838="","",IF(G1838&lt;&gt;"",G1838,E1838))</f>
        <v/>
      </c>
      <c r="J1838" s="21" t="str">
        <f aca="false">IF(B1838="","",IF(H1838&lt;&gt;"",H1838,F1838))</f>
        <v/>
      </c>
      <c r="K1838" s="26" t="str">
        <f aca="false">IF(A1838="","",DATE(YEAR(A1838),MONTH(A1838),1))</f>
        <v/>
      </c>
      <c r="L1838" s="21" t="str">
        <f aca="false">IF(J1838="",IF(B1838="","",IF(N(C1838)&gt;=0,"Income","Expense")),IFERROR(INDEX(Lists!$B$2:$B$30,MATCH(J1838,Lists!$A$2:$A$30,0)),""))</f>
        <v/>
      </c>
      <c r="M1838" s="24"/>
      <c r="N1838" s="27" t="str">
        <f aca="false">IF(B1838="","",IFERROR(1000-SUMPRODUCT(MAX(ISNUMBER(SEARCH(Rules!$A$5:$A$204,B1838))*(Rules!$A$5:$A$204&lt;&gt;"")*(1000-ROW(Rules!$A$5:$A$204)))),""))</f>
        <v/>
      </c>
    </row>
    <row r="1839" customFormat="false" ht="15" hidden="false" customHeight="false" outlineLevel="0" collapsed="false">
      <c r="A1839" s="23"/>
      <c r="B1839" s="24"/>
      <c r="C1839" s="25"/>
      <c r="D1839" s="24"/>
      <c r="E1839" s="21" t="str">
        <f aca="false">IF(OR(B1839="",N(N1839)=0,N1839=1000),IF(B1839="","","Check"),INDEX(Rules!$B:$B,N1839))</f>
        <v/>
      </c>
      <c r="F1839" s="21" t="str">
        <f aca="false">IF(OR(B1839="",N(N1839)=0,N1839=1000),"",INDEX(Rules!$C:$C,N1839))</f>
        <v/>
      </c>
      <c r="G1839" s="24"/>
      <c r="H1839" s="24"/>
      <c r="I1839" s="20" t="str">
        <f aca="false">IF(B1839="","",IF(G1839&lt;&gt;"",G1839,E1839))</f>
        <v/>
      </c>
      <c r="J1839" s="21" t="str">
        <f aca="false">IF(B1839="","",IF(H1839&lt;&gt;"",H1839,F1839))</f>
        <v/>
      </c>
      <c r="K1839" s="26" t="str">
        <f aca="false">IF(A1839="","",DATE(YEAR(A1839),MONTH(A1839),1))</f>
        <v/>
      </c>
      <c r="L1839" s="21" t="str">
        <f aca="false">IF(J1839="",IF(B1839="","",IF(N(C1839)&gt;=0,"Income","Expense")),IFERROR(INDEX(Lists!$B$2:$B$30,MATCH(J1839,Lists!$A$2:$A$30,0)),""))</f>
        <v/>
      </c>
      <c r="M1839" s="24"/>
      <c r="N1839" s="27" t="str">
        <f aca="false">IF(B1839="","",IFERROR(1000-SUMPRODUCT(MAX(ISNUMBER(SEARCH(Rules!$A$5:$A$204,B1839))*(Rules!$A$5:$A$204&lt;&gt;"")*(1000-ROW(Rules!$A$5:$A$204)))),""))</f>
        <v/>
      </c>
    </row>
    <row r="1840" customFormat="false" ht="15" hidden="false" customHeight="false" outlineLevel="0" collapsed="false">
      <c r="A1840" s="23"/>
      <c r="B1840" s="24"/>
      <c r="C1840" s="25"/>
      <c r="D1840" s="24"/>
      <c r="E1840" s="21" t="str">
        <f aca="false">IF(OR(B1840="",N(N1840)=0,N1840=1000),IF(B1840="","","Check"),INDEX(Rules!$B:$B,N1840))</f>
        <v/>
      </c>
      <c r="F1840" s="21" t="str">
        <f aca="false">IF(OR(B1840="",N(N1840)=0,N1840=1000),"",INDEX(Rules!$C:$C,N1840))</f>
        <v/>
      </c>
      <c r="G1840" s="24"/>
      <c r="H1840" s="24"/>
      <c r="I1840" s="20" t="str">
        <f aca="false">IF(B1840="","",IF(G1840&lt;&gt;"",G1840,E1840))</f>
        <v/>
      </c>
      <c r="J1840" s="21" t="str">
        <f aca="false">IF(B1840="","",IF(H1840&lt;&gt;"",H1840,F1840))</f>
        <v/>
      </c>
      <c r="K1840" s="26" t="str">
        <f aca="false">IF(A1840="","",DATE(YEAR(A1840),MONTH(A1840),1))</f>
        <v/>
      </c>
      <c r="L1840" s="21" t="str">
        <f aca="false">IF(J1840="",IF(B1840="","",IF(N(C1840)&gt;=0,"Income","Expense")),IFERROR(INDEX(Lists!$B$2:$B$30,MATCH(J1840,Lists!$A$2:$A$30,0)),""))</f>
        <v/>
      </c>
      <c r="M1840" s="24"/>
      <c r="N1840" s="27" t="str">
        <f aca="false">IF(B1840="","",IFERROR(1000-SUMPRODUCT(MAX(ISNUMBER(SEARCH(Rules!$A$5:$A$204,B1840))*(Rules!$A$5:$A$204&lt;&gt;"")*(1000-ROW(Rules!$A$5:$A$204)))),""))</f>
        <v/>
      </c>
    </row>
    <row r="1841" customFormat="false" ht="15" hidden="false" customHeight="false" outlineLevel="0" collapsed="false">
      <c r="A1841" s="23"/>
      <c r="B1841" s="24"/>
      <c r="C1841" s="25"/>
      <c r="D1841" s="24"/>
      <c r="E1841" s="21" t="str">
        <f aca="false">IF(OR(B1841="",N(N1841)=0,N1841=1000),IF(B1841="","","Check"),INDEX(Rules!$B:$B,N1841))</f>
        <v/>
      </c>
      <c r="F1841" s="21" t="str">
        <f aca="false">IF(OR(B1841="",N(N1841)=0,N1841=1000),"",INDEX(Rules!$C:$C,N1841))</f>
        <v/>
      </c>
      <c r="G1841" s="24"/>
      <c r="H1841" s="24"/>
      <c r="I1841" s="20" t="str">
        <f aca="false">IF(B1841="","",IF(G1841&lt;&gt;"",G1841,E1841))</f>
        <v/>
      </c>
      <c r="J1841" s="21" t="str">
        <f aca="false">IF(B1841="","",IF(H1841&lt;&gt;"",H1841,F1841))</f>
        <v/>
      </c>
      <c r="K1841" s="26" t="str">
        <f aca="false">IF(A1841="","",DATE(YEAR(A1841),MONTH(A1841),1))</f>
        <v/>
      </c>
      <c r="L1841" s="21" t="str">
        <f aca="false">IF(J1841="",IF(B1841="","",IF(N(C1841)&gt;=0,"Income","Expense")),IFERROR(INDEX(Lists!$B$2:$B$30,MATCH(J1841,Lists!$A$2:$A$30,0)),""))</f>
        <v/>
      </c>
      <c r="M1841" s="24"/>
      <c r="N1841" s="27" t="str">
        <f aca="false">IF(B1841="","",IFERROR(1000-SUMPRODUCT(MAX(ISNUMBER(SEARCH(Rules!$A$5:$A$204,B1841))*(Rules!$A$5:$A$204&lt;&gt;"")*(1000-ROW(Rules!$A$5:$A$204)))),""))</f>
        <v/>
      </c>
    </row>
    <row r="1842" customFormat="false" ht="15" hidden="false" customHeight="false" outlineLevel="0" collapsed="false">
      <c r="A1842" s="23"/>
      <c r="B1842" s="24"/>
      <c r="C1842" s="25"/>
      <c r="D1842" s="24"/>
      <c r="E1842" s="21" t="str">
        <f aca="false">IF(OR(B1842="",N(N1842)=0,N1842=1000),IF(B1842="","","Check"),INDEX(Rules!$B:$B,N1842))</f>
        <v/>
      </c>
      <c r="F1842" s="21" t="str">
        <f aca="false">IF(OR(B1842="",N(N1842)=0,N1842=1000),"",INDEX(Rules!$C:$C,N1842))</f>
        <v/>
      </c>
      <c r="G1842" s="24"/>
      <c r="H1842" s="24"/>
      <c r="I1842" s="20" t="str">
        <f aca="false">IF(B1842="","",IF(G1842&lt;&gt;"",G1842,E1842))</f>
        <v/>
      </c>
      <c r="J1842" s="21" t="str">
        <f aca="false">IF(B1842="","",IF(H1842&lt;&gt;"",H1842,F1842))</f>
        <v/>
      </c>
      <c r="K1842" s="26" t="str">
        <f aca="false">IF(A1842="","",DATE(YEAR(A1842),MONTH(A1842),1))</f>
        <v/>
      </c>
      <c r="L1842" s="21" t="str">
        <f aca="false">IF(J1842="",IF(B1842="","",IF(N(C1842)&gt;=0,"Income","Expense")),IFERROR(INDEX(Lists!$B$2:$B$30,MATCH(J1842,Lists!$A$2:$A$30,0)),""))</f>
        <v/>
      </c>
      <c r="M1842" s="24"/>
      <c r="N1842" s="27" t="str">
        <f aca="false">IF(B1842="","",IFERROR(1000-SUMPRODUCT(MAX(ISNUMBER(SEARCH(Rules!$A$5:$A$204,B1842))*(Rules!$A$5:$A$204&lt;&gt;"")*(1000-ROW(Rules!$A$5:$A$204)))),""))</f>
        <v/>
      </c>
    </row>
    <row r="1843" customFormat="false" ht="15" hidden="false" customHeight="false" outlineLevel="0" collapsed="false">
      <c r="A1843" s="23"/>
      <c r="B1843" s="24"/>
      <c r="C1843" s="25"/>
      <c r="D1843" s="24"/>
      <c r="E1843" s="21" t="str">
        <f aca="false">IF(OR(B1843="",N(N1843)=0,N1843=1000),IF(B1843="","","Check"),INDEX(Rules!$B:$B,N1843))</f>
        <v/>
      </c>
      <c r="F1843" s="21" t="str">
        <f aca="false">IF(OR(B1843="",N(N1843)=0,N1843=1000),"",INDEX(Rules!$C:$C,N1843))</f>
        <v/>
      </c>
      <c r="G1843" s="24"/>
      <c r="H1843" s="24"/>
      <c r="I1843" s="20" t="str">
        <f aca="false">IF(B1843="","",IF(G1843&lt;&gt;"",G1843,E1843))</f>
        <v/>
      </c>
      <c r="J1843" s="21" t="str">
        <f aca="false">IF(B1843="","",IF(H1843&lt;&gt;"",H1843,F1843))</f>
        <v/>
      </c>
      <c r="K1843" s="26" t="str">
        <f aca="false">IF(A1843="","",DATE(YEAR(A1843),MONTH(A1843),1))</f>
        <v/>
      </c>
      <c r="L1843" s="21" t="str">
        <f aca="false">IF(J1843="",IF(B1843="","",IF(N(C1843)&gt;=0,"Income","Expense")),IFERROR(INDEX(Lists!$B$2:$B$30,MATCH(J1843,Lists!$A$2:$A$30,0)),""))</f>
        <v/>
      </c>
      <c r="M1843" s="24"/>
      <c r="N1843" s="27" t="str">
        <f aca="false">IF(B1843="","",IFERROR(1000-SUMPRODUCT(MAX(ISNUMBER(SEARCH(Rules!$A$5:$A$204,B1843))*(Rules!$A$5:$A$204&lt;&gt;"")*(1000-ROW(Rules!$A$5:$A$204)))),""))</f>
        <v/>
      </c>
    </row>
    <row r="1844" customFormat="false" ht="15" hidden="false" customHeight="false" outlineLevel="0" collapsed="false">
      <c r="A1844" s="23"/>
      <c r="B1844" s="24"/>
      <c r="C1844" s="25"/>
      <c r="D1844" s="24"/>
      <c r="E1844" s="21" t="str">
        <f aca="false">IF(OR(B1844="",N(N1844)=0,N1844=1000),IF(B1844="","","Check"),INDEX(Rules!$B:$B,N1844))</f>
        <v/>
      </c>
      <c r="F1844" s="21" t="str">
        <f aca="false">IF(OR(B1844="",N(N1844)=0,N1844=1000),"",INDEX(Rules!$C:$C,N1844))</f>
        <v/>
      </c>
      <c r="G1844" s="24"/>
      <c r="H1844" s="24"/>
      <c r="I1844" s="20" t="str">
        <f aca="false">IF(B1844="","",IF(G1844&lt;&gt;"",G1844,E1844))</f>
        <v/>
      </c>
      <c r="J1844" s="21" t="str">
        <f aca="false">IF(B1844="","",IF(H1844&lt;&gt;"",H1844,F1844))</f>
        <v/>
      </c>
      <c r="K1844" s="26" t="str">
        <f aca="false">IF(A1844="","",DATE(YEAR(A1844),MONTH(A1844),1))</f>
        <v/>
      </c>
      <c r="L1844" s="21" t="str">
        <f aca="false">IF(J1844="",IF(B1844="","",IF(N(C1844)&gt;=0,"Income","Expense")),IFERROR(INDEX(Lists!$B$2:$B$30,MATCH(J1844,Lists!$A$2:$A$30,0)),""))</f>
        <v/>
      </c>
      <c r="M1844" s="24"/>
      <c r="N1844" s="27" t="str">
        <f aca="false">IF(B1844="","",IFERROR(1000-SUMPRODUCT(MAX(ISNUMBER(SEARCH(Rules!$A$5:$A$204,B1844))*(Rules!$A$5:$A$204&lt;&gt;"")*(1000-ROW(Rules!$A$5:$A$204)))),""))</f>
        <v/>
      </c>
    </row>
    <row r="1845" customFormat="false" ht="15" hidden="false" customHeight="false" outlineLevel="0" collapsed="false">
      <c r="A1845" s="23"/>
      <c r="B1845" s="24"/>
      <c r="C1845" s="25"/>
      <c r="D1845" s="24"/>
      <c r="E1845" s="21" t="str">
        <f aca="false">IF(OR(B1845="",N(N1845)=0,N1845=1000),IF(B1845="","","Check"),INDEX(Rules!$B:$B,N1845))</f>
        <v/>
      </c>
      <c r="F1845" s="21" t="str">
        <f aca="false">IF(OR(B1845="",N(N1845)=0,N1845=1000),"",INDEX(Rules!$C:$C,N1845))</f>
        <v/>
      </c>
      <c r="G1845" s="24"/>
      <c r="H1845" s="24"/>
      <c r="I1845" s="20" t="str">
        <f aca="false">IF(B1845="","",IF(G1845&lt;&gt;"",G1845,E1845))</f>
        <v/>
      </c>
      <c r="J1845" s="21" t="str">
        <f aca="false">IF(B1845="","",IF(H1845&lt;&gt;"",H1845,F1845))</f>
        <v/>
      </c>
      <c r="K1845" s="26" t="str">
        <f aca="false">IF(A1845="","",DATE(YEAR(A1845),MONTH(A1845),1))</f>
        <v/>
      </c>
      <c r="L1845" s="21" t="str">
        <f aca="false">IF(J1845="",IF(B1845="","",IF(N(C1845)&gt;=0,"Income","Expense")),IFERROR(INDEX(Lists!$B$2:$B$30,MATCH(J1845,Lists!$A$2:$A$30,0)),""))</f>
        <v/>
      </c>
      <c r="M1845" s="24"/>
      <c r="N1845" s="27" t="str">
        <f aca="false">IF(B1845="","",IFERROR(1000-SUMPRODUCT(MAX(ISNUMBER(SEARCH(Rules!$A$5:$A$204,B1845))*(Rules!$A$5:$A$204&lt;&gt;"")*(1000-ROW(Rules!$A$5:$A$204)))),""))</f>
        <v/>
      </c>
    </row>
    <row r="1846" customFormat="false" ht="15" hidden="false" customHeight="false" outlineLevel="0" collapsed="false">
      <c r="A1846" s="23"/>
      <c r="B1846" s="24"/>
      <c r="C1846" s="25"/>
      <c r="D1846" s="24"/>
      <c r="E1846" s="21" t="str">
        <f aca="false">IF(OR(B1846="",N(N1846)=0,N1846=1000),IF(B1846="","","Check"),INDEX(Rules!$B:$B,N1846))</f>
        <v/>
      </c>
      <c r="F1846" s="21" t="str">
        <f aca="false">IF(OR(B1846="",N(N1846)=0,N1846=1000),"",INDEX(Rules!$C:$C,N1846))</f>
        <v/>
      </c>
      <c r="G1846" s="24"/>
      <c r="H1846" s="24"/>
      <c r="I1846" s="20" t="str">
        <f aca="false">IF(B1846="","",IF(G1846&lt;&gt;"",G1846,E1846))</f>
        <v/>
      </c>
      <c r="J1846" s="21" t="str">
        <f aca="false">IF(B1846="","",IF(H1846&lt;&gt;"",H1846,F1846))</f>
        <v/>
      </c>
      <c r="K1846" s="26" t="str">
        <f aca="false">IF(A1846="","",DATE(YEAR(A1846),MONTH(A1846),1))</f>
        <v/>
      </c>
      <c r="L1846" s="21" t="str">
        <f aca="false">IF(J1846="",IF(B1846="","",IF(N(C1846)&gt;=0,"Income","Expense")),IFERROR(INDEX(Lists!$B$2:$B$30,MATCH(J1846,Lists!$A$2:$A$30,0)),""))</f>
        <v/>
      </c>
      <c r="M1846" s="24"/>
      <c r="N1846" s="27" t="str">
        <f aca="false">IF(B1846="","",IFERROR(1000-SUMPRODUCT(MAX(ISNUMBER(SEARCH(Rules!$A$5:$A$204,B1846))*(Rules!$A$5:$A$204&lt;&gt;"")*(1000-ROW(Rules!$A$5:$A$204)))),""))</f>
        <v/>
      </c>
    </row>
    <row r="1847" customFormat="false" ht="15" hidden="false" customHeight="false" outlineLevel="0" collapsed="false">
      <c r="A1847" s="23"/>
      <c r="B1847" s="24"/>
      <c r="C1847" s="25"/>
      <c r="D1847" s="24"/>
      <c r="E1847" s="21" t="str">
        <f aca="false">IF(OR(B1847="",N(N1847)=0,N1847=1000),IF(B1847="","","Check"),INDEX(Rules!$B:$B,N1847))</f>
        <v/>
      </c>
      <c r="F1847" s="21" t="str">
        <f aca="false">IF(OR(B1847="",N(N1847)=0,N1847=1000),"",INDEX(Rules!$C:$C,N1847))</f>
        <v/>
      </c>
      <c r="G1847" s="24"/>
      <c r="H1847" s="24"/>
      <c r="I1847" s="20" t="str">
        <f aca="false">IF(B1847="","",IF(G1847&lt;&gt;"",G1847,E1847))</f>
        <v/>
      </c>
      <c r="J1847" s="21" t="str">
        <f aca="false">IF(B1847="","",IF(H1847&lt;&gt;"",H1847,F1847))</f>
        <v/>
      </c>
      <c r="K1847" s="26" t="str">
        <f aca="false">IF(A1847="","",DATE(YEAR(A1847),MONTH(A1847),1))</f>
        <v/>
      </c>
      <c r="L1847" s="21" t="str">
        <f aca="false">IF(J1847="",IF(B1847="","",IF(N(C1847)&gt;=0,"Income","Expense")),IFERROR(INDEX(Lists!$B$2:$B$30,MATCH(J1847,Lists!$A$2:$A$30,0)),""))</f>
        <v/>
      </c>
      <c r="M1847" s="24"/>
      <c r="N1847" s="27" t="str">
        <f aca="false">IF(B1847="","",IFERROR(1000-SUMPRODUCT(MAX(ISNUMBER(SEARCH(Rules!$A$5:$A$204,B1847))*(Rules!$A$5:$A$204&lt;&gt;"")*(1000-ROW(Rules!$A$5:$A$204)))),""))</f>
        <v/>
      </c>
    </row>
    <row r="1848" customFormat="false" ht="15" hidden="false" customHeight="false" outlineLevel="0" collapsed="false">
      <c r="A1848" s="23"/>
      <c r="B1848" s="24"/>
      <c r="C1848" s="25"/>
      <c r="D1848" s="24"/>
      <c r="E1848" s="21" t="str">
        <f aca="false">IF(OR(B1848="",N(N1848)=0,N1848=1000),IF(B1848="","","Check"),INDEX(Rules!$B:$B,N1848))</f>
        <v/>
      </c>
      <c r="F1848" s="21" t="str">
        <f aca="false">IF(OR(B1848="",N(N1848)=0,N1848=1000),"",INDEX(Rules!$C:$C,N1848))</f>
        <v/>
      </c>
      <c r="G1848" s="24"/>
      <c r="H1848" s="24"/>
      <c r="I1848" s="20" t="str">
        <f aca="false">IF(B1848="","",IF(G1848&lt;&gt;"",G1848,E1848))</f>
        <v/>
      </c>
      <c r="J1848" s="21" t="str">
        <f aca="false">IF(B1848="","",IF(H1848&lt;&gt;"",H1848,F1848))</f>
        <v/>
      </c>
      <c r="K1848" s="26" t="str">
        <f aca="false">IF(A1848="","",DATE(YEAR(A1848),MONTH(A1848),1))</f>
        <v/>
      </c>
      <c r="L1848" s="21" t="str">
        <f aca="false">IF(J1848="",IF(B1848="","",IF(N(C1848)&gt;=0,"Income","Expense")),IFERROR(INDEX(Lists!$B$2:$B$30,MATCH(J1848,Lists!$A$2:$A$30,0)),""))</f>
        <v/>
      </c>
      <c r="M1848" s="24"/>
      <c r="N1848" s="27" t="str">
        <f aca="false">IF(B1848="","",IFERROR(1000-SUMPRODUCT(MAX(ISNUMBER(SEARCH(Rules!$A$5:$A$204,B1848))*(Rules!$A$5:$A$204&lt;&gt;"")*(1000-ROW(Rules!$A$5:$A$204)))),""))</f>
        <v/>
      </c>
    </row>
    <row r="1849" customFormat="false" ht="15" hidden="false" customHeight="false" outlineLevel="0" collapsed="false">
      <c r="A1849" s="23"/>
      <c r="B1849" s="24"/>
      <c r="C1849" s="25"/>
      <c r="D1849" s="24"/>
      <c r="E1849" s="21" t="str">
        <f aca="false">IF(OR(B1849="",N(N1849)=0,N1849=1000),IF(B1849="","","Check"),INDEX(Rules!$B:$B,N1849))</f>
        <v/>
      </c>
      <c r="F1849" s="21" t="str">
        <f aca="false">IF(OR(B1849="",N(N1849)=0,N1849=1000),"",INDEX(Rules!$C:$C,N1849))</f>
        <v/>
      </c>
      <c r="G1849" s="24"/>
      <c r="H1849" s="24"/>
      <c r="I1849" s="20" t="str">
        <f aca="false">IF(B1849="","",IF(G1849&lt;&gt;"",G1849,E1849))</f>
        <v/>
      </c>
      <c r="J1849" s="21" t="str">
        <f aca="false">IF(B1849="","",IF(H1849&lt;&gt;"",H1849,F1849))</f>
        <v/>
      </c>
      <c r="K1849" s="26" t="str">
        <f aca="false">IF(A1849="","",DATE(YEAR(A1849),MONTH(A1849),1))</f>
        <v/>
      </c>
      <c r="L1849" s="21" t="str">
        <f aca="false">IF(J1849="",IF(B1849="","",IF(N(C1849)&gt;=0,"Income","Expense")),IFERROR(INDEX(Lists!$B$2:$B$30,MATCH(J1849,Lists!$A$2:$A$30,0)),""))</f>
        <v/>
      </c>
      <c r="M1849" s="24"/>
      <c r="N1849" s="27" t="str">
        <f aca="false">IF(B1849="","",IFERROR(1000-SUMPRODUCT(MAX(ISNUMBER(SEARCH(Rules!$A$5:$A$204,B1849))*(Rules!$A$5:$A$204&lt;&gt;"")*(1000-ROW(Rules!$A$5:$A$204)))),""))</f>
        <v/>
      </c>
    </row>
    <row r="1850" customFormat="false" ht="15" hidden="false" customHeight="false" outlineLevel="0" collapsed="false">
      <c r="A1850" s="23"/>
      <c r="B1850" s="24"/>
      <c r="C1850" s="25"/>
      <c r="D1850" s="24"/>
      <c r="E1850" s="21" t="str">
        <f aca="false">IF(OR(B1850="",N(N1850)=0,N1850=1000),IF(B1850="","","Check"),INDEX(Rules!$B:$B,N1850))</f>
        <v/>
      </c>
      <c r="F1850" s="21" t="str">
        <f aca="false">IF(OR(B1850="",N(N1850)=0,N1850=1000),"",INDEX(Rules!$C:$C,N1850))</f>
        <v/>
      </c>
      <c r="G1850" s="24"/>
      <c r="H1850" s="24"/>
      <c r="I1850" s="20" t="str">
        <f aca="false">IF(B1850="","",IF(G1850&lt;&gt;"",G1850,E1850))</f>
        <v/>
      </c>
      <c r="J1850" s="21" t="str">
        <f aca="false">IF(B1850="","",IF(H1850&lt;&gt;"",H1850,F1850))</f>
        <v/>
      </c>
      <c r="K1850" s="26" t="str">
        <f aca="false">IF(A1850="","",DATE(YEAR(A1850),MONTH(A1850),1))</f>
        <v/>
      </c>
      <c r="L1850" s="21" t="str">
        <f aca="false">IF(J1850="",IF(B1850="","",IF(N(C1850)&gt;=0,"Income","Expense")),IFERROR(INDEX(Lists!$B$2:$B$30,MATCH(J1850,Lists!$A$2:$A$30,0)),""))</f>
        <v/>
      </c>
      <c r="M1850" s="24"/>
      <c r="N1850" s="27" t="str">
        <f aca="false">IF(B1850="","",IFERROR(1000-SUMPRODUCT(MAX(ISNUMBER(SEARCH(Rules!$A$5:$A$204,B1850))*(Rules!$A$5:$A$204&lt;&gt;"")*(1000-ROW(Rules!$A$5:$A$204)))),""))</f>
        <v/>
      </c>
    </row>
    <row r="1851" customFormat="false" ht="15" hidden="false" customHeight="false" outlineLevel="0" collapsed="false">
      <c r="A1851" s="23"/>
      <c r="B1851" s="24"/>
      <c r="C1851" s="25"/>
      <c r="D1851" s="24"/>
      <c r="E1851" s="21" t="str">
        <f aca="false">IF(OR(B1851="",N(N1851)=0,N1851=1000),IF(B1851="","","Check"),INDEX(Rules!$B:$B,N1851))</f>
        <v/>
      </c>
      <c r="F1851" s="21" t="str">
        <f aca="false">IF(OR(B1851="",N(N1851)=0,N1851=1000),"",INDEX(Rules!$C:$C,N1851))</f>
        <v/>
      </c>
      <c r="G1851" s="24"/>
      <c r="H1851" s="24"/>
      <c r="I1851" s="20" t="str">
        <f aca="false">IF(B1851="","",IF(G1851&lt;&gt;"",G1851,E1851))</f>
        <v/>
      </c>
      <c r="J1851" s="21" t="str">
        <f aca="false">IF(B1851="","",IF(H1851&lt;&gt;"",H1851,F1851))</f>
        <v/>
      </c>
      <c r="K1851" s="26" t="str">
        <f aca="false">IF(A1851="","",DATE(YEAR(A1851),MONTH(A1851),1))</f>
        <v/>
      </c>
      <c r="L1851" s="21" t="str">
        <f aca="false">IF(J1851="",IF(B1851="","",IF(N(C1851)&gt;=0,"Income","Expense")),IFERROR(INDEX(Lists!$B$2:$B$30,MATCH(J1851,Lists!$A$2:$A$30,0)),""))</f>
        <v/>
      </c>
      <c r="M1851" s="24"/>
      <c r="N1851" s="27" t="str">
        <f aca="false">IF(B1851="","",IFERROR(1000-SUMPRODUCT(MAX(ISNUMBER(SEARCH(Rules!$A$5:$A$204,B1851))*(Rules!$A$5:$A$204&lt;&gt;"")*(1000-ROW(Rules!$A$5:$A$204)))),""))</f>
        <v/>
      </c>
    </row>
    <row r="1852" customFormat="false" ht="15" hidden="false" customHeight="false" outlineLevel="0" collapsed="false">
      <c r="A1852" s="23"/>
      <c r="B1852" s="24"/>
      <c r="C1852" s="25"/>
      <c r="D1852" s="24"/>
      <c r="E1852" s="21" t="str">
        <f aca="false">IF(OR(B1852="",N(N1852)=0,N1852=1000),IF(B1852="","","Check"),INDEX(Rules!$B:$B,N1852))</f>
        <v/>
      </c>
      <c r="F1852" s="21" t="str">
        <f aca="false">IF(OR(B1852="",N(N1852)=0,N1852=1000),"",INDEX(Rules!$C:$C,N1852))</f>
        <v/>
      </c>
      <c r="G1852" s="24"/>
      <c r="H1852" s="24"/>
      <c r="I1852" s="20" t="str">
        <f aca="false">IF(B1852="","",IF(G1852&lt;&gt;"",G1852,E1852))</f>
        <v/>
      </c>
      <c r="J1852" s="21" t="str">
        <f aca="false">IF(B1852="","",IF(H1852&lt;&gt;"",H1852,F1852))</f>
        <v/>
      </c>
      <c r="K1852" s="26" t="str">
        <f aca="false">IF(A1852="","",DATE(YEAR(A1852),MONTH(A1852),1))</f>
        <v/>
      </c>
      <c r="L1852" s="21" t="str">
        <f aca="false">IF(J1852="",IF(B1852="","",IF(N(C1852)&gt;=0,"Income","Expense")),IFERROR(INDEX(Lists!$B$2:$B$30,MATCH(J1852,Lists!$A$2:$A$30,0)),""))</f>
        <v/>
      </c>
      <c r="M1852" s="24"/>
      <c r="N1852" s="27" t="str">
        <f aca="false">IF(B1852="","",IFERROR(1000-SUMPRODUCT(MAX(ISNUMBER(SEARCH(Rules!$A$5:$A$204,B1852))*(Rules!$A$5:$A$204&lt;&gt;"")*(1000-ROW(Rules!$A$5:$A$204)))),""))</f>
        <v/>
      </c>
    </row>
    <row r="1853" customFormat="false" ht="15" hidden="false" customHeight="false" outlineLevel="0" collapsed="false">
      <c r="A1853" s="23"/>
      <c r="B1853" s="24"/>
      <c r="C1853" s="25"/>
      <c r="D1853" s="24"/>
      <c r="E1853" s="21" t="str">
        <f aca="false">IF(OR(B1853="",N(N1853)=0,N1853=1000),IF(B1853="","","Check"),INDEX(Rules!$B:$B,N1853))</f>
        <v/>
      </c>
      <c r="F1853" s="21" t="str">
        <f aca="false">IF(OR(B1853="",N(N1853)=0,N1853=1000),"",INDEX(Rules!$C:$C,N1853))</f>
        <v/>
      </c>
      <c r="G1853" s="24"/>
      <c r="H1853" s="24"/>
      <c r="I1853" s="20" t="str">
        <f aca="false">IF(B1853="","",IF(G1853&lt;&gt;"",G1853,E1853))</f>
        <v/>
      </c>
      <c r="J1853" s="21" t="str">
        <f aca="false">IF(B1853="","",IF(H1853&lt;&gt;"",H1853,F1853))</f>
        <v/>
      </c>
      <c r="K1853" s="26" t="str">
        <f aca="false">IF(A1853="","",DATE(YEAR(A1853),MONTH(A1853),1))</f>
        <v/>
      </c>
      <c r="L1853" s="21" t="str">
        <f aca="false">IF(J1853="",IF(B1853="","",IF(N(C1853)&gt;=0,"Income","Expense")),IFERROR(INDEX(Lists!$B$2:$B$30,MATCH(J1853,Lists!$A$2:$A$30,0)),""))</f>
        <v/>
      </c>
      <c r="M1853" s="24"/>
      <c r="N1853" s="27" t="str">
        <f aca="false">IF(B1853="","",IFERROR(1000-SUMPRODUCT(MAX(ISNUMBER(SEARCH(Rules!$A$5:$A$204,B1853))*(Rules!$A$5:$A$204&lt;&gt;"")*(1000-ROW(Rules!$A$5:$A$204)))),""))</f>
        <v/>
      </c>
    </row>
    <row r="1854" customFormat="false" ht="15" hidden="false" customHeight="false" outlineLevel="0" collapsed="false">
      <c r="A1854" s="23"/>
      <c r="B1854" s="24"/>
      <c r="C1854" s="25"/>
      <c r="D1854" s="24"/>
      <c r="E1854" s="21" t="str">
        <f aca="false">IF(OR(B1854="",N(N1854)=0,N1854=1000),IF(B1854="","","Check"),INDEX(Rules!$B:$B,N1854))</f>
        <v/>
      </c>
      <c r="F1854" s="21" t="str">
        <f aca="false">IF(OR(B1854="",N(N1854)=0,N1854=1000),"",INDEX(Rules!$C:$C,N1854))</f>
        <v/>
      </c>
      <c r="G1854" s="24"/>
      <c r="H1854" s="24"/>
      <c r="I1854" s="20" t="str">
        <f aca="false">IF(B1854="","",IF(G1854&lt;&gt;"",G1854,E1854))</f>
        <v/>
      </c>
      <c r="J1854" s="21" t="str">
        <f aca="false">IF(B1854="","",IF(H1854&lt;&gt;"",H1854,F1854))</f>
        <v/>
      </c>
      <c r="K1854" s="26" t="str">
        <f aca="false">IF(A1854="","",DATE(YEAR(A1854),MONTH(A1854),1))</f>
        <v/>
      </c>
      <c r="L1854" s="21" t="str">
        <f aca="false">IF(J1854="",IF(B1854="","",IF(N(C1854)&gt;=0,"Income","Expense")),IFERROR(INDEX(Lists!$B$2:$B$30,MATCH(J1854,Lists!$A$2:$A$30,0)),""))</f>
        <v/>
      </c>
      <c r="M1854" s="24"/>
      <c r="N1854" s="27" t="str">
        <f aca="false">IF(B1854="","",IFERROR(1000-SUMPRODUCT(MAX(ISNUMBER(SEARCH(Rules!$A$5:$A$204,B1854))*(Rules!$A$5:$A$204&lt;&gt;"")*(1000-ROW(Rules!$A$5:$A$204)))),""))</f>
        <v/>
      </c>
    </row>
    <row r="1855" customFormat="false" ht="15" hidden="false" customHeight="false" outlineLevel="0" collapsed="false">
      <c r="A1855" s="23"/>
      <c r="B1855" s="24"/>
      <c r="C1855" s="25"/>
      <c r="D1855" s="24"/>
      <c r="E1855" s="21" t="str">
        <f aca="false">IF(OR(B1855="",N(N1855)=0,N1855=1000),IF(B1855="","","Check"),INDEX(Rules!$B:$B,N1855))</f>
        <v/>
      </c>
      <c r="F1855" s="21" t="str">
        <f aca="false">IF(OR(B1855="",N(N1855)=0,N1855=1000),"",INDEX(Rules!$C:$C,N1855))</f>
        <v/>
      </c>
      <c r="G1855" s="24"/>
      <c r="H1855" s="24"/>
      <c r="I1855" s="20" t="str">
        <f aca="false">IF(B1855="","",IF(G1855&lt;&gt;"",G1855,E1855))</f>
        <v/>
      </c>
      <c r="J1855" s="21" t="str">
        <f aca="false">IF(B1855="","",IF(H1855&lt;&gt;"",H1855,F1855))</f>
        <v/>
      </c>
      <c r="K1855" s="26" t="str">
        <f aca="false">IF(A1855="","",DATE(YEAR(A1855),MONTH(A1855),1))</f>
        <v/>
      </c>
      <c r="L1855" s="21" t="str">
        <f aca="false">IF(J1855="",IF(B1855="","",IF(N(C1855)&gt;=0,"Income","Expense")),IFERROR(INDEX(Lists!$B$2:$B$30,MATCH(J1855,Lists!$A$2:$A$30,0)),""))</f>
        <v/>
      </c>
      <c r="M1855" s="24"/>
      <c r="N1855" s="27" t="str">
        <f aca="false">IF(B1855="","",IFERROR(1000-SUMPRODUCT(MAX(ISNUMBER(SEARCH(Rules!$A$5:$A$204,B1855))*(Rules!$A$5:$A$204&lt;&gt;"")*(1000-ROW(Rules!$A$5:$A$204)))),""))</f>
        <v/>
      </c>
    </row>
    <row r="1856" customFormat="false" ht="15" hidden="false" customHeight="false" outlineLevel="0" collapsed="false">
      <c r="A1856" s="23"/>
      <c r="B1856" s="24"/>
      <c r="C1856" s="25"/>
      <c r="D1856" s="24"/>
      <c r="E1856" s="21" t="str">
        <f aca="false">IF(OR(B1856="",N(N1856)=0,N1856=1000),IF(B1856="","","Check"),INDEX(Rules!$B:$B,N1856))</f>
        <v/>
      </c>
      <c r="F1856" s="21" t="str">
        <f aca="false">IF(OR(B1856="",N(N1856)=0,N1856=1000),"",INDEX(Rules!$C:$C,N1856))</f>
        <v/>
      </c>
      <c r="G1856" s="24"/>
      <c r="H1856" s="24"/>
      <c r="I1856" s="20" t="str">
        <f aca="false">IF(B1856="","",IF(G1856&lt;&gt;"",G1856,E1856))</f>
        <v/>
      </c>
      <c r="J1856" s="21" t="str">
        <f aca="false">IF(B1856="","",IF(H1856&lt;&gt;"",H1856,F1856))</f>
        <v/>
      </c>
      <c r="K1856" s="26" t="str">
        <f aca="false">IF(A1856="","",DATE(YEAR(A1856),MONTH(A1856),1))</f>
        <v/>
      </c>
      <c r="L1856" s="21" t="str">
        <f aca="false">IF(J1856="",IF(B1856="","",IF(N(C1856)&gt;=0,"Income","Expense")),IFERROR(INDEX(Lists!$B$2:$B$30,MATCH(J1856,Lists!$A$2:$A$30,0)),""))</f>
        <v/>
      </c>
      <c r="M1856" s="24"/>
      <c r="N1856" s="27" t="str">
        <f aca="false">IF(B1856="","",IFERROR(1000-SUMPRODUCT(MAX(ISNUMBER(SEARCH(Rules!$A$5:$A$204,B1856))*(Rules!$A$5:$A$204&lt;&gt;"")*(1000-ROW(Rules!$A$5:$A$204)))),""))</f>
        <v/>
      </c>
    </row>
    <row r="1857" customFormat="false" ht="15" hidden="false" customHeight="false" outlineLevel="0" collapsed="false">
      <c r="A1857" s="23"/>
      <c r="B1857" s="24"/>
      <c r="C1857" s="25"/>
      <c r="D1857" s="24"/>
      <c r="E1857" s="21" t="str">
        <f aca="false">IF(OR(B1857="",N(N1857)=0,N1857=1000),IF(B1857="","","Check"),INDEX(Rules!$B:$B,N1857))</f>
        <v/>
      </c>
      <c r="F1857" s="21" t="str">
        <f aca="false">IF(OR(B1857="",N(N1857)=0,N1857=1000),"",INDEX(Rules!$C:$C,N1857))</f>
        <v/>
      </c>
      <c r="G1857" s="24"/>
      <c r="H1857" s="24"/>
      <c r="I1857" s="20" t="str">
        <f aca="false">IF(B1857="","",IF(G1857&lt;&gt;"",G1857,E1857))</f>
        <v/>
      </c>
      <c r="J1857" s="21" t="str">
        <f aca="false">IF(B1857="","",IF(H1857&lt;&gt;"",H1857,F1857))</f>
        <v/>
      </c>
      <c r="K1857" s="26" t="str">
        <f aca="false">IF(A1857="","",DATE(YEAR(A1857),MONTH(A1857),1))</f>
        <v/>
      </c>
      <c r="L1857" s="21" t="str">
        <f aca="false">IF(J1857="",IF(B1857="","",IF(N(C1857)&gt;=0,"Income","Expense")),IFERROR(INDEX(Lists!$B$2:$B$30,MATCH(J1857,Lists!$A$2:$A$30,0)),""))</f>
        <v/>
      </c>
      <c r="M1857" s="24"/>
      <c r="N1857" s="27" t="str">
        <f aca="false">IF(B1857="","",IFERROR(1000-SUMPRODUCT(MAX(ISNUMBER(SEARCH(Rules!$A$5:$A$204,B1857))*(Rules!$A$5:$A$204&lt;&gt;"")*(1000-ROW(Rules!$A$5:$A$204)))),""))</f>
        <v/>
      </c>
    </row>
    <row r="1858" customFormat="false" ht="15" hidden="false" customHeight="false" outlineLevel="0" collapsed="false">
      <c r="A1858" s="23"/>
      <c r="B1858" s="24"/>
      <c r="C1858" s="25"/>
      <c r="D1858" s="24"/>
      <c r="E1858" s="21" t="str">
        <f aca="false">IF(OR(B1858="",N(N1858)=0,N1858=1000),IF(B1858="","","Check"),INDEX(Rules!$B:$B,N1858))</f>
        <v/>
      </c>
      <c r="F1858" s="21" t="str">
        <f aca="false">IF(OR(B1858="",N(N1858)=0,N1858=1000),"",INDEX(Rules!$C:$C,N1858))</f>
        <v/>
      </c>
      <c r="G1858" s="24"/>
      <c r="H1858" s="24"/>
      <c r="I1858" s="20" t="str">
        <f aca="false">IF(B1858="","",IF(G1858&lt;&gt;"",G1858,E1858))</f>
        <v/>
      </c>
      <c r="J1858" s="21" t="str">
        <f aca="false">IF(B1858="","",IF(H1858&lt;&gt;"",H1858,F1858))</f>
        <v/>
      </c>
      <c r="K1858" s="26" t="str">
        <f aca="false">IF(A1858="","",DATE(YEAR(A1858),MONTH(A1858),1))</f>
        <v/>
      </c>
      <c r="L1858" s="21" t="str">
        <f aca="false">IF(J1858="",IF(B1858="","",IF(N(C1858)&gt;=0,"Income","Expense")),IFERROR(INDEX(Lists!$B$2:$B$30,MATCH(J1858,Lists!$A$2:$A$30,0)),""))</f>
        <v/>
      </c>
      <c r="M1858" s="24"/>
      <c r="N1858" s="27" t="str">
        <f aca="false">IF(B1858="","",IFERROR(1000-SUMPRODUCT(MAX(ISNUMBER(SEARCH(Rules!$A$5:$A$204,B1858))*(Rules!$A$5:$A$204&lt;&gt;"")*(1000-ROW(Rules!$A$5:$A$204)))),""))</f>
        <v/>
      </c>
    </row>
    <row r="1859" customFormat="false" ht="15" hidden="false" customHeight="false" outlineLevel="0" collapsed="false">
      <c r="A1859" s="23"/>
      <c r="B1859" s="24"/>
      <c r="C1859" s="25"/>
      <c r="D1859" s="24"/>
      <c r="E1859" s="21" t="str">
        <f aca="false">IF(OR(B1859="",N(N1859)=0,N1859=1000),IF(B1859="","","Check"),INDEX(Rules!$B:$B,N1859))</f>
        <v/>
      </c>
      <c r="F1859" s="21" t="str">
        <f aca="false">IF(OR(B1859="",N(N1859)=0,N1859=1000),"",INDEX(Rules!$C:$C,N1859))</f>
        <v/>
      </c>
      <c r="G1859" s="24"/>
      <c r="H1859" s="24"/>
      <c r="I1859" s="20" t="str">
        <f aca="false">IF(B1859="","",IF(G1859&lt;&gt;"",G1859,E1859))</f>
        <v/>
      </c>
      <c r="J1859" s="21" t="str">
        <f aca="false">IF(B1859="","",IF(H1859&lt;&gt;"",H1859,F1859))</f>
        <v/>
      </c>
      <c r="K1859" s="26" t="str">
        <f aca="false">IF(A1859="","",DATE(YEAR(A1859),MONTH(A1859),1))</f>
        <v/>
      </c>
      <c r="L1859" s="21" t="str">
        <f aca="false">IF(J1859="",IF(B1859="","",IF(N(C1859)&gt;=0,"Income","Expense")),IFERROR(INDEX(Lists!$B$2:$B$30,MATCH(J1859,Lists!$A$2:$A$30,0)),""))</f>
        <v/>
      </c>
      <c r="M1859" s="24"/>
      <c r="N1859" s="27" t="str">
        <f aca="false">IF(B1859="","",IFERROR(1000-SUMPRODUCT(MAX(ISNUMBER(SEARCH(Rules!$A$5:$A$204,B1859))*(Rules!$A$5:$A$204&lt;&gt;"")*(1000-ROW(Rules!$A$5:$A$204)))),""))</f>
        <v/>
      </c>
    </row>
    <row r="1860" customFormat="false" ht="15" hidden="false" customHeight="false" outlineLevel="0" collapsed="false">
      <c r="A1860" s="23"/>
      <c r="B1860" s="24"/>
      <c r="C1860" s="25"/>
      <c r="D1860" s="24"/>
      <c r="E1860" s="21" t="str">
        <f aca="false">IF(OR(B1860="",N(N1860)=0,N1860=1000),IF(B1860="","","Check"),INDEX(Rules!$B:$B,N1860))</f>
        <v/>
      </c>
      <c r="F1860" s="21" t="str">
        <f aca="false">IF(OR(B1860="",N(N1860)=0,N1860=1000),"",INDEX(Rules!$C:$C,N1860))</f>
        <v/>
      </c>
      <c r="G1860" s="24"/>
      <c r="H1860" s="24"/>
      <c r="I1860" s="20" t="str">
        <f aca="false">IF(B1860="","",IF(G1860&lt;&gt;"",G1860,E1860))</f>
        <v/>
      </c>
      <c r="J1860" s="21" t="str">
        <f aca="false">IF(B1860="","",IF(H1860&lt;&gt;"",H1860,F1860))</f>
        <v/>
      </c>
      <c r="K1860" s="26" t="str">
        <f aca="false">IF(A1860="","",DATE(YEAR(A1860),MONTH(A1860),1))</f>
        <v/>
      </c>
      <c r="L1860" s="21" t="str">
        <f aca="false">IF(J1860="",IF(B1860="","",IF(N(C1860)&gt;=0,"Income","Expense")),IFERROR(INDEX(Lists!$B$2:$B$30,MATCH(J1860,Lists!$A$2:$A$30,0)),""))</f>
        <v/>
      </c>
      <c r="M1860" s="24"/>
      <c r="N1860" s="27" t="str">
        <f aca="false">IF(B1860="","",IFERROR(1000-SUMPRODUCT(MAX(ISNUMBER(SEARCH(Rules!$A$5:$A$204,B1860))*(Rules!$A$5:$A$204&lt;&gt;"")*(1000-ROW(Rules!$A$5:$A$204)))),""))</f>
        <v/>
      </c>
    </row>
    <row r="1861" customFormat="false" ht="15" hidden="false" customHeight="false" outlineLevel="0" collapsed="false">
      <c r="A1861" s="23"/>
      <c r="B1861" s="24"/>
      <c r="C1861" s="25"/>
      <c r="D1861" s="24"/>
      <c r="E1861" s="21" t="str">
        <f aca="false">IF(OR(B1861="",N(N1861)=0,N1861=1000),IF(B1861="","","Check"),INDEX(Rules!$B:$B,N1861))</f>
        <v/>
      </c>
      <c r="F1861" s="21" t="str">
        <f aca="false">IF(OR(B1861="",N(N1861)=0,N1861=1000),"",INDEX(Rules!$C:$C,N1861))</f>
        <v/>
      </c>
      <c r="G1861" s="24"/>
      <c r="H1861" s="24"/>
      <c r="I1861" s="20" t="str">
        <f aca="false">IF(B1861="","",IF(G1861&lt;&gt;"",G1861,E1861))</f>
        <v/>
      </c>
      <c r="J1861" s="21" t="str">
        <f aca="false">IF(B1861="","",IF(H1861&lt;&gt;"",H1861,F1861))</f>
        <v/>
      </c>
      <c r="K1861" s="26" t="str">
        <f aca="false">IF(A1861="","",DATE(YEAR(A1861),MONTH(A1861),1))</f>
        <v/>
      </c>
      <c r="L1861" s="21" t="str">
        <f aca="false">IF(J1861="",IF(B1861="","",IF(N(C1861)&gt;=0,"Income","Expense")),IFERROR(INDEX(Lists!$B$2:$B$30,MATCH(J1861,Lists!$A$2:$A$30,0)),""))</f>
        <v/>
      </c>
      <c r="M1861" s="24"/>
      <c r="N1861" s="27" t="str">
        <f aca="false">IF(B1861="","",IFERROR(1000-SUMPRODUCT(MAX(ISNUMBER(SEARCH(Rules!$A$5:$A$204,B1861))*(Rules!$A$5:$A$204&lt;&gt;"")*(1000-ROW(Rules!$A$5:$A$204)))),""))</f>
        <v/>
      </c>
    </row>
    <row r="1862" customFormat="false" ht="15" hidden="false" customHeight="false" outlineLevel="0" collapsed="false">
      <c r="A1862" s="23"/>
      <c r="B1862" s="24"/>
      <c r="C1862" s="25"/>
      <c r="D1862" s="24"/>
      <c r="E1862" s="21" t="str">
        <f aca="false">IF(OR(B1862="",N(N1862)=0,N1862=1000),IF(B1862="","","Check"),INDEX(Rules!$B:$B,N1862))</f>
        <v/>
      </c>
      <c r="F1862" s="21" t="str">
        <f aca="false">IF(OR(B1862="",N(N1862)=0,N1862=1000),"",INDEX(Rules!$C:$C,N1862))</f>
        <v/>
      </c>
      <c r="G1862" s="24"/>
      <c r="H1862" s="24"/>
      <c r="I1862" s="20" t="str">
        <f aca="false">IF(B1862="","",IF(G1862&lt;&gt;"",G1862,E1862))</f>
        <v/>
      </c>
      <c r="J1862" s="21" t="str">
        <f aca="false">IF(B1862="","",IF(H1862&lt;&gt;"",H1862,F1862))</f>
        <v/>
      </c>
      <c r="K1862" s="26" t="str">
        <f aca="false">IF(A1862="","",DATE(YEAR(A1862),MONTH(A1862),1))</f>
        <v/>
      </c>
      <c r="L1862" s="21" t="str">
        <f aca="false">IF(J1862="",IF(B1862="","",IF(N(C1862)&gt;=0,"Income","Expense")),IFERROR(INDEX(Lists!$B$2:$B$30,MATCH(J1862,Lists!$A$2:$A$30,0)),""))</f>
        <v/>
      </c>
      <c r="M1862" s="24"/>
      <c r="N1862" s="27" t="str">
        <f aca="false">IF(B1862="","",IFERROR(1000-SUMPRODUCT(MAX(ISNUMBER(SEARCH(Rules!$A$5:$A$204,B1862))*(Rules!$A$5:$A$204&lt;&gt;"")*(1000-ROW(Rules!$A$5:$A$204)))),""))</f>
        <v/>
      </c>
    </row>
    <row r="1863" customFormat="false" ht="15" hidden="false" customHeight="false" outlineLevel="0" collapsed="false">
      <c r="A1863" s="23"/>
      <c r="B1863" s="24"/>
      <c r="C1863" s="25"/>
      <c r="D1863" s="24"/>
      <c r="E1863" s="21" t="str">
        <f aca="false">IF(OR(B1863="",N(N1863)=0,N1863=1000),IF(B1863="","","Check"),INDEX(Rules!$B:$B,N1863))</f>
        <v/>
      </c>
      <c r="F1863" s="21" t="str">
        <f aca="false">IF(OR(B1863="",N(N1863)=0,N1863=1000),"",INDEX(Rules!$C:$C,N1863))</f>
        <v/>
      </c>
      <c r="G1863" s="24"/>
      <c r="H1863" s="24"/>
      <c r="I1863" s="20" t="str">
        <f aca="false">IF(B1863="","",IF(G1863&lt;&gt;"",G1863,E1863))</f>
        <v/>
      </c>
      <c r="J1863" s="21" t="str">
        <f aca="false">IF(B1863="","",IF(H1863&lt;&gt;"",H1863,F1863))</f>
        <v/>
      </c>
      <c r="K1863" s="26" t="str">
        <f aca="false">IF(A1863="","",DATE(YEAR(A1863),MONTH(A1863),1))</f>
        <v/>
      </c>
      <c r="L1863" s="21" t="str">
        <f aca="false">IF(J1863="",IF(B1863="","",IF(N(C1863)&gt;=0,"Income","Expense")),IFERROR(INDEX(Lists!$B$2:$B$30,MATCH(J1863,Lists!$A$2:$A$30,0)),""))</f>
        <v/>
      </c>
      <c r="M1863" s="24"/>
      <c r="N1863" s="27" t="str">
        <f aca="false">IF(B1863="","",IFERROR(1000-SUMPRODUCT(MAX(ISNUMBER(SEARCH(Rules!$A$5:$A$204,B1863))*(Rules!$A$5:$A$204&lt;&gt;"")*(1000-ROW(Rules!$A$5:$A$204)))),""))</f>
        <v/>
      </c>
    </row>
    <row r="1864" customFormat="false" ht="15" hidden="false" customHeight="false" outlineLevel="0" collapsed="false">
      <c r="A1864" s="23"/>
      <c r="B1864" s="24"/>
      <c r="C1864" s="25"/>
      <c r="D1864" s="24"/>
      <c r="E1864" s="21" t="str">
        <f aca="false">IF(OR(B1864="",N(N1864)=0,N1864=1000),IF(B1864="","","Check"),INDEX(Rules!$B:$B,N1864))</f>
        <v/>
      </c>
      <c r="F1864" s="21" t="str">
        <f aca="false">IF(OR(B1864="",N(N1864)=0,N1864=1000),"",INDEX(Rules!$C:$C,N1864))</f>
        <v/>
      </c>
      <c r="G1864" s="24"/>
      <c r="H1864" s="24"/>
      <c r="I1864" s="20" t="str">
        <f aca="false">IF(B1864="","",IF(G1864&lt;&gt;"",G1864,E1864))</f>
        <v/>
      </c>
      <c r="J1864" s="21" t="str">
        <f aca="false">IF(B1864="","",IF(H1864&lt;&gt;"",H1864,F1864))</f>
        <v/>
      </c>
      <c r="K1864" s="26" t="str">
        <f aca="false">IF(A1864="","",DATE(YEAR(A1864),MONTH(A1864),1))</f>
        <v/>
      </c>
      <c r="L1864" s="21" t="str">
        <f aca="false">IF(J1864="",IF(B1864="","",IF(N(C1864)&gt;=0,"Income","Expense")),IFERROR(INDEX(Lists!$B$2:$B$30,MATCH(J1864,Lists!$A$2:$A$30,0)),""))</f>
        <v/>
      </c>
      <c r="M1864" s="24"/>
      <c r="N1864" s="27" t="str">
        <f aca="false">IF(B1864="","",IFERROR(1000-SUMPRODUCT(MAX(ISNUMBER(SEARCH(Rules!$A$5:$A$204,B1864))*(Rules!$A$5:$A$204&lt;&gt;"")*(1000-ROW(Rules!$A$5:$A$204)))),""))</f>
        <v/>
      </c>
    </row>
    <row r="1865" customFormat="false" ht="15" hidden="false" customHeight="false" outlineLevel="0" collapsed="false">
      <c r="A1865" s="23"/>
      <c r="B1865" s="24"/>
      <c r="C1865" s="25"/>
      <c r="D1865" s="24"/>
      <c r="E1865" s="21" t="str">
        <f aca="false">IF(OR(B1865="",N(N1865)=0,N1865=1000),IF(B1865="","","Check"),INDEX(Rules!$B:$B,N1865))</f>
        <v/>
      </c>
      <c r="F1865" s="21" t="str">
        <f aca="false">IF(OR(B1865="",N(N1865)=0,N1865=1000),"",INDEX(Rules!$C:$C,N1865))</f>
        <v/>
      </c>
      <c r="G1865" s="24"/>
      <c r="H1865" s="24"/>
      <c r="I1865" s="20" t="str">
        <f aca="false">IF(B1865="","",IF(G1865&lt;&gt;"",G1865,E1865))</f>
        <v/>
      </c>
      <c r="J1865" s="21" t="str">
        <f aca="false">IF(B1865="","",IF(H1865&lt;&gt;"",H1865,F1865))</f>
        <v/>
      </c>
      <c r="K1865" s="26" t="str">
        <f aca="false">IF(A1865="","",DATE(YEAR(A1865),MONTH(A1865),1))</f>
        <v/>
      </c>
      <c r="L1865" s="21" t="str">
        <f aca="false">IF(J1865="",IF(B1865="","",IF(N(C1865)&gt;=0,"Income","Expense")),IFERROR(INDEX(Lists!$B$2:$B$30,MATCH(J1865,Lists!$A$2:$A$30,0)),""))</f>
        <v/>
      </c>
      <c r="M1865" s="24"/>
      <c r="N1865" s="27" t="str">
        <f aca="false">IF(B1865="","",IFERROR(1000-SUMPRODUCT(MAX(ISNUMBER(SEARCH(Rules!$A$5:$A$204,B1865))*(Rules!$A$5:$A$204&lt;&gt;"")*(1000-ROW(Rules!$A$5:$A$204)))),""))</f>
        <v/>
      </c>
    </row>
    <row r="1866" customFormat="false" ht="15" hidden="false" customHeight="false" outlineLevel="0" collapsed="false">
      <c r="A1866" s="23"/>
      <c r="B1866" s="24"/>
      <c r="C1866" s="25"/>
      <c r="D1866" s="24"/>
      <c r="E1866" s="21" t="str">
        <f aca="false">IF(OR(B1866="",N(N1866)=0,N1866=1000),IF(B1866="","","Check"),INDEX(Rules!$B:$B,N1866))</f>
        <v/>
      </c>
      <c r="F1866" s="21" t="str">
        <f aca="false">IF(OR(B1866="",N(N1866)=0,N1866=1000),"",INDEX(Rules!$C:$C,N1866))</f>
        <v/>
      </c>
      <c r="G1866" s="24"/>
      <c r="H1866" s="24"/>
      <c r="I1866" s="20" t="str">
        <f aca="false">IF(B1866="","",IF(G1866&lt;&gt;"",G1866,E1866))</f>
        <v/>
      </c>
      <c r="J1866" s="21" t="str">
        <f aca="false">IF(B1866="","",IF(H1866&lt;&gt;"",H1866,F1866))</f>
        <v/>
      </c>
      <c r="K1866" s="26" t="str">
        <f aca="false">IF(A1866="","",DATE(YEAR(A1866),MONTH(A1866),1))</f>
        <v/>
      </c>
      <c r="L1866" s="21" t="str">
        <f aca="false">IF(J1866="",IF(B1866="","",IF(N(C1866)&gt;=0,"Income","Expense")),IFERROR(INDEX(Lists!$B$2:$B$30,MATCH(J1866,Lists!$A$2:$A$30,0)),""))</f>
        <v/>
      </c>
      <c r="M1866" s="24"/>
      <c r="N1866" s="27" t="str">
        <f aca="false">IF(B1866="","",IFERROR(1000-SUMPRODUCT(MAX(ISNUMBER(SEARCH(Rules!$A$5:$A$204,B1866))*(Rules!$A$5:$A$204&lt;&gt;"")*(1000-ROW(Rules!$A$5:$A$204)))),""))</f>
        <v/>
      </c>
    </row>
    <row r="1867" customFormat="false" ht="15" hidden="false" customHeight="false" outlineLevel="0" collapsed="false">
      <c r="A1867" s="23"/>
      <c r="B1867" s="24"/>
      <c r="C1867" s="25"/>
      <c r="D1867" s="24"/>
      <c r="E1867" s="21" t="str">
        <f aca="false">IF(OR(B1867="",N(N1867)=0,N1867=1000),IF(B1867="","","Check"),INDEX(Rules!$B:$B,N1867))</f>
        <v/>
      </c>
      <c r="F1867" s="21" t="str">
        <f aca="false">IF(OR(B1867="",N(N1867)=0,N1867=1000),"",INDEX(Rules!$C:$C,N1867))</f>
        <v/>
      </c>
      <c r="G1867" s="24"/>
      <c r="H1867" s="24"/>
      <c r="I1867" s="20" t="str">
        <f aca="false">IF(B1867="","",IF(G1867&lt;&gt;"",G1867,E1867))</f>
        <v/>
      </c>
      <c r="J1867" s="21" t="str">
        <f aca="false">IF(B1867="","",IF(H1867&lt;&gt;"",H1867,F1867))</f>
        <v/>
      </c>
      <c r="K1867" s="26" t="str">
        <f aca="false">IF(A1867="","",DATE(YEAR(A1867),MONTH(A1867),1))</f>
        <v/>
      </c>
      <c r="L1867" s="21" t="str">
        <f aca="false">IF(J1867="",IF(B1867="","",IF(N(C1867)&gt;=0,"Income","Expense")),IFERROR(INDEX(Lists!$B$2:$B$30,MATCH(J1867,Lists!$A$2:$A$30,0)),""))</f>
        <v/>
      </c>
      <c r="M1867" s="24"/>
      <c r="N1867" s="27" t="str">
        <f aca="false">IF(B1867="","",IFERROR(1000-SUMPRODUCT(MAX(ISNUMBER(SEARCH(Rules!$A$5:$A$204,B1867))*(Rules!$A$5:$A$204&lt;&gt;"")*(1000-ROW(Rules!$A$5:$A$204)))),""))</f>
        <v/>
      </c>
    </row>
    <row r="1868" customFormat="false" ht="15" hidden="false" customHeight="false" outlineLevel="0" collapsed="false">
      <c r="A1868" s="23"/>
      <c r="B1868" s="24"/>
      <c r="C1868" s="25"/>
      <c r="D1868" s="24"/>
      <c r="E1868" s="21" t="str">
        <f aca="false">IF(OR(B1868="",N(N1868)=0,N1868=1000),IF(B1868="","","Check"),INDEX(Rules!$B:$B,N1868))</f>
        <v/>
      </c>
      <c r="F1868" s="21" t="str">
        <f aca="false">IF(OR(B1868="",N(N1868)=0,N1868=1000),"",INDEX(Rules!$C:$C,N1868))</f>
        <v/>
      </c>
      <c r="G1868" s="24"/>
      <c r="H1868" s="24"/>
      <c r="I1868" s="20" t="str">
        <f aca="false">IF(B1868="","",IF(G1868&lt;&gt;"",G1868,E1868))</f>
        <v/>
      </c>
      <c r="J1868" s="21" t="str">
        <f aca="false">IF(B1868="","",IF(H1868&lt;&gt;"",H1868,F1868))</f>
        <v/>
      </c>
      <c r="K1868" s="26" t="str">
        <f aca="false">IF(A1868="","",DATE(YEAR(A1868),MONTH(A1868),1))</f>
        <v/>
      </c>
      <c r="L1868" s="21" t="str">
        <f aca="false">IF(J1868="",IF(B1868="","",IF(N(C1868)&gt;=0,"Income","Expense")),IFERROR(INDEX(Lists!$B$2:$B$30,MATCH(J1868,Lists!$A$2:$A$30,0)),""))</f>
        <v/>
      </c>
      <c r="M1868" s="24"/>
      <c r="N1868" s="27" t="str">
        <f aca="false">IF(B1868="","",IFERROR(1000-SUMPRODUCT(MAX(ISNUMBER(SEARCH(Rules!$A$5:$A$204,B1868))*(Rules!$A$5:$A$204&lt;&gt;"")*(1000-ROW(Rules!$A$5:$A$204)))),""))</f>
        <v/>
      </c>
    </row>
    <row r="1869" customFormat="false" ht="15" hidden="false" customHeight="false" outlineLevel="0" collapsed="false">
      <c r="A1869" s="23"/>
      <c r="B1869" s="24"/>
      <c r="C1869" s="25"/>
      <c r="D1869" s="24"/>
      <c r="E1869" s="21" t="str">
        <f aca="false">IF(OR(B1869="",N(N1869)=0,N1869=1000),IF(B1869="","","Check"),INDEX(Rules!$B:$B,N1869))</f>
        <v/>
      </c>
      <c r="F1869" s="21" t="str">
        <f aca="false">IF(OR(B1869="",N(N1869)=0,N1869=1000),"",INDEX(Rules!$C:$C,N1869))</f>
        <v/>
      </c>
      <c r="G1869" s="24"/>
      <c r="H1869" s="24"/>
      <c r="I1869" s="20" t="str">
        <f aca="false">IF(B1869="","",IF(G1869&lt;&gt;"",G1869,E1869))</f>
        <v/>
      </c>
      <c r="J1869" s="21" t="str">
        <f aca="false">IF(B1869="","",IF(H1869&lt;&gt;"",H1869,F1869))</f>
        <v/>
      </c>
      <c r="K1869" s="26" t="str">
        <f aca="false">IF(A1869="","",DATE(YEAR(A1869),MONTH(A1869),1))</f>
        <v/>
      </c>
      <c r="L1869" s="21" t="str">
        <f aca="false">IF(J1869="",IF(B1869="","",IF(N(C1869)&gt;=0,"Income","Expense")),IFERROR(INDEX(Lists!$B$2:$B$30,MATCH(J1869,Lists!$A$2:$A$30,0)),""))</f>
        <v/>
      </c>
      <c r="M1869" s="24"/>
      <c r="N1869" s="27" t="str">
        <f aca="false">IF(B1869="","",IFERROR(1000-SUMPRODUCT(MAX(ISNUMBER(SEARCH(Rules!$A$5:$A$204,B1869))*(Rules!$A$5:$A$204&lt;&gt;"")*(1000-ROW(Rules!$A$5:$A$204)))),""))</f>
        <v/>
      </c>
    </row>
    <row r="1870" customFormat="false" ht="15" hidden="false" customHeight="false" outlineLevel="0" collapsed="false">
      <c r="A1870" s="23"/>
      <c r="B1870" s="24"/>
      <c r="C1870" s="25"/>
      <c r="D1870" s="24"/>
      <c r="E1870" s="21" t="str">
        <f aca="false">IF(OR(B1870="",N(N1870)=0,N1870=1000),IF(B1870="","","Check"),INDEX(Rules!$B:$B,N1870))</f>
        <v/>
      </c>
      <c r="F1870" s="21" t="str">
        <f aca="false">IF(OR(B1870="",N(N1870)=0,N1870=1000),"",INDEX(Rules!$C:$C,N1870))</f>
        <v/>
      </c>
      <c r="G1870" s="24"/>
      <c r="H1870" s="24"/>
      <c r="I1870" s="20" t="str">
        <f aca="false">IF(B1870="","",IF(G1870&lt;&gt;"",G1870,E1870))</f>
        <v/>
      </c>
      <c r="J1870" s="21" t="str">
        <f aca="false">IF(B1870="","",IF(H1870&lt;&gt;"",H1870,F1870))</f>
        <v/>
      </c>
      <c r="K1870" s="26" t="str">
        <f aca="false">IF(A1870="","",DATE(YEAR(A1870),MONTH(A1870),1))</f>
        <v/>
      </c>
      <c r="L1870" s="21" t="str">
        <f aca="false">IF(J1870="",IF(B1870="","",IF(N(C1870)&gt;=0,"Income","Expense")),IFERROR(INDEX(Lists!$B$2:$B$30,MATCH(J1870,Lists!$A$2:$A$30,0)),""))</f>
        <v/>
      </c>
      <c r="M1870" s="24"/>
      <c r="N1870" s="27" t="str">
        <f aca="false">IF(B1870="","",IFERROR(1000-SUMPRODUCT(MAX(ISNUMBER(SEARCH(Rules!$A$5:$A$204,B1870))*(Rules!$A$5:$A$204&lt;&gt;"")*(1000-ROW(Rules!$A$5:$A$204)))),""))</f>
        <v/>
      </c>
    </row>
    <row r="1871" customFormat="false" ht="15" hidden="false" customHeight="false" outlineLevel="0" collapsed="false">
      <c r="A1871" s="23"/>
      <c r="B1871" s="24"/>
      <c r="C1871" s="25"/>
      <c r="D1871" s="24"/>
      <c r="E1871" s="21" t="str">
        <f aca="false">IF(OR(B1871="",N(N1871)=0,N1871=1000),IF(B1871="","","Check"),INDEX(Rules!$B:$B,N1871))</f>
        <v/>
      </c>
      <c r="F1871" s="21" t="str">
        <f aca="false">IF(OR(B1871="",N(N1871)=0,N1871=1000),"",INDEX(Rules!$C:$C,N1871))</f>
        <v/>
      </c>
      <c r="G1871" s="24"/>
      <c r="H1871" s="24"/>
      <c r="I1871" s="20" t="str">
        <f aca="false">IF(B1871="","",IF(G1871&lt;&gt;"",G1871,E1871))</f>
        <v/>
      </c>
      <c r="J1871" s="21" t="str">
        <f aca="false">IF(B1871="","",IF(H1871&lt;&gt;"",H1871,F1871))</f>
        <v/>
      </c>
      <c r="K1871" s="26" t="str">
        <f aca="false">IF(A1871="","",DATE(YEAR(A1871),MONTH(A1871),1))</f>
        <v/>
      </c>
      <c r="L1871" s="21" t="str">
        <f aca="false">IF(J1871="",IF(B1871="","",IF(N(C1871)&gt;=0,"Income","Expense")),IFERROR(INDEX(Lists!$B$2:$B$30,MATCH(J1871,Lists!$A$2:$A$30,0)),""))</f>
        <v/>
      </c>
      <c r="M1871" s="24"/>
      <c r="N1871" s="27" t="str">
        <f aca="false">IF(B1871="","",IFERROR(1000-SUMPRODUCT(MAX(ISNUMBER(SEARCH(Rules!$A$5:$A$204,B1871))*(Rules!$A$5:$A$204&lt;&gt;"")*(1000-ROW(Rules!$A$5:$A$204)))),""))</f>
        <v/>
      </c>
    </row>
    <row r="1872" customFormat="false" ht="15" hidden="false" customHeight="false" outlineLevel="0" collapsed="false">
      <c r="A1872" s="23"/>
      <c r="B1872" s="24"/>
      <c r="C1872" s="25"/>
      <c r="D1872" s="24"/>
      <c r="E1872" s="21" t="str">
        <f aca="false">IF(OR(B1872="",N(N1872)=0,N1872=1000),IF(B1872="","","Check"),INDEX(Rules!$B:$B,N1872))</f>
        <v/>
      </c>
      <c r="F1872" s="21" t="str">
        <f aca="false">IF(OR(B1872="",N(N1872)=0,N1872=1000),"",INDEX(Rules!$C:$C,N1872))</f>
        <v/>
      </c>
      <c r="G1872" s="24"/>
      <c r="H1872" s="24"/>
      <c r="I1872" s="20" t="str">
        <f aca="false">IF(B1872="","",IF(G1872&lt;&gt;"",G1872,E1872))</f>
        <v/>
      </c>
      <c r="J1872" s="21" t="str">
        <f aca="false">IF(B1872="","",IF(H1872&lt;&gt;"",H1872,F1872))</f>
        <v/>
      </c>
      <c r="K1872" s="26" t="str">
        <f aca="false">IF(A1872="","",DATE(YEAR(A1872),MONTH(A1872),1))</f>
        <v/>
      </c>
      <c r="L1872" s="21" t="str">
        <f aca="false">IF(J1872="",IF(B1872="","",IF(N(C1872)&gt;=0,"Income","Expense")),IFERROR(INDEX(Lists!$B$2:$B$30,MATCH(J1872,Lists!$A$2:$A$30,0)),""))</f>
        <v/>
      </c>
      <c r="M1872" s="24"/>
      <c r="N1872" s="27" t="str">
        <f aca="false">IF(B1872="","",IFERROR(1000-SUMPRODUCT(MAX(ISNUMBER(SEARCH(Rules!$A$5:$A$204,B1872))*(Rules!$A$5:$A$204&lt;&gt;"")*(1000-ROW(Rules!$A$5:$A$204)))),""))</f>
        <v/>
      </c>
    </row>
    <row r="1873" customFormat="false" ht="15" hidden="false" customHeight="false" outlineLevel="0" collapsed="false">
      <c r="A1873" s="23"/>
      <c r="B1873" s="24"/>
      <c r="C1873" s="25"/>
      <c r="D1873" s="24"/>
      <c r="E1873" s="21" t="str">
        <f aca="false">IF(OR(B1873="",N(N1873)=0,N1873=1000),IF(B1873="","","Check"),INDEX(Rules!$B:$B,N1873))</f>
        <v/>
      </c>
      <c r="F1873" s="21" t="str">
        <f aca="false">IF(OR(B1873="",N(N1873)=0,N1873=1000),"",INDEX(Rules!$C:$C,N1873))</f>
        <v/>
      </c>
      <c r="G1873" s="24"/>
      <c r="H1873" s="24"/>
      <c r="I1873" s="20" t="str">
        <f aca="false">IF(B1873="","",IF(G1873&lt;&gt;"",G1873,E1873))</f>
        <v/>
      </c>
      <c r="J1873" s="21" t="str">
        <f aca="false">IF(B1873="","",IF(H1873&lt;&gt;"",H1873,F1873))</f>
        <v/>
      </c>
      <c r="K1873" s="26" t="str">
        <f aca="false">IF(A1873="","",DATE(YEAR(A1873),MONTH(A1873),1))</f>
        <v/>
      </c>
      <c r="L1873" s="21" t="str">
        <f aca="false">IF(J1873="",IF(B1873="","",IF(N(C1873)&gt;=0,"Income","Expense")),IFERROR(INDEX(Lists!$B$2:$B$30,MATCH(J1873,Lists!$A$2:$A$30,0)),""))</f>
        <v/>
      </c>
      <c r="M1873" s="24"/>
      <c r="N1873" s="27" t="str">
        <f aca="false">IF(B1873="","",IFERROR(1000-SUMPRODUCT(MAX(ISNUMBER(SEARCH(Rules!$A$5:$A$204,B1873))*(Rules!$A$5:$A$204&lt;&gt;"")*(1000-ROW(Rules!$A$5:$A$204)))),""))</f>
        <v/>
      </c>
    </row>
    <row r="1874" customFormat="false" ht="15" hidden="false" customHeight="false" outlineLevel="0" collapsed="false">
      <c r="A1874" s="23"/>
      <c r="B1874" s="24"/>
      <c r="C1874" s="25"/>
      <c r="D1874" s="24"/>
      <c r="E1874" s="21" t="str">
        <f aca="false">IF(OR(B1874="",N(N1874)=0,N1874=1000),IF(B1874="","","Check"),INDEX(Rules!$B:$B,N1874))</f>
        <v/>
      </c>
      <c r="F1874" s="21" t="str">
        <f aca="false">IF(OR(B1874="",N(N1874)=0,N1874=1000),"",INDEX(Rules!$C:$C,N1874))</f>
        <v/>
      </c>
      <c r="G1874" s="24"/>
      <c r="H1874" s="24"/>
      <c r="I1874" s="20" t="str">
        <f aca="false">IF(B1874="","",IF(G1874&lt;&gt;"",G1874,E1874))</f>
        <v/>
      </c>
      <c r="J1874" s="21" t="str">
        <f aca="false">IF(B1874="","",IF(H1874&lt;&gt;"",H1874,F1874))</f>
        <v/>
      </c>
      <c r="K1874" s="26" t="str">
        <f aca="false">IF(A1874="","",DATE(YEAR(A1874),MONTH(A1874),1))</f>
        <v/>
      </c>
      <c r="L1874" s="21" t="str">
        <f aca="false">IF(J1874="",IF(B1874="","",IF(N(C1874)&gt;=0,"Income","Expense")),IFERROR(INDEX(Lists!$B$2:$B$30,MATCH(J1874,Lists!$A$2:$A$30,0)),""))</f>
        <v/>
      </c>
      <c r="M1874" s="24"/>
      <c r="N1874" s="27" t="str">
        <f aca="false">IF(B1874="","",IFERROR(1000-SUMPRODUCT(MAX(ISNUMBER(SEARCH(Rules!$A$5:$A$204,B1874))*(Rules!$A$5:$A$204&lt;&gt;"")*(1000-ROW(Rules!$A$5:$A$204)))),""))</f>
        <v/>
      </c>
    </row>
    <row r="1875" customFormat="false" ht="15" hidden="false" customHeight="false" outlineLevel="0" collapsed="false">
      <c r="A1875" s="23"/>
      <c r="B1875" s="24"/>
      <c r="C1875" s="25"/>
      <c r="D1875" s="24"/>
      <c r="E1875" s="21" t="str">
        <f aca="false">IF(OR(B1875="",N(N1875)=0,N1875=1000),IF(B1875="","","Check"),INDEX(Rules!$B:$B,N1875))</f>
        <v/>
      </c>
      <c r="F1875" s="21" t="str">
        <f aca="false">IF(OR(B1875="",N(N1875)=0,N1875=1000),"",INDEX(Rules!$C:$C,N1875))</f>
        <v/>
      </c>
      <c r="G1875" s="24"/>
      <c r="H1875" s="24"/>
      <c r="I1875" s="20" t="str">
        <f aca="false">IF(B1875="","",IF(G1875&lt;&gt;"",G1875,E1875))</f>
        <v/>
      </c>
      <c r="J1875" s="21" t="str">
        <f aca="false">IF(B1875="","",IF(H1875&lt;&gt;"",H1875,F1875))</f>
        <v/>
      </c>
      <c r="K1875" s="26" t="str">
        <f aca="false">IF(A1875="","",DATE(YEAR(A1875),MONTH(A1875),1))</f>
        <v/>
      </c>
      <c r="L1875" s="21" t="str">
        <f aca="false">IF(J1875="",IF(B1875="","",IF(N(C1875)&gt;=0,"Income","Expense")),IFERROR(INDEX(Lists!$B$2:$B$30,MATCH(J1875,Lists!$A$2:$A$30,0)),""))</f>
        <v/>
      </c>
      <c r="M1875" s="24"/>
      <c r="N1875" s="27" t="str">
        <f aca="false">IF(B1875="","",IFERROR(1000-SUMPRODUCT(MAX(ISNUMBER(SEARCH(Rules!$A$5:$A$204,B1875))*(Rules!$A$5:$A$204&lt;&gt;"")*(1000-ROW(Rules!$A$5:$A$204)))),""))</f>
        <v/>
      </c>
    </row>
    <row r="1876" customFormat="false" ht="15" hidden="false" customHeight="false" outlineLevel="0" collapsed="false">
      <c r="A1876" s="23"/>
      <c r="B1876" s="24"/>
      <c r="C1876" s="25"/>
      <c r="D1876" s="24"/>
      <c r="E1876" s="21" t="str">
        <f aca="false">IF(OR(B1876="",N(N1876)=0,N1876=1000),IF(B1876="","","Check"),INDEX(Rules!$B:$B,N1876))</f>
        <v/>
      </c>
      <c r="F1876" s="21" t="str">
        <f aca="false">IF(OR(B1876="",N(N1876)=0,N1876=1000),"",INDEX(Rules!$C:$C,N1876))</f>
        <v/>
      </c>
      <c r="G1876" s="24"/>
      <c r="H1876" s="24"/>
      <c r="I1876" s="20" t="str">
        <f aca="false">IF(B1876="","",IF(G1876&lt;&gt;"",G1876,E1876))</f>
        <v/>
      </c>
      <c r="J1876" s="21" t="str">
        <f aca="false">IF(B1876="","",IF(H1876&lt;&gt;"",H1876,F1876))</f>
        <v/>
      </c>
      <c r="K1876" s="26" t="str">
        <f aca="false">IF(A1876="","",DATE(YEAR(A1876),MONTH(A1876),1))</f>
        <v/>
      </c>
      <c r="L1876" s="21" t="str">
        <f aca="false">IF(J1876="",IF(B1876="","",IF(N(C1876)&gt;=0,"Income","Expense")),IFERROR(INDEX(Lists!$B$2:$B$30,MATCH(J1876,Lists!$A$2:$A$30,0)),""))</f>
        <v/>
      </c>
      <c r="M1876" s="24"/>
      <c r="N1876" s="27" t="str">
        <f aca="false">IF(B1876="","",IFERROR(1000-SUMPRODUCT(MAX(ISNUMBER(SEARCH(Rules!$A$5:$A$204,B1876))*(Rules!$A$5:$A$204&lt;&gt;"")*(1000-ROW(Rules!$A$5:$A$204)))),""))</f>
        <v/>
      </c>
    </row>
    <row r="1877" customFormat="false" ht="15" hidden="false" customHeight="false" outlineLevel="0" collapsed="false">
      <c r="A1877" s="23"/>
      <c r="B1877" s="24"/>
      <c r="C1877" s="25"/>
      <c r="D1877" s="24"/>
      <c r="E1877" s="21" t="str">
        <f aca="false">IF(OR(B1877="",N(N1877)=0,N1877=1000),IF(B1877="","","Check"),INDEX(Rules!$B:$B,N1877))</f>
        <v/>
      </c>
      <c r="F1877" s="21" t="str">
        <f aca="false">IF(OR(B1877="",N(N1877)=0,N1877=1000),"",INDEX(Rules!$C:$C,N1877))</f>
        <v/>
      </c>
      <c r="G1877" s="24"/>
      <c r="H1877" s="24"/>
      <c r="I1877" s="20" t="str">
        <f aca="false">IF(B1877="","",IF(G1877&lt;&gt;"",G1877,E1877))</f>
        <v/>
      </c>
      <c r="J1877" s="21" t="str">
        <f aca="false">IF(B1877="","",IF(H1877&lt;&gt;"",H1877,F1877))</f>
        <v/>
      </c>
      <c r="K1877" s="26" t="str">
        <f aca="false">IF(A1877="","",DATE(YEAR(A1877),MONTH(A1877),1))</f>
        <v/>
      </c>
      <c r="L1877" s="21" t="str">
        <f aca="false">IF(J1877="",IF(B1877="","",IF(N(C1877)&gt;=0,"Income","Expense")),IFERROR(INDEX(Lists!$B$2:$B$30,MATCH(J1877,Lists!$A$2:$A$30,0)),""))</f>
        <v/>
      </c>
      <c r="M1877" s="24"/>
      <c r="N1877" s="27" t="str">
        <f aca="false">IF(B1877="","",IFERROR(1000-SUMPRODUCT(MAX(ISNUMBER(SEARCH(Rules!$A$5:$A$204,B1877))*(Rules!$A$5:$A$204&lt;&gt;"")*(1000-ROW(Rules!$A$5:$A$204)))),""))</f>
        <v/>
      </c>
    </row>
    <row r="1878" customFormat="false" ht="15" hidden="false" customHeight="false" outlineLevel="0" collapsed="false">
      <c r="A1878" s="23"/>
      <c r="B1878" s="24"/>
      <c r="C1878" s="25"/>
      <c r="D1878" s="24"/>
      <c r="E1878" s="21" t="str">
        <f aca="false">IF(OR(B1878="",N(N1878)=0,N1878=1000),IF(B1878="","","Check"),INDEX(Rules!$B:$B,N1878))</f>
        <v/>
      </c>
      <c r="F1878" s="21" t="str">
        <f aca="false">IF(OR(B1878="",N(N1878)=0,N1878=1000),"",INDEX(Rules!$C:$C,N1878))</f>
        <v/>
      </c>
      <c r="G1878" s="24"/>
      <c r="H1878" s="24"/>
      <c r="I1878" s="20" t="str">
        <f aca="false">IF(B1878="","",IF(G1878&lt;&gt;"",G1878,E1878))</f>
        <v/>
      </c>
      <c r="J1878" s="21" t="str">
        <f aca="false">IF(B1878="","",IF(H1878&lt;&gt;"",H1878,F1878))</f>
        <v/>
      </c>
      <c r="K1878" s="26" t="str">
        <f aca="false">IF(A1878="","",DATE(YEAR(A1878),MONTH(A1878),1))</f>
        <v/>
      </c>
      <c r="L1878" s="21" t="str">
        <f aca="false">IF(J1878="",IF(B1878="","",IF(N(C1878)&gt;=0,"Income","Expense")),IFERROR(INDEX(Lists!$B$2:$B$30,MATCH(J1878,Lists!$A$2:$A$30,0)),""))</f>
        <v/>
      </c>
      <c r="M1878" s="24"/>
      <c r="N1878" s="27" t="str">
        <f aca="false">IF(B1878="","",IFERROR(1000-SUMPRODUCT(MAX(ISNUMBER(SEARCH(Rules!$A$5:$A$204,B1878))*(Rules!$A$5:$A$204&lt;&gt;"")*(1000-ROW(Rules!$A$5:$A$204)))),""))</f>
        <v/>
      </c>
    </row>
    <row r="1879" customFormat="false" ht="15" hidden="false" customHeight="false" outlineLevel="0" collapsed="false">
      <c r="A1879" s="23"/>
      <c r="B1879" s="24"/>
      <c r="C1879" s="25"/>
      <c r="D1879" s="24"/>
      <c r="E1879" s="21" t="str">
        <f aca="false">IF(OR(B1879="",N(N1879)=0,N1879=1000),IF(B1879="","","Check"),INDEX(Rules!$B:$B,N1879))</f>
        <v/>
      </c>
      <c r="F1879" s="21" t="str">
        <f aca="false">IF(OR(B1879="",N(N1879)=0,N1879=1000),"",INDEX(Rules!$C:$C,N1879))</f>
        <v/>
      </c>
      <c r="G1879" s="24"/>
      <c r="H1879" s="24"/>
      <c r="I1879" s="20" t="str">
        <f aca="false">IF(B1879="","",IF(G1879&lt;&gt;"",G1879,E1879))</f>
        <v/>
      </c>
      <c r="J1879" s="21" t="str">
        <f aca="false">IF(B1879="","",IF(H1879&lt;&gt;"",H1879,F1879))</f>
        <v/>
      </c>
      <c r="K1879" s="26" t="str">
        <f aca="false">IF(A1879="","",DATE(YEAR(A1879),MONTH(A1879),1))</f>
        <v/>
      </c>
      <c r="L1879" s="21" t="str">
        <f aca="false">IF(J1879="",IF(B1879="","",IF(N(C1879)&gt;=0,"Income","Expense")),IFERROR(INDEX(Lists!$B$2:$B$30,MATCH(J1879,Lists!$A$2:$A$30,0)),""))</f>
        <v/>
      </c>
      <c r="M1879" s="24"/>
      <c r="N1879" s="27" t="str">
        <f aca="false">IF(B1879="","",IFERROR(1000-SUMPRODUCT(MAX(ISNUMBER(SEARCH(Rules!$A$5:$A$204,B1879))*(Rules!$A$5:$A$204&lt;&gt;"")*(1000-ROW(Rules!$A$5:$A$204)))),""))</f>
        <v/>
      </c>
    </row>
    <row r="1880" customFormat="false" ht="15" hidden="false" customHeight="false" outlineLevel="0" collapsed="false">
      <c r="A1880" s="23"/>
      <c r="B1880" s="24"/>
      <c r="C1880" s="25"/>
      <c r="D1880" s="24"/>
      <c r="E1880" s="21" t="str">
        <f aca="false">IF(OR(B1880="",N(N1880)=0,N1880=1000),IF(B1880="","","Check"),INDEX(Rules!$B:$B,N1880))</f>
        <v/>
      </c>
      <c r="F1880" s="21" t="str">
        <f aca="false">IF(OR(B1880="",N(N1880)=0,N1880=1000),"",INDEX(Rules!$C:$C,N1880))</f>
        <v/>
      </c>
      <c r="G1880" s="24"/>
      <c r="H1880" s="24"/>
      <c r="I1880" s="20" t="str">
        <f aca="false">IF(B1880="","",IF(G1880&lt;&gt;"",G1880,E1880))</f>
        <v/>
      </c>
      <c r="J1880" s="21" t="str">
        <f aca="false">IF(B1880="","",IF(H1880&lt;&gt;"",H1880,F1880))</f>
        <v/>
      </c>
      <c r="K1880" s="26" t="str">
        <f aca="false">IF(A1880="","",DATE(YEAR(A1880),MONTH(A1880),1))</f>
        <v/>
      </c>
      <c r="L1880" s="21" t="str">
        <f aca="false">IF(J1880="",IF(B1880="","",IF(N(C1880)&gt;=0,"Income","Expense")),IFERROR(INDEX(Lists!$B$2:$B$30,MATCH(J1880,Lists!$A$2:$A$30,0)),""))</f>
        <v/>
      </c>
      <c r="M1880" s="24"/>
      <c r="N1880" s="27" t="str">
        <f aca="false">IF(B1880="","",IFERROR(1000-SUMPRODUCT(MAX(ISNUMBER(SEARCH(Rules!$A$5:$A$204,B1880))*(Rules!$A$5:$A$204&lt;&gt;"")*(1000-ROW(Rules!$A$5:$A$204)))),""))</f>
        <v/>
      </c>
    </row>
    <row r="1881" customFormat="false" ht="15" hidden="false" customHeight="false" outlineLevel="0" collapsed="false">
      <c r="A1881" s="23"/>
      <c r="B1881" s="24"/>
      <c r="C1881" s="25"/>
      <c r="D1881" s="24"/>
      <c r="E1881" s="21" t="str">
        <f aca="false">IF(OR(B1881="",N(N1881)=0,N1881=1000),IF(B1881="","","Check"),INDEX(Rules!$B:$B,N1881))</f>
        <v/>
      </c>
      <c r="F1881" s="21" t="str">
        <f aca="false">IF(OR(B1881="",N(N1881)=0,N1881=1000),"",INDEX(Rules!$C:$C,N1881))</f>
        <v/>
      </c>
      <c r="G1881" s="24"/>
      <c r="H1881" s="24"/>
      <c r="I1881" s="20" t="str">
        <f aca="false">IF(B1881="","",IF(G1881&lt;&gt;"",G1881,E1881))</f>
        <v/>
      </c>
      <c r="J1881" s="21" t="str">
        <f aca="false">IF(B1881="","",IF(H1881&lt;&gt;"",H1881,F1881))</f>
        <v/>
      </c>
      <c r="K1881" s="26" t="str">
        <f aca="false">IF(A1881="","",DATE(YEAR(A1881),MONTH(A1881),1))</f>
        <v/>
      </c>
      <c r="L1881" s="21" t="str">
        <f aca="false">IF(J1881="",IF(B1881="","",IF(N(C1881)&gt;=0,"Income","Expense")),IFERROR(INDEX(Lists!$B$2:$B$30,MATCH(J1881,Lists!$A$2:$A$30,0)),""))</f>
        <v/>
      </c>
      <c r="M1881" s="24"/>
      <c r="N1881" s="27" t="str">
        <f aca="false">IF(B1881="","",IFERROR(1000-SUMPRODUCT(MAX(ISNUMBER(SEARCH(Rules!$A$5:$A$204,B1881))*(Rules!$A$5:$A$204&lt;&gt;"")*(1000-ROW(Rules!$A$5:$A$204)))),""))</f>
        <v/>
      </c>
    </row>
    <row r="1882" customFormat="false" ht="15" hidden="false" customHeight="false" outlineLevel="0" collapsed="false">
      <c r="A1882" s="23"/>
      <c r="B1882" s="24"/>
      <c r="C1882" s="25"/>
      <c r="D1882" s="24"/>
      <c r="E1882" s="21" t="str">
        <f aca="false">IF(OR(B1882="",N(N1882)=0,N1882=1000),IF(B1882="","","Check"),INDEX(Rules!$B:$B,N1882))</f>
        <v/>
      </c>
      <c r="F1882" s="21" t="str">
        <f aca="false">IF(OR(B1882="",N(N1882)=0,N1882=1000),"",INDEX(Rules!$C:$C,N1882))</f>
        <v/>
      </c>
      <c r="G1882" s="24"/>
      <c r="H1882" s="24"/>
      <c r="I1882" s="20" t="str">
        <f aca="false">IF(B1882="","",IF(G1882&lt;&gt;"",G1882,E1882))</f>
        <v/>
      </c>
      <c r="J1882" s="21" t="str">
        <f aca="false">IF(B1882="","",IF(H1882&lt;&gt;"",H1882,F1882))</f>
        <v/>
      </c>
      <c r="K1882" s="26" t="str">
        <f aca="false">IF(A1882="","",DATE(YEAR(A1882),MONTH(A1882),1))</f>
        <v/>
      </c>
      <c r="L1882" s="21" t="str">
        <f aca="false">IF(J1882="",IF(B1882="","",IF(N(C1882)&gt;=0,"Income","Expense")),IFERROR(INDEX(Lists!$B$2:$B$30,MATCH(J1882,Lists!$A$2:$A$30,0)),""))</f>
        <v/>
      </c>
      <c r="M1882" s="24"/>
      <c r="N1882" s="27" t="str">
        <f aca="false">IF(B1882="","",IFERROR(1000-SUMPRODUCT(MAX(ISNUMBER(SEARCH(Rules!$A$5:$A$204,B1882))*(Rules!$A$5:$A$204&lt;&gt;"")*(1000-ROW(Rules!$A$5:$A$204)))),""))</f>
        <v/>
      </c>
    </row>
    <row r="1883" customFormat="false" ht="15" hidden="false" customHeight="false" outlineLevel="0" collapsed="false">
      <c r="A1883" s="23"/>
      <c r="B1883" s="24"/>
      <c r="C1883" s="25"/>
      <c r="D1883" s="24"/>
      <c r="E1883" s="21" t="str">
        <f aca="false">IF(OR(B1883="",N(N1883)=0,N1883=1000),IF(B1883="","","Check"),INDEX(Rules!$B:$B,N1883))</f>
        <v/>
      </c>
      <c r="F1883" s="21" t="str">
        <f aca="false">IF(OR(B1883="",N(N1883)=0,N1883=1000),"",INDEX(Rules!$C:$C,N1883))</f>
        <v/>
      </c>
      <c r="G1883" s="24"/>
      <c r="H1883" s="24"/>
      <c r="I1883" s="20" t="str">
        <f aca="false">IF(B1883="","",IF(G1883&lt;&gt;"",G1883,E1883))</f>
        <v/>
      </c>
      <c r="J1883" s="21" t="str">
        <f aca="false">IF(B1883="","",IF(H1883&lt;&gt;"",H1883,F1883))</f>
        <v/>
      </c>
      <c r="K1883" s="26" t="str">
        <f aca="false">IF(A1883="","",DATE(YEAR(A1883),MONTH(A1883),1))</f>
        <v/>
      </c>
      <c r="L1883" s="21" t="str">
        <f aca="false">IF(J1883="",IF(B1883="","",IF(N(C1883)&gt;=0,"Income","Expense")),IFERROR(INDEX(Lists!$B$2:$B$30,MATCH(J1883,Lists!$A$2:$A$30,0)),""))</f>
        <v/>
      </c>
      <c r="M1883" s="24"/>
      <c r="N1883" s="27" t="str">
        <f aca="false">IF(B1883="","",IFERROR(1000-SUMPRODUCT(MAX(ISNUMBER(SEARCH(Rules!$A$5:$A$204,B1883))*(Rules!$A$5:$A$204&lt;&gt;"")*(1000-ROW(Rules!$A$5:$A$204)))),""))</f>
        <v/>
      </c>
    </row>
    <row r="1884" customFormat="false" ht="15" hidden="false" customHeight="false" outlineLevel="0" collapsed="false">
      <c r="A1884" s="23"/>
      <c r="B1884" s="24"/>
      <c r="C1884" s="25"/>
      <c r="D1884" s="24"/>
      <c r="E1884" s="21" t="str">
        <f aca="false">IF(OR(B1884="",N(N1884)=0,N1884=1000),IF(B1884="","","Check"),INDEX(Rules!$B:$B,N1884))</f>
        <v/>
      </c>
      <c r="F1884" s="21" t="str">
        <f aca="false">IF(OR(B1884="",N(N1884)=0,N1884=1000),"",INDEX(Rules!$C:$C,N1884))</f>
        <v/>
      </c>
      <c r="G1884" s="24"/>
      <c r="H1884" s="24"/>
      <c r="I1884" s="20" t="str">
        <f aca="false">IF(B1884="","",IF(G1884&lt;&gt;"",G1884,E1884))</f>
        <v/>
      </c>
      <c r="J1884" s="21" t="str">
        <f aca="false">IF(B1884="","",IF(H1884&lt;&gt;"",H1884,F1884))</f>
        <v/>
      </c>
      <c r="K1884" s="26" t="str">
        <f aca="false">IF(A1884="","",DATE(YEAR(A1884),MONTH(A1884),1))</f>
        <v/>
      </c>
      <c r="L1884" s="21" t="str">
        <f aca="false">IF(J1884="",IF(B1884="","",IF(N(C1884)&gt;=0,"Income","Expense")),IFERROR(INDEX(Lists!$B$2:$B$30,MATCH(J1884,Lists!$A$2:$A$30,0)),""))</f>
        <v/>
      </c>
      <c r="M1884" s="24"/>
      <c r="N1884" s="27" t="str">
        <f aca="false">IF(B1884="","",IFERROR(1000-SUMPRODUCT(MAX(ISNUMBER(SEARCH(Rules!$A$5:$A$204,B1884))*(Rules!$A$5:$A$204&lt;&gt;"")*(1000-ROW(Rules!$A$5:$A$204)))),""))</f>
        <v/>
      </c>
    </row>
    <row r="1885" customFormat="false" ht="15" hidden="false" customHeight="false" outlineLevel="0" collapsed="false">
      <c r="A1885" s="23"/>
      <c r="B1885" s="24"/>
      <c r="C1885" s="25"/>
      <c r="D1885" s="24"/>
      <c r="E1885" s="21" t="str">
        <f aca="false">IF(OR(B1885="",N(N1885)=0,N1885=1000),IF(B1885="","","Check"),INDEX(Rules!$B:$B,N1885))</f>
        <v/>
      </c>
      <c r="F1885" s="21" t="str">
        <f aca="false">IF(OR(B1885="",N(N1885)=0,N1885=1000),"",INDEX(Rules!$C:$C,N1885))</f>
        <v/>
      </c>
      <c r="G1885" s="24"/>
      <c r="H1885" s="24"/>
      <c r="I1885" s="20" t="str">
        <f aca="false">IF(B1885="","",IF(G1885&lt;&gt;"",G1885,E1885))</f>
        <v/>
      </c>
      <c r="J1885" s="21" t="str">
        <f aca="false">IF(B1885="","",IF(H1885&lt;&gt;"",H1885,F1885))</f>
        <v/>
      </c>
      <c r="K1885" s="26" t="str">
        <f aca="false">IF(A1885="","",DATE(YEAR(A1885),MONTH(A1885),1))</f>
        <v/>
      </c>
      <c r="L1885" s="21" t="str">
        <f aca="false">IF(J1885="",IF(B1885="","",IF(N(C1885)&gt;=0,"Income","Expense")),IFERROR(INDEX(Lists!$B$2:$B$30,MATCH(J1885,Lists!$A$2:$A$30,0)),""))</f>
        <v/>
      </c>
      <c r="M1885" s="24"/>
      <c r="N1885" s="27" t="str">
        <f aca="false">IF(B1885="","",IFERROR(1000-SUMPRODUCT(MAX(ISNUMBER(SEARCH(Rules!$A$5:$A$204,B1885))*(Rules!$A$5:$A$204&lt;&gt;"")*(1000-ROW(Rules!$A$5:$A$204)))),""))</f>
        <v/>
      </c>
    </row>
    <row r="1886" customFormat="false" ht="15" hidden="false" customHeight="false" outlineLevel="0" collapsed="false">
      <c r="A1886" s="23"/>
      <c r="B1886" s="24"/>
      <c r="C1886" s="25"/>
      <c r="D1886" s="24"/>
      <c r="E1886" s="21" t="str">
        <f aca="false">IF(OR(B1886="",N(N1886)=0,N1886=1000),IF(B1886="","","Check"),INDEX(Rules!$B:$B,N1886))</f>
        <v/>
      </c>
      <c r="F1886" s="21" t="str">
        <f aca="false">IF(OR(B1886="",N(N1886)=0,N1886=1000),"",INDEX(Rules!$C:$C,N1886))</f>
        <v/>
      </c>
      <c r="G1886" s="24"/>
      <c r="H1886" s="24"/>
      <c r="I1886" s="20" t="str">
        <f aca="false">IF(B1886="","",IF(G1886&lt;&gt;"",G1886,E1886))</f>
        <v/>
      </c>
      <c r="J1886" s="21" t="str">
        <f aca="false">IF(B1886="","",IF(H1886&lt;&gt;"",H1886,F1886))</f>
        <v/>
      </c>
      <c r="K1886" s="26" t="str">
        <f aca="false">IF(A1886="","",DATE(YEAR(A1886),MONTH(A1886),1))</f>
        <v/>
      </c>
      <c r="L1886" s="21" t="str">
        <f aca="false">IF(J1886="",IF(B1886="","",IF(N(C1886)&gt;=0,"Income","Expense")),IFERROR(INDEX(Lists!$B$2:$B$30,MATCH(J1886,Lists!$A$2:$A$30,0)),""))</f>
        <v/>
      </c>
      <c r="M1886" s="24"/>
      <c r="N1886" s="27" t="str">
        <f aca="false">IF(B1886="","",IFERROR(1000-SUMPRODUCT(MAX(ISNUMBER(SEARCH(Rules!$A$5:$A$204,B1886))*(Rules!$A$5:$A$204&lt;&gt;"")*(1000-ROW(Rules!$A$5:$A$204)))),""))</f>
        <v/>
      </c>
    </row>
    <row r="1887" customFormat="false" ht="15" hidden="false" customHeight="false" outlineLevel="0" collapsed="false">
      <c r="A1887" s="23"/>
      <c r="B1887" s="24"/>
      <c r="C1887" s="25"/>
      <c r="D1887" s="24"/>
      <c r="E1887" s="21" t="str">
        <f aca="false">IF(OR(B1887="",N(N1887)=0,N1887=1000),IF(B1887="","","Check"),INDEX(Rules!$B:$B,N1887))</f>
        <v/>
      </c>
      <c r="F1887" s="21" t="str">
        <f aca="false">IF(OR(B1887="",N(N1887)=0,N1887=1000),"",INDEX(Rules!$C:$C,N1887))</f>
        <v/>
      </c>
      <c r="G1887" s="24"/>
      <c r="H1887" s="24"/>
      <c r="I1887" s="20" t="str">
        <f aca="false">IF(B1887="","",IF(G1887&lt;&gt;"",G1887,E1887))</f>
        <v/>
      </c>
      <c r="J1887" s="21" t="str">
        <f aca="false">IF(B1887="","",IF(H1887&lt;&gt;"",H1887,F1887))</f>
        <v/>
      </c>
      <c r="K1887" s="26" t="str">
        <f aca="false">IF(A1887="","",DATE(YEAR(A1887),MONTH(A1887),1))</f>
        <v/>
      </c>
      <c r="L1887" s="21" t="str">
        <f aca="false">IF(J1887="",IF(B1887="","",IF(N(C1887)&gt;=0,"Income","Expense")),IFERROR(INDEX(Lists!$B$2:$B$30,MATCH(J1887,Lists!$A$2:$A$30,0)),""))</f>
        <v/>
      </c>
      <c r="M1887" s="24"/>
      <c r="N1887" s="27" t="str">
        <f aca="false">IF(B1887="","",IFERROR(1000-SUMPRODUCT(MAX(ISNUMBER(SEARCH(Rules!$A$5:$A$204,B1887))*(Rules!$A$5:$A$204&lt;&gt;"")*(1000-ROW(Rules!$A$5:$A$204)))),""))</f>
        <v/>
      </c>
    </row>
    <row r="1888" customFormat="false" ht="15" hidden="false" customHeight="false" outlineLevel="0" collapsed="false">
      <c r="A1888" s="23"/>
      <c r="B1888" s="24"/>
      <c r="C1888" s="25"/>
      <c r="D1888" s="24"/>
      <c r="E1888" s="21" t="str">
        <f aca="false">IF(OR(B1888="",N(N1888)=0,N1888=1000),IF(B1888="","","Check"),INDEX(Rules!$B:$B,N1888))</f>
        <v/>
      </c>
      <c r="F1888" s="21" t="str">
        <f aca="false">IF(OR(B1888="",N(N1888)=0,N1888=1000),"",INDEX(Rules!$C:$C,N1888))</f>
        <v/>
      </c>
      <c r="G1888" s="24"/>
      <c r="H1888" s="24"/>
      <c r="I1888" s="20" t="str">
        <f aca="false">IF(B1888="","",IF(G1888&lt;&gt;"",G1888,E1888))</f>
        <v/>
      </c>
      <c r="J1888" s="21" t="str">
        <f aca="false">IF(B1888="","",IF(H1888&lt;&gt;"",H1888,F1888))</f>
        <v/>
      </c>
      <c r="K1888" s="26" t="str">
        <f aca="false">IF(A1888="","",DATE(YEAR(A1888),MONTH(A1888),1))</f>
        <v/>
      </c>
      <c r="L1888" s="21" t="str">
        <f aca="false">IF(J1888="",IF(B1888="","",IF(N(C1888)&gt;=0,"Income","Expense")),IFERROR(INDEX(Lists!$B$2:$B$30,MATCH(J1888,Lists!$A$2:$A$30,0)),""))</f>
        <v/>
      </c>
      <c r="M1888" s="24"/>
      <c r="N1888" s="27" t="str">
        <f aca="false">IF(B1888="","",IFERROR(1000-SUMPRODUCT(MAX(ISNUMBER(SEARCH(Rules!$A$5:$A$204,B1888))*(Rules!$A$5:$A$204&lt;&gt;"")*(1000-ROW(Rules!$A$5:$A$204)))),""))</f>
        <v/>
      </c>
    </row>
    <row r="1889" customFormat="false" ht="15" hidden="false" customHeight="false" outlineLevel="0" collapsed="false">
      <c r="A1889" s="23"/>
      <c r="B1889" s="24"/>
      <c r="C1889" s="25"/>
      <c r="D1889" s="24"/>
      <c r="E1889" s="21" t="str">
        <f aca="false">IF(OR(B1889="",N(N1889)=0,N1889=1000),IF(B1889="","","Check"),INDEX(Rules!$B:$B,N1889))</f>
        <v/>
      </c>
      <c r="F1889" s="21" t="str">
        <f aca="false">IF(OR(B1889="",N(N1889)=0,N1889=1000),"",INDEX(Rules!$C:$C,N1889))</f>
        <v/>
      </c>
      <c r="G1889" s="24"/>
      <c r="H1889" s="24"/>
      <c r="I1889" s="20" t="str">
        <f aca="false">IF(B1889="","",IF(G1889&lt;&gt;"",G1889,E1889))</f>
        <v/>
      </c>
      <c r="J1889" s="21" t="str">
        <f aca="false">IF(B1889="","",IF(H1889&lt;&gt;"",H1889,F1889))</f>
        <v/>
      </c>
      <c r="K1889" s="26" t="str">
        <f aca="false">IF(A1889="","",DATE(YEAR(A1889),MONTH(A1889),1))</f>
        <v/>
      </c>
      <c r="L1889" s="21" t="str">
        <f aca="false">IF(J1889="",IF(B1889="","",IF(N(C1889)&gt;=0,"Income","Expense")),IFERROR(INDEX(Lists!$B$2:$B$30,MATCH(J1889,Lists!$A$2:$A$30,0)),""))</f>
        <v/>
      </c>
      <c r="M1889" s="24"/>
      <c r="N1889" s="27" t="str">
        <f aca="false">IF(B1889="","",IFERROR(1000-SUMPRODUCT(MAX(ISNUMBER(SEARCH(Rules!$A$5:$A$204,B1889))*(Rules!$A$5:$A$204&lt;&gt;"")*(1000-ROW(Rules!$A$5:$A$204)))),""))</f>
        <v/>
      </c>
    </row>
    <row r="1890" customFormat="false" ht="15" hidden="false" customHeight="false" outlineLevel="0" collapsed="false">
      <c r="A1890" s="23"/>
      <c r="B1890" s="24"/>
      <c r="C1890" s="25"/>
      <c r="D1890" s="24"/>
      <c r="E1890" s="21" t="str">
        <f aca="false">IF(OR(B1890="",N(N1890)=0,N1890=1000),IF(B1890="","","Check"),INDEX(Rules!$B:$B,N1890))</f>
        <v/>
      </c>
      <c r="F1890" s="21" t="str">
        <f aca="false">IF(OR(B1890="",N(N1890)=0,N1890=1000),"",INDEX(Rules!$C:$C,N1890))</f>
        <v/>
      </c>
      <c r="G1890" s="24"/>
      <c r="H1890" s="24"/>
      <c r="I1890" s="20" t="str">
        <f aca="false">IF(B1890="","",IF(G1890&lt;&gt;"",G1890,E1890))</f>
        <v/>
      </c>
      <c r="J1890" s="21" t="str">
        <f aca="false">IF(B1890="","",IF(H1890&lt;&gt;"",H1890,F1890))</f>
        <v/>
      </c>
      <c r="K1890" s="26" t="str">
        <f aca="false">IF(A1890="","",DATE(YEAR(A1890),MONTH(A1890),1))</f>
        <v/>
      </c>
      <c r="L1890" s="21" t="str">
        <f aca="false">IF(J1890="",IF(B1890="","",IF(N(C1890)&gt;=0,"Income","Expense")),IFERROR(INDEX(Lists!$B$2:$B$30,MATCH(J1890,Lists!$A$2:$A$30,0)),""))</f>
        <v/>
      </c>
      <c r="M1890" s="24"/>
      <c r="N1890" s="27" t="str">
        <f aca="false">IF(B1890="","",IFERROR(1000-SUMPRODUCT(MAX(ISNUMBER(SEARCH(Rules!$A$5:$A$204,B1890))*(Rules!$A$5:$A$204&lt;&gt;"")*(1000-ROW(Rules!$A$5:$A$204)))),""))</f>
        <v/>
      </c>
    </row>
    <row r="1891" customFormat="false" ht="15" hidden="false" customHeight="false" outlineLevel="0" collapsed="false">
      <c r="A1891" s="23"/>
      <c r="B1891" s="24"/>
      <c r="C1891" s="25"/>
      <c r="D1891" s="24"/>
      <c r="E1891" s="21" t="str">
        <f aca="false">IF(OR(B1891="",N(N1891)=0,N1891=1000),IF(B1891="","","Check"),INDEX(Rules!$B:$B,N1891))</f>
        <v/>
      </c>
      <c r="F1891" s="21" t="str">
        <f aca="false">IF(OR(B1891="",N(N1891)=0,N1891=1000),"",INDEX(Rules!$C:$C,N1891))</f>
        <v/>
      </c>
      <c r="G1891" s="24"/>
      <c r="H1891" s="24"/>
      <c r="I1891" s="20" t="str">
        <f aca="false">IF(B1891="","",IF(G1891&lt;&gt;"",G1891,E1891))</f>
        <v/>
      </c>
      <c r="J1891" s="21" t="str">
        <f aca="false">IF(B1891="","",IF(H1891&lt;&gt;"",H1891,F1891))</f>
        <v/>
      </c>
      <c r="K1891" s="26" t="str">
        <f aca="false">IF(A1891="","",DATE(YEAR(A1891),MONTH(A1891),1))</f>
        <v/>
      </c>
      <c r="L1891" s="21" t="str">
        <f aca="false">IF(J1891="",IF(B1891="","",IF(N(C1891)&gt;=0,"Income","Expense")),IFERROR(INDEX(Lists!$B$2:$B$30,MATCH(J1891,Lists!$A$2:$A$30,0)),""))</f>
        <v/>
      </c>
      <c r="M1891" s="24"/>
      <c r="N1891" s="27" t="str">
        <f aca="false">IF(B1891="","",IFERROR(1000-SUMPRODUCT(MAX(ISNUMBER(SEARCH(Rules!$A$5:$A$204,B1891))*(Rules!$A$5:$A$204&lt;&gt;"")*(1000-ROW(Rules!$A$5:$A$204)))),""))</f>
        <v/>
      </c>
    </row>
    <row r="1892" customFormat="false" ht="15" hidden="false" customHeight="false" outlineLevel="0" collapsed="false">
      <c r="A1892" s="23"/>
      <c r="B1892" s="24"/>
      <c r="C1892" s="25"/>
      <c r="D1892" s="24"/>
      <c r="E1892" s="21" t="str">
        <f aca="false">IF(OR(B1892="",N(N1892)=0,N1892=1000),IF(B1892="","","Check"),INDEX(Rules!$B:$B,N1892))</f>
        <v/>
      </c>
      <c r="F1892" s="21" t="str">
        <f aca="false">IF(OR(B1892="",N(N1892)=0,N1892=1000),"",INDEX(Rules!$C:$C,N1892))</f>
        <v/>
      </c>
      <c r="G1892" s="24"/>
      <c r="H1892" s="24"/>
      <c r="I1892" s="20" t="str">
        <f aca="false">IF(B1892="","",IF(G1892&lt;&gt;"",G1892,E1892))</f>
        <v/>
      </c>
      <c r="J1892" s="21" t="str">
        <f aca="false">IF(B1892="","",IF(H1892&lt;&gt;"",H1892,F1892))</f>
        <v/>
      </c>
      <c r="K1892" s="26" t="str">
        <f aca="false">IF(A1892="","",DATE(YEAR(A1892),MONTH(A1892),1))</f>
        <v/>
      </c>
      <c r="L1892" s="21" t="str">
        <f aca="false">IF(J1892="",IF(B1892="","",IF(N(C1892)&gt;=0,"Income","Expense")),IFERROR(INDEX(Lists!$B$2:$B$30,MATCH(J1892,Lists!$A$2:$A$30,0)),""))</f>
        <v/>
      </c>
      <c r="M1892" s="24"/>
      <c r="N1892" s="27" t="str">
        <f aca="false">IF(B1892="","",IFERROR(1000-SUMPRODUCT(MAX(ISNUMBER(SEARCH(Rules!$A$5:$A$204,B1892))*(Rules!$A$5:$A$204&lt;&gt;"")*(1000-ROW(Rules!$A$5:$A$204)))),""))</f>
        <v/>
      </c>
    </row>
    <row r="1893" customFormat="false" ht="15" hidden="false" customHeight="false" outlineLevel="0" collapsed="false">
      <c r="A1893" s="23"/>
      <c r="B1893" s="24"/>
      <c r="C1893" s="25"/>
      <c r="D1893" s="24"/>
      <c r="E1893" s="21" t="str">
        <f aca="false">IF(OR(B1893="",N(N1893)=0,N1893=1000),IF(B1893="","","Check"),INDEX(Rules!$B:$B,N1893))</f>
        <v/>
      </c>
      <c r="F1893" s="21" t="str">
        <f aca="false">IF(OR(B1893="",N(N1893)=0,N1893=1000),"",INDEX(Rules!$C:$C,N1893))</f>
        <v/>
      </c>
      <c r="G1893" s="24"/>
      <c r="H1893" s="24"/>
      <c r="I1893" s="20" t="str">
        <f aca="false">IF(B1893="","",IF(G1893&lt;&gt;"",G1893,E1893))</f>
        <v/>
      </c>
      <c r="J1893" s="21" t="str">
        <f aca="false">IF(B1893="","",IF(H1893&lt;&gt;"",H1893,F1893))</f>
        <v/>
      </c>
      <c r="K1893" s="26" t="str">
        <f aca="false">IF(A1893="","",DATE(YEAR(A1893),MONTH(A1893),1))</f>
        <v/>
      </c>
      <c r="L1893" s="21" t="str">
        <f aca="false">IF(J1893="",IF(B1893="","",IF(N(C1893)&gt;=0,"Income","Expense")),IFERROR(INDEX(Lists!$B$2:$B$30,MATCH(J1893,Lists!$A$2:$A$30,0)),""))</f>
        <v/>
      </c>
      <c r="M1893" s="24"/>
      <c r="N1893" s="27" t="str">
        <f aca="false">IF(B1893="","",IFERROR(1000-SUMPRODUCT(MAX(ISNUMBER(SEARCH(Rules!$A$5:$A$204,B1893))*(Rules!$A$5:$A$204&lt;&gt;"")*(1000-ROW(Rules!$A$5:$A$204)))),""))</f>
        <v/>
      </c>
    </row>
    <row r="1894" customFormat="false" ht="15" hidden="false" customHeight="false" outlineLevel="0" collapsed="false">
      <c r="A1894" s="23"/>
      <c r="B1894" s="24"/>
      <c r="C1894" s="25"/>
      <c r="D1894" s="24"/>
      <c r="E1894" s="21" t="str">
        <f aca="false">IF(OR(B1894="",N(N1894)=0,N1894=1000),IF(B1894="","","Check"),INDEX(Rules!$B:$B,N1894))</f>
        <v/>
      </c>
      <c r="F1894" s="21" t="str">
        <f aca="false">IF(OR(B1894="",N(N1894)=0,N1894=1000),"",INDEX(Rules!$C:$C,N1894))</f>
        <v/>
      </c>
      <c r="G1894" s="24"/>
      <c r="H1894" s="24"/>
      <c r="I1894" s="20" t="str">
        <f aca="false">IF(B1894="","",IF(G1894&lt;&gt;"",G1894,E1894))</f>
        <v/>
      </c>
      <c r="J1894" s="21" t="str">
        <f aca="false">IF(B1894="","",IF(H1894&lt;&gt;"",H1894,F1894))</f>
        <v/>
      </c>
      <c r="K1894" s="26" t="str">
        <f aca="false">IF(A1894="","",DATE(YEAR(A1894),MONTH(A1894),1))</f>
        <v/>
      </c>
      <c r="L1894" s="21" t="str">
        <f aca="false">IF(J1894="",IF(B1894="","",IF(N(C1894)&gt;=0,"Income","Expense")),IFERROR(INDEX(Lists!$B$2:$B$30,MATCH(J1894,Lists!$A$2:$A$30,0)),""))</f>
        <v/>
      </c>
      <c r="M1894" s="24"/>
      <c r="N1894" s="27" t="str">
        <f aca="false">IF(B1894="","",IFERROR(1000-SUMPRODUCT(MAX(ISNUMBER(SEARCH(Rules!$A$5:$A$204,B1894))*(Rules!$A$5:$A$204&lt;&gt;"")*(1000-ROW(Rules!$A$5:$A$204)))),""))</f>
        <v/>
      </c>
    </row>
    <row r="1895" customFormat="false" ht="15" hidden="false" customHeight="false" outlineLevel="0" collapsed="false">
      <c r="A1895" s="23"/>
      <c r="B1895" s="24"/>
      <c r="C1895" s="25"/>
      <c r="D1895" s="24"/>
      <c r="E1895" s="21" t="str">
        <f aca="false">IF(OR(B1895="",N(N1895)=0,N1895=1000),IF(B1895="","","Check"),INDEX(Rules!$B:$B,N1895))</f>
        <v/>
      </c>
      <c r="F1895" s="21" t="str">
        <f aca="false">IF(OR(B1895="",N(N1895)=0,N1895=1000),"",INDEX(Rules!$C:$C,N1895))</f>
        <v/>
      </c>
      <c r="G1895" s="24"/>
      <c r="H1895" s="24"/>
      <c r="I1895" s="20" t="str">
        <f aca="false">IF(B1895="","",IF(G1895&lt;&gt;"",G1895,E1895))</f>
        <v/>
      </c>
      <c r="J1895" s="21" t="str">
        <f aca="false">IF(B1895="","",IF(H1895&lt;&gt;"",H1895,F1895))</f>
        <v/>
      </c>
      <c r="K1895" s="26" t="str">
        <f aca="false">IF(A1895="","",DATE(YEAR(A1895),MONTH(A1895),1))</f>
        <v/>
      </c>
      <c r="L1895" s="21" t="str">
        <f aca="false">IF(J1895="",IF(B1895="","",IF(N(C1895)&gt;=0,"Income","Expense")),IFERROR(INDEX(Lists!$B$2:$B$30,MATCH(J1895,Lists!$A$2:$A$30,0)),""))</f>
        <v/>
      </c>
      <c r="M1895" s="24"/>
      <c r="N1895" s="27" t="str">
        <f aca="false">IF(B1895="","",IFERROR(1000-SUMPRODUCT(MAX(ISNUMBER(SEARCH(Rules!$A$5:$A$204,B1895))*(Rules!$A$5:$A$204&lt;&gt;"")*(1000-ROW(Rules!$A$5:$A$204)))),""))</f>
        <v/>
      </c>
    </row>
    <row r="1896" customFormat="false" ht="15" hidden="false" customHeight="false" outlineLevel="0" collapsed="false">
      <c r="A1896" s="23"/>
      <c r="B1896" s="24"/>
      <c r="C1896" s="25"/>
      <c r="D1896" s="24"/>
      <c r="E1896" s="21" t="str">
        <f aca="false">IF(OR(B1896="",N(N1896)=0,N1896=1000),IF(B1896="","","Check"),INDEX(Rules!$B:$B,N1896))</f>
        <v/>
      </c>
      <c r="F1896" s="21" t="str">
        <f aca="false">IF(OR(B1896="",N(N1896)=0,N1896=1000),"",INDEX(Rules!$C:$C,N1896))</f>
        <v/>
      </c>
      <c r="G1896" s="24"/>
      <c r="H1896" s="24"/>
      <c r="I1896" s="20" t="str">
        <f aca="false">IF(B1896="","",IF(G1896&lt;&gt;"",G1896,E1896))</f>
        <v/>
      </c>
      <c r="J1896" s="21" t="str">
        <f aca="false">IF(B1896="","",IF(H1896&lt;&gt;"",H1896,F1896))</f>
        <v/>
      </c>
      <c r="K1896" s="26" t="str">
        <f aca="false">IF(A1896="","",DATE(YEAR(A1896),MONTH(A1896),1))</f>
        <v/>
      </c>
      <c r="L1896" s="21" t="str">
        <f aca="false">IF(J1896="",IF(B1896="","",IF(N(C1896)&gt;=0,"Income","Expense")),IFERROR(INDEX(Lists!$B$2:$B$30,MATCH(J1896,Lists!$A$2:$A$30,0)),""))</f>
        <v/>
      </c>
      <c r="M1896" s="24"/>
      <c r="N1896" s="27" t="str">
        <f aca="false">IF(B1896="","",IFERROR(1000-SUMPRODUCT(MAX(ISNUMBER(SEARCH(Rules!$A$5:$A$204,B1896))*(Rules!$A$5:$A$204&lt;&gt;"")*(1000-ROW(Rules!$A$5:$A$204)))),""))</f>
        <v/>
      </c>
    </row>
    <row r="1897" customFormat="false" ht="15" hidden="false" customHeight="false" outlineLevel="0" collapsed="false">
      <c r="A1897" s="23"/>
      <c r="B1897" s="24"/>
      <c r="C1897" s="25"/>
      <c r="D1897" s="24"/>
      <c r="E1897" s="21" t="str">
        <f aca="false">IF(OR(B1897="",N(N1897)=0,N1897=1000),IF(B1897="","","Check"),INDEX(Rules!$B:$B,N1897))</f>
        <v/>
      </c>
      <c r="F1897" s="21" t="str">
        <f aca="false">IF(OR(B1897="",N(N1897)=0,N1897=1000),"",INDEX(Rules!$C:$C,N1897))</f>
        <v/>
      </c>
      <c r="G1897" s="24"/>
      <c r="H1897" s="24"/>
      <c r="I1897" s="20" t="str">
        <f aca="false">IF(B1897="","",IF(G1897&lt;&gt;"",G1897,E1897))</f>
        <v/>
      </c>
      <c r="J1897" s="21" t="str">
        <f aca="false">IF(B1897="","",IF(H1897&lt;&gt;"",H1897,F1897))</f>
        <v/>
      </c>
      <c r="K1897" s="26" t="str">
        <f aca="false">IF(A1897="","",DATE(YEAR(A1897),MONTH(A1897),1))</f>
        <v/>
      </c>
      <c r="L1897" s="21" t="str">
        <f aca="false">IF(J1897="",IF(B1897="","",IF(N(C1897)&gt;=0,"Income","Expense")),IFERROR(INDEX(Lists!$B$2:$B$30,MATCH(J1897,Lists!$A$2:$A$30,0)),""))</f>
        <v/>
      </c>
      <c r="M1897" s="24"/>
      <c r="N1897" s="27" t="str">
        <f aca="false">IF(B1897="","",IFERROR(1000-SUMPRODUCT(MAX(ISNUMBER(SEARCH(Rules!$A$5:$A$204,B1897))*(Rules!$A$5:$A$204&lt;&gt;"")*(1000-ROW(Rules!$A$5:$A$204)))),""))</f>
        <v/>
      </c>
    </row>
    <row r="1898" customFormat="false" ht="15" hidden="false" customHeight="false" outlineLevel="0" collapsed="false">
      <c r="A1898" s="23"/>
      <c r="B1898" s="24"/>
      <c r="C1898" s="25"/>
      <c r="D1898" s="24"/>
      <c r="E1898" s="21" t="str">
        <f aca="false">IF(OR(B1898="",N(N1898)=0,N1898=1000),IF(B1898="","","Check"),INDEX(Rules!$B:$B,N1898))</f>
        <v/>
      </c>
      <c r="F1898" s="21" t="str">
        <f aca="false">IF(OR(B1898="",N(N1898)=0,N1898=1000),"",INDEX(Rules!$C:$C,N1898))</f>
        <v/>
      </c>
      <c r="G1898" s="24"/>
      <c r="H1898" s="24"/>
      <c r="I1898" s="20" t="str">
        <f aca="false">IF(B1898="","",IF(G1898&lt;&gt;"",G1898,E1898))</f>
        <v/>
      </c>
      <c r="J1898" s="21" t="str">
        <f aca="false">IF(B1898="","",IF(H1898&lt;&gt;"",H1898,F1898))</f>
        <v/>
      </c>
      <c r="K1898" s="26" t="str">
        <f aca="false">IF(A1898="","",DATE(YEAR(A1898),MONTH(A1898),1))</f>
        <v/>
      </c>
      <c r="L1898" s="21" t="str">
        <f aca="false">IF(J1898="",IF(B1898="","",IF(N(C1898)&gt;=0,"Income","Expense")),IFERROR(INDEX(Lists!$B$2:$B$30,MATCH(J1898,Lists!$A$2:$A$30,0)),""))</f>
        <v/>
      </c>
      <c r="M1898" s="24"/>
      <c r="N1898" s="27" t="str">
        <f aca="false">IF(B1898="","",IFERROR(1000-SUMPRODUCT(MAX(ISNUMBER(SEARCH(Rules!$A$5:$A$204,B1898))*(Rules!$A$5:$A$204&lt;&gt;"")*(1000-ROW(Rules!$A$5:$A$204)))),""))</f>
        <v/>
      </c>
    </row>
    <row r="1899" customFormat="false" ht="15" hidden="false" customHeight="false" outlineLevel="0" collapsed="false">
      <c r="A1899" s="23"/>
      <c r="B1899" s="24"/>
      <c r="C1899" s="25"/>
      <c r="D1899" s="24"/>
      <c r="E1899" s="21" t="str">
        <f aca="false">IF(OR(B1899="",N(N1899)=0,N1899=1000),IF(B1899="","","Check"),INDEX(Rules!$B:$B,N1899))</f>
        <v/>
      </c>
      <c r="F1899" s="21" t="str">
        <f aca="false">IF(OR(B1899="",N(N1899)=0,N1899=1000),"",INDEX(Rules!$C:$C,N1899))</f>
        <v/>
      </c>
      <c r="G1899" s="24"/>
      <c r="H1899" s="24"/>
      <c r="I1899" s="20" t="str">
        <f aca="false">IF(B1899="","",IF(G1899&lt;&gt;"",G1899,E1899))</f>
        <v/>
      </c>
      <c r="J1899" s="21" t="str">
        <f aca="false">IF(B1899="","",IF(H1899&lt;&gt;"",H1899,F1899))</f>
        <v/>
      </c>
      <c r="K1899" s="26" t="str">
        <f aca="false">IF(A1899="","",DATE(YEAR(A1899),MONTH(A1899),1))</f>
        <v/>
      </c>
      <c r="L1899" s="21" t="str">
        <f aca="false">IF(J1899="",IF(B1899="","",IF(N(C1899)&gt;=0,"Income","Expense")),IFERROR(INDEX(Lists!$B$2:$B$30,MATCH(J1899,Lists!$A$2:$A$30,0)),""))</f>
        <v/>
      </c>
      <c r="M1899" s="24"/>
      <c r="N1899" s="27" t="str">
        <f aca="false">IF(B1899="","",IFERROR(1000-SUMPRODUCT(MAX(ISNUMBER(SEARCH(Rules!$A$5:$A$204,B1899))*(Rules!$A$5:$A$204&lt;&gt;"")*(1000-ROW(Rules!$A$5:$A$204)))),""))</f>
        <v/>
      </c>
    </row>
    <row r="1900" customFormat="false" ht="15" hidden="false" customHeight="false" outlineLevel="0" collapsed="false">
      <c r="A1900" s="23"/>
      <c r="B1900" s="24"/>
      <c r="C1900" s="25"/>
      <c r="D1900" s="24"/>
      <c r="E1900" s="21" t="str">
        <f aca="false">IF(OR(B1900="",N(N1900)=0,N1900=1000),IF(B1900="","","Check"),INDEX(Rules!$B:$B,N1900))</f>
        <v/>
      </c>
      <c r="F1900" s="21" t="str">
        <f aca="false">IF(OR(B1900="",N(N1900)=0,N1900=1000),"",INDEX(Rules!$C:$C,N1900))</f>
        <v/>
      </c>
      <c r="G1900" s="24"/>
      <c r="H1900" s="24"/>
      <c r="I1900" s="20" t="str">
        <f aca="false">IF(B1900="","",IF(G1900&lt;&gt;"",G1900,E1900))</f>
        <v/>
      </c>
      <c r="J1900" s="21" t="str">
        <f aca="false">IF(B1900="","",IF(H1900&lt;&gt;"",H1900,F1900))</f>
        <v/>
      </c>
      <c r="K1900" s="26" t="str">
        <f aca="false">IF(A1900="","",DATE(YEAR(A1900),MONTH(A1900),1))</f>
        <v/>
      </c>
      <c r="L1900" s="21" t="str">
        <f aca="false">IF(J1900="",IF(B1900="","",IF(N(C1900)&gt;=0,"Income","Expense")),IFERROR(INDEX(Lists!$B$2:$B$30,MATCH(J1900,Lists!$A$2:$A$30,0)),""))</f>
        <v/>
      </c>
      <c r="M1900" s="24"/>
      <c r="N1900" s="27" t="str">
        <f aca="false">IF(B1900="","",IFERROR(1000-SUMPRODUCT(MAX(ISNUMBER(SEARCH(Rules!$A$5:$A$204,B1900))*(Rules!$A$5:$A$204&lt;&gt;"")*(1000-ROW(Rules!$A$5:$A$204)))),""))</f>
        <v/>
      </c>
    </row>
    <row r="1901" customFormat="false" ht="15" hidden="false" customHeight="false" outlineLevel="0" collapsed="false">
      <c r="A1901" s="23"/>
      <c r="B1901" s="24"/>
      <c r="C1901" s="25"/>
      <c r="D1901" s="24"/>
      <c r="E1901" s="21" t="str">
        <f aca="false">IF(OR(B1901="",N(N1901)=0,N1901=1000),IF(B1901="","","Check"),INDEX(Rules!$B:$B,N1901))</f>
        <v/>
      </c>
      <c r="F1901" s="21" t="str">
        <f aca="false">IF(OR(B1901="",N(N1901)=0,N1901=1000),"",INDEX(Rules!$C:$C,N1901))</f>
        <v/>
      </c>
      <c r="G1901" s="24"/>
      <c r="H1901" s="24"/>
      <c r="I1901" s="20" t="str">
        <f aca="false">IF(B1901="","",IF(G1901&lt;&gt;"",G1901,E1901))</f>
        <v/>
      </c>
      <c r="J1901" s="21" t="str">
        <f aca="false">IF(B1901="","",IF(H1901&lt;&gt;"",H1901,F1901))</f>
        <v/>
      </c>
      <c r="K1901" s="26" t="str">
        <f aca="false">IF(A1901="","",DATE(YEAR(A1901),MONTH(A1901),1))</f>
        <v/>
      </c>
      <c r="L1901" s="21" t="str">
        <f aca="false">IF(J1901="",IF(B1901="","",IF(N(C1901)&gt;=0,"Income","Expense")),IFERROR(INDEX(Lists!$B$2:$B$30,MATCH(J1901,Lists!$A$2:$A$30,0)),""))</f>
        <v/>
      </c>
      <c r="M1901" s="24"/>
      <c r="N1901" s="27" t="str">
        <f aca="false">IF(B1901="","",IFERROR(1000-SUMPRODUCT(MAX(ISNUMBER(SEARCH(Rules!$A$5:$A$204,B1901))*(Rules!$A$5:$A$204&lt;&gt;"")*(1000-ROW(Rules!$A$5:$A$204)))),""))</f>
        <v/>
      </c>
    </row>
    <row r="1902" customFormat="false" ht="15" hidden="false" customHeight="false" outlineLevel="0" collapsed="false">
      <c r="A1902" s="23"/>
      <c r="B1902" s="24"/>
      <c r="C1902" s="25"/>
      <c r="D1902" s="24"/>
      <c r="E1902" s="21" t="str">
        <f aca="false">IF(OR(B1902="",N(N1902)=0,N1902=1000),IF(B1902="","","Check"),INDEX(Rules!$B:$B,N1902))</f>
        <v/>
      </c>
      <c r="F1902" s="21" t="str">
        <f aca="false">IF(OR(B1902="",N(N1902)=0,N1902=1000),"",INDEX(Rules!$C:$C,N1902))</f>
        <v/>
      </c>
      <c r="G1902" s="24"/>
      <c r="H1902" s="24"/>
      <c r="I1902" s="20" t="str">
        <f aca="false">IF(B1902="","",IF(G1902&lt;&gt;"",G1902,E1902))</f>
        <v/>
      </c>
      <c r="J1902" s="21" t="str">
        <f aca="false">IF(B1902="","",IF(H1902&lt;&gt;"",H1902,F1902))</f>
        <v/>
      </c>
      <c r="K1902" s="26" t="str">
        <f aca="false">IF(A1902="","",DATE(YEAR(A1902),MONTH(A1902),1))</f>
        <v/>
      </c>
      <c r="L1902" s="21" t="str">
        <f aca="false">IF(J1902="",IF(B1902="","",IF(N(C1902)&gt;=0,"Income","Expense")),IFERROR(INDEX(Lists!$B$2:$B$30,MATCH(J1902,Lists!$A$2:$A$30,0)),""))</f>
        <v/>
      </c>
      <c r="M1902" s="24"/>
      <c r="N1902" s="27" t="str">
        <f aca="false">IF(B1902="","",IFERROR(1000-SUMPRODUCT(MAX(ISNUMBER(SEARCH(Rules!$A$5:$A$204,B1902))*(Rules!$A$5:$A$204&lt;&gt;"")*(1000-ROW(Rules!$A$5:$A$204)))),""))</f>
        <v/>
      </c>
    </row>
    <row r="1903" customFormat="false" ht="15" hidden="false" customHeight="false" outlineLevel="0" collapsed="false">
      <c r="A1903" s="23"/>
      <c r="B1903" s="24"/>
      <c r="C1903" s="25"/>
      <c r="D1903" s="24"/>
      <c r="E1903" s="21" t="str">
        <f aca="false">IF(OR(B1903="",N(N1903)=0,N1903=1000),IF(B1903="","","Check"),INDEX(Rules!$B:$B,N1903))</f>
        <v/>
      </c>
      <c r="F1903" s="21" t="str">
        <f aca="false">IF(OR(B1903="",N(N1903)=0,N1903=1000),"",INDEX(Rules!$C:$C,N1903))</f>
        <v/>
      </c>
      <c r="G1903" s="24"/>
      <c r="H1903" s="24"/>
      <c r="I1903" s="20" t="str">
        <f aca="false">IF(B1903="","",IF(G1903&lt;&gt;"",G1903,E1903))</f>
        <v/>
      </c>
      <c r="J1903" s="21" t="str">
        <f aca="false">IF(B1903="","",IF(H1903&lt;&gt;"",H1903,F1903))</f>
        <v/>
      </c>
      <c r="K1903" s="26" t="str">
        <f aca="false">IF(A1903="","",DATE(YEAR(A1903),MONTH(A1903),1))</f>
        <v/>
      </c>
      <c r="L1903" s="21" t="str">
        <f aca="false">IF(J1903="",IF(B1903="","",IF(N(C1903)&gt;=0,"Income","Expense")),IFERROR(INDEX(Lists!$B$2:$B$30,MATCH(J1903,Lists!$A$2:$A$30,0)),""))</f>
        <v/>
      </c>
      <c r="M1903" s="24"/>
      <c r="N1903" s="27" t="str">
        <f aca="false">IF(B1903="","",IFERROR(1000-SUMPRODUCT(MAX(ISNUMBER(SEARCH(Rules!$A$5:$A$204,B1903))*(Rules!$A$5:$A$204&lt;&gt;"")*(1000-ROW(Rules!$A$5:$A$204)))),""))</f>
        <v/>
      </c>
    </row>
    <row r="1904" customFormat="false" ht="15" hidden="false" customHeight="false" outlineLevel="0" collapsed="false">
      <c r="A1904" s="23"/>
      <c r="B1904" s="24"/>
      <c r="C1904" s="25"/>
      <c r="D1904" s="24"/>
      <c r="E1904" s="21" t="str">
        <f aca="false">IF(OR(B1904="",N(N1904)=0,N1904=1000),IF(B1904="","","Check"),INDEX(Rules!$B:$B,N1904))</f>
        <v/>
      </c>
      <c r="F1904" s="21" t="str">
        <f aca="false">IF(OR(B1904="",N(N1904)=0,N1904=1000),"",INDEX(Rules!$C:$C,N1904))</f>
        <v/>
      </c>
      <c r="G1904" s="24"/>
      <c r="H1904" s="24"/>
      <c r="I1904" s="20" t="str">
        <f aca="false">IF(B1904="","",IF(G1904&lt;&gt;"",G1904,E1904))</f>
        <v/>
      </c>
      <c r="J1904" s="21" t="str">
        <f aca="false">IF(B1904="","",IF(H1904&lt;&gt;"",H1904,F1904))</f>
        <v/>
      </c>
      <c r="K1904" s="26" t="str">
        <f aca="false">IF(A1904="","",DATE(YEAR(A1904),MONTH(A1904),1))</f>
        <v/>
      </c>
      <c r="L1904" s="21" t="str">
        <f aca="false">IF(J1904="",IF(B1904="","",IF(N(C1904)&gt;=0,"Income","Expense")),IFERROR(INDEX(Lists!$B$2:$B$30,MATCH(J1904,Lists!$A$2:$A$30,0)),""))</f>
        <v/>
      </c>
      <c r="M1904" s="24"/>
      <c r="N1904" s="27" t="str">
        <f aca="false">IF(B1904="","",IFERROR(1000-SUMPRODUCT(MAX(ISNUMBER(SEARCH(Rules!$A$5:$A$204,B1904))*(Rules!$A$5:$A$204&lt;&gt;"")*(1000-ROW(Rules!$A$5:$A$204)))),""))</f>
        <v/>
      </c>
    </row>
    <row r="1905" customFormat="false" ht="15" hidden="false" customHeight="false" outlineLevel="0" collapsed="false">
      <c r="A1905" s="23"/>
      <c r="B1905" s="24"/>
      <c r="C1905" s="25"/>
      <c r="D1905" s="24"/>
      <c r="E1905" s="21" t="str">
        <f aca="false">IF(OR(B1905="",N(N1905)=0,N1905=1000),IF(B1905="","","Check"),INDEX(Rules!$B:$B,N1905))</f>
        <v/>
      </c>
      <c r="F1905" s="21" t="str">
        <f aca="false">IF(OR(B1905="",N(N1905)=0,N1905=1000),"",INDEX(Rules!$C:$C,N1905))</f>
        <v/>
      </c>
      <c r="G1905" s="24"/>
      <c r="H1905" s="24"/>
      <c r="I1905" s="20" t="str">
        <f aca="false">IF(B1905="","",IF(G1905&lt;&gt;"",G1905,E1905))</f>
        <v/>
      </c>
      <c r="J1905" s="21" t="str">
        <f aca="false">IF(B1905="","",IF(H1905&lt;&gt;"",H1905,F1905))</f>
        <v/>
      </c>
      <c r="K1905" s="26" t="str">
        <f aca="false">IF(A1905="","",DATE(YEAR(A1905),MONTH(A1905),1))</f>
        <v/>
      </c>
      <c r="L1905" s="21" t="str">
        <f aca="false">IF(J1905="",IF(B1905="","",IF(N(C1905)&gt;=0,"Income","Expense")),IFERROR(INDEX(Lists!$B$2:$B$30,MATCH(J1905,Lists!$A$2:$A$30,0)),""))</f>
        <v/>
      </c>
      <c r="M1905" s="24"/>
      <c r="N1905" s="27" t="str">
        <f aca="false">IF(B1905="","",IFERROR(1000-SUMPRODUCT(MAX(ISNUMBER(SEARCH(Rules!$A$5:$A$204,B1905))*(Rules!$A$5:$A$204&lt;&gt;"")*(1000-ROW(Rules!$A$5:$A$204)))),""))</f>
        <v/>
      </c>
    </row>
    <row r="1906" customFormat="false" ht="15" hidden="false" customHeight="false" outlineLevel="0" collapsed="false">
      <c r="A1906" s="23"/>
      <c r="B1906" s="24"/>
      <c r="C1906" s="25"/>
      <c r="D1906" s="24"/>
      <c r="E1906" s="21" t="str">
        <f aca="false">IF(OR(B1906="",N(N1906)=0,N1906=1000),IF(B1906="","","Check"),INDEX(Rules!$B:$B,N1906))</f>
        <v/>
      </c>
      <c r="F1906" s="21" t="str">
        <f aca="false">IF(OR(B1906="",N(N1906)=0,N1906=1000),"",INDEX(Rules!$C:$C,N1906))</f>
        <v/>
      </c>
      <c r="G1906" s="24"/>
      <c r="H1906" s="24"/>
      <c r="I1906" s="20" t="str">
        <f aca="false">IF(B1906="","",IF(G1906&lt;&gt;"",G1906,E1906))</f>
        <v/>
      </c>
      <c r="J1906" s="21" t="str">
        <f aca="false">IF(B1906="","",IF(H1906&lt;&gt;"",H1906,F1906))</f>
        <v/>
      </c>
      <c r="K1906" s="26" t="str">
        <f aca="false">IF(A1906="","",DATE(YEAR(A1906),MONTH(A1906),1))</f>
        <v/>
      </c>
      <c r="L1906" s="21" t="str">
        <f aca="false">IF(J1906="",IF(B1906="","",IF(N(C1906)&gt;=0,"Income","Expense")),IFERROR(INDEX(Lists!$B$2:$B$30,MATCH(J1906,Lists!$A$2:$A$30,0)),""))</f>
        <v/>
      </c>
      <c r="M1906" s="24"/>
      <c r="N1906" s="27" t="str">
        <f aca="false">IF(B1906="","",IFERROR(1000-SUMPRODUCT(MAX(ISNUMBER(SEARCH(Rules!$A$5:$A$204,B1906))*(Rules!$A$5:$A$204&lt;&gt;"")*(1000-ROW(Rules!$A$5:$A$204)))),""))</f>
        <v/>
      </c>
    </row>
    <row r="1907" customFormat="false" ht="15" hidden="false" customHeight="false" outlineLevel="0" collapsed="false">
      <c r="A1907" s="23"/>
      <c r="B1907" s="24"/>
      <c r="C1907" s="25"/>
      <c r="D1907" s="24"/>
      <c r="E1907" s="21" t="str">
        <f aca="false">IF(OR(B1907="",N(N1907)=0,N1907=1000),IF(B1907="","","Check"),INDEX(Rules!$B:$B,N1907))</f>
        <v/>
      </c>
      <c r="F1907" s="21" t="str">
        <f aca="false">IF(OR(B1907="",N(N1907)=0,N1907=1000),"",INDEX(Rules!$C:$C,N1907))</f>
        <v/>
      </c>
      <c r="G1907" s="24"/>
      <c r="H1907" s="24"/>
      <c r="I1907" s="20" t="str">
        <f aca="false">IF(B1907="","",IF(G1907&lt;&gt;"",G1907,E1907))</f>
        <v/>
      </c>
      <c r="J1907" s="21" t="str">
        <f aca="false">IF(B1907="","",IF(H1907&lt;&gt;"",H1907,F1907))</f>
        <v/>
      </c>
      <c r="K1907" s="26" t="str">
        <f aca="false">IF(A1907="","",DATE(YEAR(A1907),MONTH(A1907),1))</f>
        <v/>
      </c>
      <c r="L1907" s="21" t="str">
        <f aca="false">IF(J1907="",IF(B1907="","",IF(N(C1907)&gt;=0,"Income","Expense")),IFERROR(INDEX(Lists!$B$2:$B$30,MATCH(J1907,Lists!$A$2:$A$30,0)),""))</f>
        <v/>
      </c>
      <c r="M1907" s="24"/>
      <c r="N1907" s="27" t="str">
        <f aca="false">IF(B1907="","",IFERROR(1000-SUMPRODUCT(MAX(ISNUMBER(SEARCH(Rules!$A$5:$A$204,B1907))*(Rules!$A$5:$A$204&lt;&gt;"")*(1000-ROW(Rules!$A$5:$A$204)))),""))</f>
        <v/>
      </c>
    </row>
    <row r="1908" customFormat="false" ht="15" hidden="false" customHeight="false" outlineLevel="0" collapsed="false">
      <c r="A1908" s="23"/>
      <c r="B1908" s="24"/>
      <c r="C1908" s="25"/>
      <c r="D1908" s="24"/>
      <c r="E1908" s="21" t="str">
        <f aca="false">IF(OR(B1908="",N(N1908)=0,N1908=1000),IF(B1908="","","Check"),INDEX(Rules!$B:$B,N1908))</f>
        <v/>
      </c>
      <c r="F1908" s="21" t="str">
        <f aca="false">IF(OR(B1908="",N(N1908)=0,N1908=1000),"",INDEX(Rules!$C:$C,N1908))</f>
        <v/>
      </c>
      <c r="G1908" s="24"/>
      <c r="H1908" s="24"/>
      <c r="I1908" s="20" t="str">
        <f aca="false">IF(B1908="","",IF(G1908&lt;&gt;"",G1908,E1908))</f>
        <v/>
      </c>
      <c r="J1908" s="21" t="str">
        <f aca="false">IF(B1908="","",IF(H1908&lt;&gt;"",H1908,F1908))</f>
        <v/>
      </c>
      <c r="K1908" s="26" t="str">
        <f aca="false">IF(A1908="","",DATE(YEAR(A1908),MONTH(A1908),1))</f>
        <v/>
      </c>
      <c r="L1908" s="21" t="str">
        <f aca="false">IF(J1908="",IF(B1908="","",IF(N(C1908)&gt;=0,"Income","Expense")),IFERROR(INDEX(Lists!$B$2:$B$30,MATCH(J1908,Lists!$A$2:$A$30,0)),""))</f>
        <v/>
      </c>
      <c r="M1908" s="24"/>
      <c r="N1908" s="27" t="str">
        <f aca="false">IF(B1908="","",IFERROR(1000-SUMPRODUCT(MAX(ISNUMBER(SEARCH(Rules!$A$5:$A$204,B1908))*(Rules!$A$5:$A$204&lt;&gt;"")*(1000-ROW(Rules!$A$5:$A$204)))),""))</f>
        <v/>
      </c>
    </row>
    <row r="1909" customFormat="false" ht="15" hidden="false" customHeight="false" outlineLevel="0" collapsed="false">
      <c r="A1909" s="23"/>
      <c r="B1909" s="24"/>
      <c r="C1909" s="25"/>
      <c r="D1909" s="24"/>
      <c r="E1909" s="21" t="str">
        <f aca="false">IF(OR(B1909="",N(N1909)=0,N1909=1000),IF(B1909="","","Check"),INDEX(Rules!$B:$B,N1909))</f>
        <v/>
      </c>
      <c r="F1909" s="21" t="str">
        <f aca="false">IF(OR(B1909="",N(N1909)=0,N1909=1000),"",INDEX(Rules!$C:$C,N1909))</f>
        <v/>
      </c>
      <c r="G1909" s="24"/>
      <c r="H1909" s="24"/>
      <c r="I1909" s="20" t="str">
        <f aca="false">IF(B1909="","",IF(G1909&lt;&gt;"",G1909,E1909))</f>
        <v/>
      </c>
      <c r="J1909" s="21" t="str">
        <f aca="false">IF(B1909="","",IF(H1909&lt;&gt;"",H1909,F1909))</f>
        <v/>
      </c>
      <c r="K1909" s="26" t="str">
        <f aca="false">IF(A1909="","",DATE(YEAR(A1909),MONTH(A1909),1))</f>
        <v/>
      </c>
      <c r="L1909" s="21" t="str">
        <f aca="false">IF(J1909="",IF(B1909="","",IF(N(C1909)&gt;=0,"Income","Expense")),IFERROR(INDEX(Lists!$B$2:$B$30,MATCH(J1909,Lists!$A$2:$A$30,0)),""))</f>
        <v/>
      </c>
      <c r="M1909" s="24"/>
      <c r="N1909" s="27" t="str">
        <f aca="false">IF(B1909="","",IFERROR(1000-SUMPRODUCT(MAX(ISNUMBER(SEARCH(Rules!$A$5:$A$204,B1909))*(Rules!$A$5:$A$204&lt;&gt;"")*(1000-ROW(Rules!$A$5:$A$204)))),""))</f>
        <v/>
      </c>
    </row>
    <row r="1910" customFormat="false" ht="15" hidden="false" customHeight="false" outlineLevel="0" collapsed="false">
      <c r="A1910" s="23"/>
      <c r="B1910" s="24"/>
      <c r="C1910" s="25"/>
      <c r="D1910" s="24"/>
      <c r="E1910" s="21" t="str">
        <f aca="false">IF(OR(B1910="",N(N1910)=0,N1910=1000),IF(B1910="","","Check"),INDEX(Rules!$B:$B,N1910))</f>
        <v/>
      </c>
      <c r="F1910" s="21" t="str">
        <f aca="false">IF(OR(B1910="",N(N1910)=0,N1910=1000),"",INDEX(Rules!$C:$C,N1910))</f>
        <v/>
      </c>
      <c r="G1910" s="24"/>
      <c r="H1910" s="24"/>
      <c r="I1910" s="20" t="str">
        <f aca="false">IF(B1910="","",IF(G1910&lt;&gt;"",G1910,E1910))</f>
        <v/>
      </c>
      <c r="J1910" s="21" t="str">
        <f aca="false">IF(B1910="","",IF(H1910&lt;&gt;"",H1910,F1910))</f>
        <v/>
      </c>
      <c r="K1910" s="26" t="str">
        <f aca="false">IF(A1910="","",DATE(YEAR(A1910),MONTH(A1910),1))</f>
        <v/>
      </c>
      <c r="L1910" s="21" t="str">
        <f aca="false">IF(J1910="",IF(B1910="","",IF(N(C1910)&gt;=0,"Income","Expense")),IFERROR(INDEX(Lists!$B$2:$B$30,MATCH(J1910,Lists!$A$2:$A$30,0)),""))</f>
        <v/>
      </c>
      <c r="M1910" s="24"/>
      <c r="N1910" s="27" t="str">
        <f aca="false">IF(B1910="","",IFERROR(1000-SUMPRODUCT(MAX(ISNUMBER(SEARCH(Rules!$A$5:$A$204,B1910))*(Rules!$A$5:$A$204&lt;&gt;"")*(1000-ROW(Rules!$A$5:$A$204)))),""))</f>
        <v/>
      </c>
    </row>
    <row r="1911" customFormat="false" ht="15" hidden="false" customHeight="false" outlineLevel="0" collapsed="false">
      <c r="A1911" s="23"/>
      <c r="B1911" s="24"/>
      <c r="C1911" s="25"/>
      <c r="D1911" s="24"/>
      <c r="E1911" s="21" t="str">
        <f aca="false">IF(OR(B1911="",N(N1911)=0,N1911=1000),IF(B1911="","","Check"),INDEX(Rules!$B:$B,N1911))</f>
        <v/>
      </c>
      <c r="F1911" s="21" t="str">
        <f aca="false">IF(OR(B1911="",N(N1911)=0,N1911=1000),"",INDEX(Rules!$C:$C,N1911))</f>
        <v/>
      </c>
      <c r="G1911" s="24"/>
      <c r="H1911" s="24"/>
      <c r="I1911" s="20" t="str">
        <f aca="false">IF(B1911="","",IF(G1911&lt;&gt;"",G1911,E1911))</f>
        <v/>
      </c>
      <c r="J1911" s="21" t="str">
        <f aca="false">IF(B1911="","",IF(H1911&lt;&gt;"",H1911,F1911))</f>
        <v/>
      </c>
      <c r="K1911" s="26" t="str">
        <f aca="false">IF(A1911="","",DATE(YEAR(A1911),MONTH(A1911),1))</f>
        <v/>
      </c>
      <c r="L1911" s="21" t="str">
        <f aca="false">IF(J1911="",IF(B1911="","",IF(N(C1911)&gt;=0,"Income","Expense")),IFERROR(INDEX(Lists!$B$2:$B$30,MATCH(J1911,Lists!$A$2:$A$30,0)),""))</f>
        <v/>
      </c>
      <c r="M1911" s="24"/>
      <c r="N1911" s="27" t="str">
        <f aca="false">IF(B1911="","",IFERROR(1000-SUMPRODUCT(MAX(ISNUMBER(SEARCH(Rules!$A$5:$A$204,B1911))*(Rules!$A$5:$A$204&lt;&gt;"")*(1000-ROW(Rules!$A$5:$A$204)))),""))</f>
        <v/>
      </c>
    </row>
    <row r="1912" customFormat="false" ht="15" hidden="false" customHeight="false" outlineLevel="0" collapsed="false">
      <c r="A1912" s="23"/>
      <c r="B1912" s="24"/>
      <c r="C1912" s="25"/>
      <c r="D1912" s="24"/>
      <c r="E1912" s="21" t="str">
        <f aca="false">IF(OR(B1912="",N(N1912)=0,N1912=1000),IF(B1912="","","Check"),INDEX(Rules!$B:$B,N1912))</f>
        <v/>
      </c>
      <c r="F1912" s="21" t="str">
        <f aca="false">IF(OR(B1912="",N(N1912)=0,N1912=1000),"",INDEX(Rules!$C:$C,N1912))</f>
        <v/>
      </c>
      <c r="G1912" s="24"/>
      <c r="H1912" s="24"/>
      <c r="I1912" s="20" t="str">
        <f aca="false">IF(B1912="","",IF(G1912&lt;&gt;"",G1912,E1912))</f>
        <v/>
      </c>
      <c r="J1912" s="21" t="str">
        <f aca="false">IF(B1912="","",IF(H1912&lt;&gt;"",H1912,F1912))</f>
        <v/>
      </c>
      <c r="K1912" s="26" t="str">
        <f aca="false">IF(A1912="","",DATE(YEAR(A1912),MONTH(A1912),1))</f>
        <v/>
      </c>
      <c r="L1912" s="21" t="str">
        <f aca="false">IF(J1912="",IF(B1912="","",IF(N(C1912)&gt;=0,"Income","Expense")),IFERROR(INDEX(Lists!$B$2:$B$30,MATCH(J1912,Lists!$A$2:$A$30,0)),""))</f>
        <v/>
      </c>
      <c r="M1912" s="24"/>
      <c r="N1912" s="27" t="str">
        <f aca="false">IF(B1912="","",IFERROR(1000-SUMPRODUCT(MAX(ISNUMBER(SEARCH(Rules!$A$5:$A$204,B1912))*(Rules!$A$5:$A$204&lt;&gt;"")*(1000-ROW(Rules!$A$5:$A$204)))),""))</f>
        <v/>
      </c>
    </row>
    <row r="1913" customFormat="false" ht="15" hidden="false" customHeight="false" outlineLevel="0" collapsed="false">
      <c r="A1913" s="23"/>
      <c r="B1913" s="24"/>
      <c r="C1913" s="25"/>
      <c r="D1913" s="24"/>
      <c r="E1913" s="21" t="str">
        <f aca="false">IF(OR(B1913="",N(N1913)=0,N1913=1000),IF(B1913="","","Check"),INDEX(Rules!$B:$B,N1913))</f>
        <v/>
      </c>
      <c r="F1913" s="21" t="str">
        <f aca="false">IF(OR(B1913="",N(N1913)=0,N1913=1000),"",INDEX(Rules!$C:$C,N1913))</f>
        <v/>
      </c>
      <c r="G1913" s="24"/>
      <c r="H1913" s="24"/>
      <c r="I1913" s="20" t="str">
        <f aca="false">IF(B1913="","",IF(G1913&lt;&gt;"",G1913,E1913))</f>
        <v/>
      </c>
      <c r="J1913" s="21" t="str">
        <f aca="false">IF(B1913="","",IF(H1913&lt;&gt;"",H1913,F1913))</f>
        <v/>
      </c>
      <c r="K1913" s="26" t="str">
        <f aca="false">IF(A1913="","",DATE(YEAR(A1913),MONTH(A1913),1))</f>
        <v/>
      </c>
      <c r="L1913" s="21" t="str">
        <f aca="false">IF(J1913="",IF(B1913="","",IF(N(C1913)&gt;=0,"Income","Expense")),IFERROR(INDEX(Lists!$B$2:$B$30,MATCH(J1913,Lists!$A$2:$A$30,0)),""))</f>
        <v/>
      </c>
      <c r="M1913" s="24"/>
      <c r="N1913" s="27" t="str">
        <f aca="false">IF(B1913="","",IFERROR(1000-SUMPRODUCT(MAX(ISNUMBER(SEARCH(Rules!$A$5:$A$204,B1913))*(Rules!$A$5:$A$204&lt;&gt;"")*(1000-ROW(Rules!$A$5:$A$204)))),""))</f>
        <v/>
      </c>
    </row>
    <row r="1914" customFormat="false" ht="15" hidden="false" customHeight="false" outlineLevel="0" collapsed="false">
      <c r="A1914" s="23"/>
      <c r="B1914" s="24"/>
      <c r="C1914" s="25"/>
      <c r="D1914" s="24"/>
      <c r="E1914" s="21" t="str">
        <f aca="false">IF(OR(B1914="",N(N1914)=0,N1914=1000),IF(B1914="","","Check"),INDEX(Rules!$B:$B,N1914))</f>
        <v/>
      </c>
      <c r="F1914" s="21" t="str">
        <f aca="false">IF(OR(B1914="",N(N1914)=0,N1914=1000),"",INDEX(Rules!$C:$C,N1914))</f>
        <v/>
      </c>
      <c r="G1914" s="24"/>
      <c r="H1914" s="24"/>
      <c r="I1914" s="20" t="str">
        <f aca="false">IF(B1914="","",IF(G1914&lt;&gt;"",G1914,E1914))</f>
        <v/>
      </c>
      <c r="J1914" s="21" t="str">
        <f aca="false">IF(B1914="","",IF(H1914&lt;&gt;"",H1914,F1914))</f>
        <v/>
      </c>
      <c r="K1914" s="26" t="str">
        <f aca="false">IF(A1914="","",DATE(YEAR(A1914),MONTH(A1914),1))</f>
        <v/>
      </c>
      <c r="L1914" s="21" t="str">
        <f aca="false">IF(J1914="",IF(B1914="","",IF(N(C1914)&gt;=0,"Income","Expense")),IFERROR(INDEX(Lists!$B$2:$B$30,MATCH(J1914,Lists!$A$2:$A$30,0)),""))</f>
        <v/>
      </c>
      <c r="M1914" s="24"/>
      <c r="N1914" s="27" t="str">
        <f aca="false">IF(B1914="","",IFERROR(1000-SUMPRODUCT(MAX(ISNUMBER(SEARCH(Rules!$A$5:$A$204,B1914))*(Rules!$A$5:$A$204&lt;&gt;"")*(1000-ROW(Rules!$A$5:$A$204)))),""))</f>
        <v/>
      </c>
    </row>
    <row r="1915" customFormat="false" ht="15" hidden="false" customHeight="false" outlineLevel="0" collapsed="false">
      <c r="A1915" s="23"/>
      <c r="B1915" s="24"/>
      <c r="C1915" s="25"/>
      <c r="D1915" s="24"/>
      <c r="E1915" s="21" t="str">
        <f aca="false">IF(OR(B1915="",N(N1915)=0,N1915=1000),IF(B1915="","","Check"),INDEX(Rules!$B:$B,N1915))</f>
        <v/>
      </c>
      <c r="F1915" s="21" t="str">
        <f aca="false">IF(OR(B1915="",N(N1915)=0,N1915=1000),"",INDEX(Rules!$C:$C,N1915))</f>
        <v/>
      </c>
      <c r="G1915" s="24"/>
      <c r="H1915" s="24"/>
      <c r="I1915" s="20" t="str">
        <f aca="false">IF(B1915="","",IF(G1915&lt;&gt;"",G1915,E1915))</f>
        <v/>
      </c>
      <c r="J1915" s="21" t="str">
        <f aca="false">IF(B1915="","",IF(H1915&lt;&gt;"",H1915,F1915))</f>
        <v/>
      </c>
      <c r="K1915" s="26" t="str">
        <f aca="false">IF(A1915="","",DATE(YEAR(A1915),MONTH(A1915),1))</f>
        <v/>
      </c>
      <c r="L1915" s="21" t="str">
        <f aca="false">IF(J1915="",IF(B1915="","",IF(N(C1915)&gt;=0,"Income","Expense")),IFERROR(INDEX(Lists!$B$2:$B$30,MATCH(J1915,Lists!$A$2:$A$30,0)),""))</f>
        <v/>
      </c>
      <c r="M1915" s="24"/>
      <c r="N1915" s="27" t="str">
        <f aca="false">IF(B1915="","",IFERROR(1000-SUMPRODUCT(MAX(ISNUMBER(SEARCH(Rules!$A$5:$A$204,B1915))*(Rules!$A$5:$A$204&lt;&gt;"")*(1000-ROW(Rules!$A$5:$A$204)))),""))</f>
        <v/>
      </c>
    </row>
    <row r="1916" customFormat="false" ht="15" hidden="false" customHeight="false" outlineLevel="0" collapsed="false">
      <c r="A1916" s="23"/>
      <c r="B1916" s="24"/>
      <c r="C1916" s="25"/>
      <c r="D1916" s="24"/>
      <c r="E1916" s="21" t="str">
        <f aca="false">IF(OR(B1916="",N(N1916)=0,N1916=1000),IF(B1916="","","Check"),INDEX(Rules!$B:$B,N1916))</f>
        <v/>
      </c>
      <c r="F1916" s="21" t="str">
        <f aca="false">IF(OR(B1916="",N(N1916)=0,N1916=1000),"",INDEX(Rules!$C:$C,N1916))</f>
        <v/>
      </c>
      <c r="G1916" s="24"/>
      <c r="H1916" s="24"/>
      <c r="I1916" s="20" t="str">
        <f aca="false">IF(B1916="","",IF(G1916&lt;&gt;"",G1916,E1916))</f>
        <v/>
      </c>
      <c r="J1916" s="21" t="str">
        <f aca="false">IF(B1916="","",IF(H1916&lt;&gt;"",H1916,F1916))</f>
        <v/>
      </c>
      <c r="K1916" s="26" t="str">
        <f aca="false">IF(A1916="","",DATE(YEAR(A1916),MONTH(A1916),1))</f>
        <v/>
      </c>
      <c r="L1916" s="21" t="str">
        <f aca="false">IF(J1916="",IF(B1916="","",IF(N(C1916)&gt;=0,"Income","Expense")),IFERROR(INDEX(Lists!$B$2:$B$30,MATCH(J1916,Lists!$A$2:$A$30,0)),""))</f>
        <v/>
      </c>
      <c r="M1916" s="24"/>
      <c r="N1916" s="27" t="str">
        <f aca="false">IF(B1916="","",IFERROR(1000-SUMPRODUCT(MAX(ISNUMBER(SEARCH(Rules!$A$5:$A$204,B1916))*(Rules!$A$5:$A$204&lt;&gt;"")*(1000-ROW(Rules!$A$5:$A$204)))),""))</f>
        <v/>
      </c>
    </row>
    <row r="1917" customFormat="false" ht="15" hidden="false" customHeight="false" outlineLevel="0" collapsed="false">
      <c r="A1917" s="23"/>
      <c r="B1917" s="24"/>
      <c r="C1917" s="25"/>
      <c r="D1917" s="24"/>
      <c r="E1917" s="21" t="str">
        <f aca="false">IF(OR(B1917="",N(N1917)=0,N1917=1000),IF(B1917="","","Check"),INDEX(Rules!$B:$B,N1917))</f>
        <v/>
      </c>
      <c r="F1917" s="21" t="str">
        <f aca="false">IF(OR(B1917="",N(N1917)=0,N1917=1000),"",INDEX(Rules!$C:$C,N1917))</f>
        <v/>
      </c>
      <c r="G1917" s="24"/>
      <c r="H1917" s="24"/>
      <c r="I1917" s="20" t="str">
        <f aca="false">IF(B1917="","",IF(G1917&lt;&gt;"",G1917,E1917))</f>
        <v/>
      </c>
      <c r="J1917" s="21" t="str">
        <f aca="false">IF(B1917="","",IF(H1917&lt;&gt;"",H1917,F1917))</f>
        <v/>
      </c>
      <c r="K1917" s="26" t="str">
        <f aca="false">IF(A1917="","",DATE(YEAR(A1917),MONTH(A1917),1))</f>
        <v/>
      </c>
      <c r="L1917" s="21" t="str">
        <f aca="false">IF(J1917="",IF(B1917="","",IF(N(C1917)&gt;=0,"Income","Expense")),IFERROR(INDEX(Lists!$B$2:$B$30,MATCH(J1917,Lists!$A$2:$A$30,0)),""))</f>
        <v/>
      </c>
      <c r="M1917" s="24"/>
      <c r="N1917" s="27" t="str">
        <f aca="false">IF(B1917="","",IFERROR(1000-SUMPRODUCT(MAX(ISNUMBER(SEARCH(Rules!$A$5:$A$204,B1917))*(Rules!$A$5:$A$204&lt;&gt;"")*(1000-ROW(Rules!$A$5:$A$204)))),""))</f>
        <v/>
      </c>
    </row>
    <row r="1918" customFormat="false" ht="15" hidden="false" customHeight="false" outlineLevel="0" collapsed="false">
      <c r="A1918" s="23"/>
      <c r="B1918" s="24"/>
      <c r="C1918" s="25"/>
      <c r="D1918" s="24"/>
      <c r="E1918" s="21" t="str">
        <f aca="false">IF(OR(B1918="",N(N1918)=0,N1918=1000),IF(B1918="","","Check"),INDEX(Rules!$B:$B,N1918))</f>
        <v/>
      </c>
      <c r="F1918" s="21" t="str">
        <f aca="false">IF(OR(B1918="",N(N1918)=0,N1918=1000),"",INDEX(Rules!$C:$C,N1918))</f>
        <v/>
      </c>
      <c r="G1918" s="24"/>
      <c r="H1918" s="24"/>
      <c r="I1918" s="20" t="str">
        <f aca="false">IF(B1918="","",IF(G1918&lt;&gt;"",G1918,E1918))</f>
        <v/>
      </c>
      <c r="J1918" s="21" t="str">
        <f aca="false">IF(B1918="","",IF(H1918&lt;&gt;"",H1918,F1918))</f>
        <v/>
      </c>
      <c r="K1918" s="26" t="str">
        <f aca="false">IF(A1918="","",DATE(YEAR(A1918),MONTH(A1918),1))</f>
        <v/>
      </c>
      <c r="L1918" s="21" t="str">
        <f aca="false">IF(J1918="",IF(B1918="","",IF(N(C1918)&gt;=0,"Income","Expense")),IFERROR(INDEX(Lists!$B$2:$B$30,MATCH(J1918,Lists!$A$2:$A$30,0)),""))</f>
        <v/>
      </c>
      <c r="M1918" s="24"/>
      <c r="N1918" s="27" t="str">
        <f aca="false">IF(B1918="","",IFERROR(1000-SUMPRODUCT(MAX(ISNUMBER(SEARCH(Rules!$A$5:$A$204,B1918))*(Rules!$A$5:$A$204&lt;&gt;"")*(1000-ROW(Rules!$A$5:$A$204)))),""))</f>
        <v/>
      </c>
    </row>
    <row r="1919" customFormat="false" ht="15" hidden="false" customHeight="false" outlineLevel="0" collapsed="false">
      <c r="A1919" s="23"/>
      <c r="B1919" s="24"/>
      <c r="C1919" s="25"/>
      <c r="D1919" s="24"/>
      <c r="E1919" s="21" t="str">
        <f aca="false">IF(OR(B1919="",N(N1919)=0,N1919=1000),IF(B1919="","","Check"),INDEX(Rules!$B:$B,N1919))</f>
        <v/>
      </c>
      <c r="F1919" s="21" t="str">
        <f aca="false">IF(OR(B1919="",N(N1919)=0,N1919=1000),"",INDEX(Rules!$C:$C,N1919))</f>
        <v/>
      </c>
      <c r="G1919" s="24"/>
      <c r="H1919" s="24"/>
      <c r="I1919" s="20" t="str">
        <f aca="false">IF(B1919="","",IF(G1919&lt;&gt;"",G1919,E1919))</f>
        <v/>
      </c>
      <c r="J1919" s="21" t="str">
        <f aca="false">IF(B1919="","",IF(H1919&lt;&gt;"",H1919,F1919))</f>
        <v/>
      </c>
      <c r="K1919" s="26" t="str">
        <f aca="false">IF(A1919="","",DATE(YEAR(A1919),MONTH(A1919),1))</f>
        <v/>
      </c>
      <c r="L1919" s="21" t="str">
        <f aca="false">IF(J1919="",IF(B1919="","",IF(N(C1919)&gt;=0,"Income","Expense")),IFERROR(INDEX(Lists!$B$2:$B$30,MATCH(J1919,Lists!$A$2:$A$30,0)),""))</f>
        <v/>
      </c>
      <c r="M1919" s="24"/>
      <c r="N1919" s="27" t="str">
        <f aca="false">IF(B1919="","",IFERROR(1000-SUMPRODUCT(MAX(ISNUMBER(SEARCH(Rules!$A$5:$A$204,B1919))*(Rules!$A$5:$A$204&lt;&gt;"")*(1000-ROW(Rules!$A$5:$A$204)))),""))</f>
        <v/>
      </c>
    </row>
    <row r="1920" customFormat="false" ht="15" hidden="false" customHeight="false" outlineLevel="0" collapsed="false">
      <c r="A1920" s="23"/>
      <c r="B1920" s="24"/>
      <c r="C1920" s="25"/>
      <c r="D1920" s="24"/>
      <c r="E1920" s="21" t="str">
        <f aca="false">IF(OR(B1920="",N(N1920)=0,N1920=1000),IF(B1920="","","Check"),INDEX(Rules!$B:$B,N1920))</f>
        <v/>
      </c>
      <c r="F1920" s="21" t="str">
        <f aca="false">IF(OR(B1920="",N(N1920)=0,N1920=1000),"",INDEX(Rules!$C:$C,N1920))</f>
        <v/>
      </c>
      <c r="G1920" s="24"/>
      <c r="H1920" s="24"/>
      <c r="I1920" s="20" t="str">
        <f aca="false">IF(B1920="","",IF(G1920&lt;&gt;"",G1920,E1920))</f>
        <v/>
      </c>
      <c r="J1920" s="21" t="str">
        <f aca="false">IF(B1920="","",IF(H1920&lt;&gt;"",H1920,F1920))</f>
        <v/>
      </c>
      <c r="K1920" s="26" t="str">
        <f aca="false">IF(A1920="","",DATE(YEAR(A1920),MONTH(A1920),1))</f>
        <v/>
      </c>
      <c r="L1920" s="21" t="str">
        <f aca="false">IF(J1920="",IF(B1920="","",IF(N(C1920)&gt;=0,"Income","Expense")),IFERROR(INDEX(Lists!$B$2:$B$30,MATCH(J1920,Lists!$A$2:$A$30,0)),""))</f>
        <v/>
      </c>
      <c r="M1920" s="24"/>
      <c r="N1920" s="27" t="str">
        <f aca="false">IF(B1920="","",IFERROR(1000-SUMPRODUCT(MAX(ISNUMBER(SEARCH(Rules!$A$5:$A$204,B1920))*(Rules!$A$5:$A$204&lt;&gt;"")*(1000-ROW(Rules!$A$5:$A$204)))),""))</f>
        <v/>
      </c>
    </row>
    <row r="1921" customFormat="false" ht="15" hidden="false" customHeight="false" outlineLevel="0" collapsed="false">
      <c r="A1921" s="23"/>
      <c r="B1921" s="24"/>
      <c r="C1921" s="25"/>
      <c r="D1921" s="24"/>
      <c r="E1921" s="21" t="str">
        <f aca="false">IF(OR(B1921="",N(N1921)=0,N1921=1000),IF(B1921="","","Check"),INDEX(Rules!$B:$B,N1921))</f>
        <v/>
      </c>
      <c r="F1921" s="21" t="str">
        <f aca="false">IF(OR(B1921="",N(N1921)=0,N1921=1000),"",INDEX(Rules!$C:$C,N1921))</f>
        <v/>
      </c>
      <c r="G1921" s="24"/>
      <c r="H1921" s="24"/>
      <c r="I1921" s="20" t="str">
        <f aca="false">IF(B1921="","",IF(G1921&lt;&gt;"",G1921,E1921))</f>
        <v/>
      </c>
      <c r="J1921" s="21" t="str">
        <f aca="false">IF(B1921="","",IF(H1921&lt;&gt;"",H1921,F1921))</f>
        <v/>
      </c>
      <c r="K1921" s="26" t="str">
        <f aca="false">IF(A1921="","",DATE(YEAR(A1921),MONTH(A1921),1))</f>
        <v/>
      </c>
      <c r="L1921" s="21" t="str">
        <f aca="false">IF(J1921="",IF(B1921="","",IF(N(C1921)&gt;=0,"Income","Expense")),IFERROR(INDEX(Lists!$B$2:$B$30,MATCH(J1921,Lists!$A$2:$A$30,0)),""))</f>
        <v/>
      </c>
      <c r="M1921" s="24"/>
      <c r="N1921" s="27" t="str">
        <f aca="false">IF(B1921="","",IFERROR(1000-SUMPRODUCT(MAX(ISNUMBER(SEARCH(Rules!$A$5:$A$204,B1921))*(Rules!$A$5:$A$204&lt;&gt;"")*(1000-ROW(Rules!$A$5:$A$204)))),""))</f>
        <v/>
      </c>
    </row>
    <row r="1922" customFormat="false" ht="15" hidden="false" customHeight="false" outlineLevel="0" collapsed="false">
      <c r="A1922" s="23"/>
      <c r="B1922" s="24"/>
      <c r="C1922" s="25"/>
      <c r="D1922" s="24"/>
      <c r="E1922" s="21" t="str">
        <f aca="false">IF(OR(B1922="",N(N1922)=0,N1922=1000),IF(B1922="","","Check"),INDEX(Rules!$B:$B,N1922))</f>
        <v/>
      </c>
      <c r="F1922" s="21" t="str">
        <f aca="false">IF(OR(B1922="",N(N1922)=0,N1922=1000),"",INDEX(Rules!$C:$C,N1922))</f>
        <v/>
      </c>
      <c r="G1922" s="24"/>
      <c r="H1922" s="24"/>
      <c r="I1922" s="20" t="str">
        <f aca="false">IF(B1922="","",IF(G1922&lt;&gt;"",G1922,E1922))</f>
        <v/>
      </c>
      <c r="J1922" s="21" t="str">
        <f aca="false">IF(B1922="","",IF(H1922&lt;&gt;"",H1922,F1922))</f>
        <v/>
      </c>
      <c r="K1922" s="26" t="str">
        <f aca="false">IF(A1922="","",DATE(YEAR(A1922),MONTH(A1922),1))</f>
        <v/>
      </c>
      <c r="L1922" s="21" t="str">
        <f aca="false">IF(J1922="",IF(B1922="","",IF(N(C1922)&gt;=0,"Income","Expense")),IFERROR(INDEX(Lists!$B$2:$B$30,MATCH(J1922,Lists!$A$2:$A$30,0)),""))</f>
        <v/>
      </c>
      <c r="M1922" s="24"/>
      <c r="N1922" s="27" t="str">
        <f aca="false">IF(B1922="","",IFERROR(1000-SUMPRODUCT(MAX(ISNUMBER(SEARCH(Rules!$A$5:$A$204,B1922))*(Rules!$A$5:$A$204&lt;&gt;"")*(1000-ROW(Rules!$A$5:$A$204)))),""))</f>
        <v/>
      </c>
    </row>
    <row r="1923" customFormat="false" ht="15" hidden="false" customHeight="false" outlineLevel="0" collapsed="false">
      <c r="A1923" s="23"/>
      <c r="B1923" s="24"/>
      <c r="C1923" s="25"/>
      <c r="D1923" s="24"/>
      <c r="E1923" s="21" t="str">
        <f aca="false">IF(OR(B1923="",N(N1923)=0,N1923=1000),IF(B1923="","","Check"),INDEX(Rules!$B:$B,N1923))</f>
        <v/>
      </c>
      <c r="F1923" s="21" t="str">
        <f aca="false">IF(OR(B1923="",N(N1923)=0,N1923=1000),"",INDEX(Rules!$C:$C,N1923))</f>
        <v/>
      </c>
      <c r="G1923" s="24"/>
      <c r="H1923" s="24"/>
      <c r="I1923" s="20" t="str">
        <f aca="false">IF(B1923="","",IF(G1923&lt;&gt;"",G1923,E1923))</f>
        <v/>
      </c>
      <c r="J1923" s="21" t="str">
        <f aca="false">IF(B1923="","",IF(H1923&lt;&gt;"",H1923,F1923))</f>
        <v/>
      </c>
      <c r="K1923" s="26" t="str">
        <f aca="false">IF(A1923="","",DATE(YEAR(A1923),MONTH(A1923),1))</f>
        <v/>
      </c>
      <c r="L1923" s="21" t="str">
        <f aca="false">IF(J1923="",IF(B1923="","",IF(N(C1923)&gt;=0,"Income","Expense")),IFERROR(INDEX(Lists!$B$2:$B$30,MATCH(J1923,Lists!$A$2:$A$30,0)),""))</f>
        <v/>
      </c>
      <c r="M1923" s="24"/>
      <c r="N1923" s="27" t="str">
        <f aca="false">IF(B1923="","",IFERROR(1000-SUMPRODUCT(MAX(ISNUMBER(SEARCH(Rules!$A$5:$A$204,B1923))*(Rules!$A$5:$A$204&lt;&gt;"")*(1000-ROW(Rules!$A$5:$A$204)))),""))</f>
        <v/>
      </c>
    </row>
    <row r="1924" customFormat="false" ht="15" hidden="false" customHeight="false" outlineLevel="0" collapsed="false">
      <c r="A1924" s="23"/>
      <c r="B1924" s="24"/>
      <c r="C1924" s="25"/>
      <c r="D1924" s="24"/>
      <c r="E1924" s="21" t="str">
        <f aca="false">IF(OR(B1924="",N(N1924)=0,N1924=1000),IF(B1924="","","Check"),INDEX(Rules!$B:$B,N1924))</f>
        <v/>
      </c>
      <c r="F1924" s="21" t="str">
        <f aca="false">IF(OR(B1924="",N(N1924)=0,N1924=1000),"",INDEX(Rules!$C:$C,N1924))</f>
        <v/>
      </c>
      <c r="G1924" s="24"/>
      <c r="H1924" s="24"/>
      <c r="I1924" s="20" t="str">
        <f aca="false">IF(B1924="","",IF(G1924&lt;&gt;"",G1924,E1924))</f>
        <v/>
      </c>
      <c r="J1924" s="21" t="str">
        <f aca="false">IF(B1924="","",IF(H1924&lt;&gt;"",H1924,F1924))</f>
        <v/>
      </c>
      <c r="K1924" s="26" t="str">
        <f aca="false">IF(A1924="","",DATE(YEAR(A1924),MONTH(A1924),1))</f>
        <v/>
      </c>
      <c r="L1924" s="21" t="str">
        <f aca="false">IF(J1924="",IF(B1924="","",IF(N(C1924)&gt;=0,"Income","Expense")),IFERROR(INDEX(Lists!$B$2:$B$30,MATCH(J1924,Lists!$A$2:$A$30,0)),""))</f>
        <v/>
      </c>
      <c r="M1924" s="24"/>
      <c r="N1924" s="27" t="str">
        <f aca="false">IF(B1924="","",IFERROR(1000-SUMPRODUCT(MAX(ISNUMBER(SEARCH(Rules!$A$5:$A$204,B1924))*(Rules!$A$5:$A$204&lt;&gt;"")*(1000-ROW(Rules!$A$5:$A$204)))),""))</f>
        <v/>
      </c>
    </row>
    <row r="1925" customFormat="false" ht="15" hidden="false" customHeight="false" outlineLevel="0" collapsed="false">
      <c r="A1925" s="23"/>
      <c r="B1925" s="24"/>
      <c r="C1925" s="25"/>
      <c r="D1925" s="24"/>
      <c r="E1925" s="21" t="str">
        <f aca="false">IF(OR(B1925="",N(N1925)=0,N1925=1000),IF(B1925="","","Check"),INDEX(Rules!$B:$B,N1925))</f>
        <v/>
      </c>
      <c r="F1925" s="21" t="str">
        <f aca="false">IF(OR(B1925="",N(N1925)=0,N1925=1000),"",INDEX(Rules!$C:$C,N1925))</f>
        <v/>
      </c>
      <c r="G1925" s="24"/>
      <c r="H1925" s="24"/>
      <c r="I1925" s="20" t="str">
        <f aca="false">IF(B1925="","",IF(G1925&lt;&gt;"",G1925,E1925))</f>
        <v/>
      </c>
      <c r="J1925" s="21" t="str">
        <f aca="false">IF(B1925="","",IF(H1925&lt;&gt;"",H1925,F1925))</f>
        <v/>
      </c>
      <c r="K1925" s="26" t="str">
        <f aca="false">IF(A1925="","",DATE(YEAR(A1925),MONTH(A1925),1))</f>
        <v/>
      </c>
      <c r="L1925" s="21" t="str">
        <f aca="false">IF(J1925="",IF(B1925="","",IF(N(C1925)&gt;=0,"Income","Expense")),IFERROR(INDEX(Lists!$B$2:$B$30,MATCH(J1925,Lists!$A$2:$A$30,0)),""))</f>
        <v/>
      </c>
      <c r="M1925" s="24"/>
      <c r="N1925" s="27" t="str">
        <f aca="false">IF(B1925="","",IFERROR(1000-SUMPRODUCT(MAX(ISNUMBER(SEARCH(Rules!$A$5:$A$204,B1925))*(Rules!$A$5:$A$204&lt;&gt;"")*(1000-ROW(Rules!$A$5:$A$204)))),""))</f>
        <v/>
      </c>
    </row>
    <row r="1926" customFormat="false" ht="15" hidden="false" customHeight="false" outlineLevel="0" collapsed="false">
      <c r="A1926" s="23"/>
      <c r="B1926" s="24"/>
      <c r="C1926" s="25"/>
      <c r="D1926" s="24"/>
      <c r="E1926" s="21" t="str">
        <f aca="false">IF(OR(B1926="",N(N1926)=0,N1926=1000),IF(B1926="","","Check"),INDEX(Rules!$B:$B,N1926))</f>
        <v/>
      </c>
      <c r="F1926" s="21" t="str">
        <f aca="false">IF(OR(B1926="",N(N1926)=0,N1926=1000),"",INDEX(Rules!$C:$C,N1926))</f>
        <v/>
      </c>
      <c r="G1926" s="24"/>
      <c r="H1926" s="24"/>
      <c r="I1926" s="20" t="str">
        <f aca="false">IF(B1926="","",IF(G1926&lt;&gt;"",G1926,E1926))</f>
        <v/>
      </c>
      <c r="J1926" s="21" t="str">
        <f aca="false">IF(B1926="","",IF(H1926&lt;&gt;"",H1926,F1926))</f>
        <v/>
      </c>
      <c r="K1926" s="26" t="str">
        <f aca="false">IF(A1926="","",DATE(YEAR(A1926),MONTH(A1926),1))</f>
        <v/>
      </c>
      <c r="L1926" s="21" t="str">
        <f aca="false">IF(J1926="",IF(B1926="","",IF(N(C1926)&gt;=0,"Income","Expense")),IFERROR(INDEX(Lists!$B$2:$B$30,MATCH(J1926,Lists!$A$2:$A$30,0)),""))</f>
        <v/>
      </c>
      <c r="M1926" s="24"/>
      <c r="N1926" s="27" t="str">
        <f aca="false">IF(B1926="","",IFERROR(1000-SUMPRODUCT(MAX(ISNUMBER(SEARCH(Rules!$A$5:$A$204,B1926))*(Rules!$A$5:$A$204&lt;&gt;"")*(1000-ROW(Rules!$A$5:$A$204)))),""))</f>
        <v/>
      </c>
    </row>
    <row r="1927" customFormat="false" ht="15" hidden="false" customHeight="false" outlineLevel="0" collapsed="false">
      <c r="A1927" s="23"/>
      <c r="B1927" s="24"/>
      <c r="C1927" s="25"/>
      <c r="D1927" s="24"/>
      <c r="E1927" s="21" t="str">
        <f aca="false">IF(OR(B1927="",N(N1927)=0,N1927=1000),IF(B1927="","","Check"),INDEX(Rules!$B:$B,N1927))</f>
        <v/>
      </c>
      <c r="F1927" s="21" t="str">
        <f aca="false">IF(OR(B1927="",N(N1927)=0,N1927=1000),"",INDEX(Rules!$C:$C,N1927))</f>
        <v/>
      </c>
      <c r="G1927" s="24"/>
      <c r="H1927" s="24"/>
      <c r="I1927" s="20" t="str">
        <f aca="false">IF(B1927="","",IF(G1927&lt;&gt;"",G1927,E1927))</f>
        <v/>
      </c>
      <c r="J1927" s="21" t="str">
        <f aca="false">IF(B1927="","",IF(H1927&lt;&gt;"",H1927,F1927))</f>
        <v/>
      </c>
      <c r="K1927" s="26" t="str">
        <f aca="false">IF(A1927="","",DATE(YEAR(A1927),MONTH(A1927),1))</f>
        <v/>
      </c>
      <c r="L1927" s="21" t="str">
        <f aca="false">IF(J1927="",IF(B1927="","",IF(N(C1927)&gt;=0,"Income","Expense")),IFERROR(INDEX(Lists!$B$2:$B$30,MATCH(J1927,Lists!$A$2:$A$30,0)),""))</f>
        <v/>
      </c>
      <c r="M1927" s="24"/>
      <c r="N1927" s="27" t="str">
        <f aca="false">IF(B1927="","",IFERROR(1000-SUMPRODUCT(MAX(ISNUMBER(SEARCH(Rules!$A$5:$A$204,B1927))*(Rules!$A$5:$A$204&lt;&gt;"")*(1000-ROW(Rules!$A$5:$A$204)))),""))</f>
        <v/>
      </c>
    </row>
    <row r="1928" customFormat="false" ht="15" hidden="false" customHeight="false" outlineLevel="0" collapsed="false">
      <c r="A1928" s="23"/>
      <c r="B1928" s="24"/>
      <c r="C1928" s="25"/>
      <c r="D1928" s="24"/>
      <c r="E1928" s="21" t="str">
        <f aca="false">IF(OR(B1928="",N(N1928)=0,N1928=1000),IF(B1928="","","Check"),INDEX(Rules!$B:$B,N1928))</f>
        <v/>
      </c>
      <c r="F1928" s="21" t="str">
        <f aca="false">IF(OR(B1928="",N(N1928)=0,N1928=1000),"",INDEX(Rules!$C:$C,N1928))</f>
        <v/>
      </c>
      <c r="G1928" s="24"/>
      <c r="H1928" s="24"/>
      <c r="I1928" s="20" t="str">
        <f aca="false">IF(B1928="","",IF(G1928&lt;&gt;"",G1928,E1928))</f>
        <v/>
      </c>
      <c r="J1928" s="21" t="str">
        <f aca="false">IF(B1928="","",IF(H1928&lt;&gt;"",H1928,F1928))</f>
        <v/>
      </c>
      <c r="K1928" s="26" t="str">
        <f aca="false">IF(A1928="","",DATE(YEAR(A1928),MONTH(A1928),1))</f>
        <v/>
      </c>
      <c r="L1928" s="21" t="str">
        <f aca="false">IF(J1928="",IF(B1928="","",IF(N(C1928)&gt;=0,"Income","Expense")),IFERROR(INDEX(Lists!$B$2:$B$30,MATCH(J1928,Lists!$A$2:$A$30,0)),""))</f>
        <v/>
      </c>
      <c r="M1928" s="24"/>
      <c r="N1928" s="27" t="str">
        <f aca="false">IF(B1928="","",IFERROR(1000-SUMPRODUCT(MAX(ISNUMBER(SEARCH(Rules!$A$5:$A$204,B1928))*(Rules!$A$5:$A$204&lt;&gt;"")*(1000-ROW(Rules!$A$5:$A$204)))),""))</f>
        <v/>
      </c>
    </row>
    <row r="1929" customFormat="false" ht="15" hidden="false" customHeight="false" outlineLevel="0" collapsed="false">
      <c r="A1929" s="23"/>
      <c r="B1929" s="24"/>
      <c r="C1929" s="25"/>
      <c r="D1929" s="24"/>
      <c r="E1929" s="21" t="str">
        <f aca="false">IF(OR(B1929="",N(N1929)=0,N1929=1000),IF(B1929="","","Check"),INDEX(Rules!$B:$B,N1929))</f>
        <v/>
      </c>
      <c r="F1929" s="21" t="str">
        <f aca="false">IF(OR(B1929="",N(N1929)=0,N1929=1000),"",INDEX(Rules!$C:$C,N1929))</f>
        <v/>
      </c>
      <c r="G1929" s="24"/>
      <c r="H1929" s="24"/>
      <c r="I1929" s="20" t="str">
        <f aca="false">IF(B1929="","",IF(G1929&lt;&gt;"",G1929,E1929))</f>
        <v/>
      </c>
      <c r="J1929" s="21" t="str">
        <f aca="false">IF(B1929="","",IF(H1929&lt;&gt;"",H1929,F1929))</f>
        <v/>
      </c>
      <c r="K1929" s="26" t="str">
        <f aca="false">IF(A1929="","",DATE(YEAR(A1929),MONTH(A1929),1))</f>
        <v/>
      </c>
      <c r="L1929" s="21" t="str">
        <f aca="false">IF(J1929="",IF(B1929="","",IF(N(C1929)&gt;=0,"Income","Expense")),IFERROR(INDEX(Lists!$B$2:$B$30,MATCH(J1929,Lists!$A$2:$A$30,0)),""))</f>
        <v/>
      </c>
      <c r="M1929" s="24"/>
      <c r="N1929" s="27" t="str">
        <f aca="false">IF(B1929="","",IFERROR(1000-SUMPRODUCT(MAX(ISNUMBER(SEARCH(Rules!$A$5:$A$204,B1929))*(Rules!$A$5:$A$204&lt;&gt;"")*(1000-ROW(Rules!$A$5:$A$204)))),""))</f>
        <v/>
      </c>
    </row>
    <row r="1930" customFormat="false" ht="15" hidden="false" customHeight="false" outlineLevel="0" collapsed="false">
      <c r="A1930" s="23"/>
      <c r="B1930" s="24"/>
      <c r="C1930" s="25"/>
      <c r="D1930" s="24"/>
      <c r="E1930" s="21" t="str">
        <f aca="false">IF(OR(B1930="",N(N1930)=0,N1930=1000),IF(B1930="","","Check"),INDEX(Rules!$B:$B,N1930))</f>
        <v/>
      </c>
      <c r="F1930" s="21" t="str">
        <f aca="false">IF(OR(B1930="",N(N1930)=0,N1930=1000),"",INDEX(Rules!$C:$C,N1930))</f>
        <v/>
      </c>
      <c r="G1930" s="24"/>
      <c r="H1930" s="24"/>
      <c r="I1930" s="20" t="str">
        <f aca="false">IF(B1930="","",IF(G1930&lt;&gt;"",G1930,E1930))</f>
        <v/>
      </c>
      <c r="J1930" s="21" t="str">
        <f aca="false">IF(B1930="","",IF(H1930&lt;&gt;"",H1930,F1930))</f>
        <v/>
      </c>
      <c r="K1930" s="26" t="str">
        <f aca="false">IF(A1930="","",DATE(YEAR(A1930),MONTH(A1930),1))</f>
        <v/>
      </c>
      <c r="L1930" s="21" t="str">
        <f aca="false">IF(J1930="",IF(B1930="","",IF(N(C1930)&gt;=0,"Income","Expense")),IFERROR(INDEX(Lists!$B$2:$B$30,MATCH(J1930,Lists!$A$2:$A$30,0)),""))</f>
        <v/>
      </c>
      <c r="M1930" s="24"/>
      <c r="N1930" s="27" t="str">
        <f aca="false">IF(B1930="","",IFERROR(1000-SUMPRODUCT(MAX(ISNUMBER(SEARCH(Rules!$A$5:$A$204,B1930))*(Rules!$A$5:$A$204&lt;&gt;"")*(1000-ROW(Rules!$A$5:$A$204)))),""))</f>
        <v/>
      </c>
    </row>
    <row r="1931" customFormat="false" ht="15" hidden="false" customHeight="false" outlineLevel="0" collapsed="false">
      <c r="A1931" s="23"/>
      <c r="B1931" s="24"/>
      <c r="C1931" s="25"/>
      <c r="D1931" s="24"/>
      <c r="E1931" s="21" t="str">
        <f aca="false">IF(OR(B1931="",N(N1931)=0,N1931=1000),IF(B1931="","","Check"),INDEX(Rules!$B:$B,N1931))</f>
        <v/>
      </c>
      <c r="F1931" s="21" t="str">
        <f aca="false">IF(OR(B1931="",N(N1931)=0,N1931=1000),"",INDEX(Rules!$C:$C,N1931))</f>
        <v/>
      </c>
      <c r="G1931" s="24"/>
      <c r="H1931" s="24"/>
      <c r="I1931" s="20" t="str">
        <f aca="false">IF(B1931="","",IF(G1931&lt;&gt;"",G1931,E1931))</f>
        <v/>
      </c>
      <c r="J1931" s="21" t="str">
        <f aca="false">IF(B1931="","",IF(H1931&lt;&gt;"",H1931,F1931))</f>
        <v/>
      </c>
      <c r="K1931" s="26" t="str">
        <f aca="false">IF(A1931="","",DATE(YEAR(A1931),MONTH(A1931),1))</f>
        <v/>
      </c>
      <c r="L1931" s="21" t="str">
        <f aca="false">IF(J1931="",IF(B1931="","",IF(N(C1931)&gt;=0,"Income","Expense")),IFERROR(INDEX(Lists!$B$2:$B$30,MATCH(J1931,Lists!$A$2:$A$30,0)),""))</f>
        <v/>
      </c>
      <c r="M1931" s="24"/>
      <c r="N1931" s="27" t="str">
        <f aca="false">IF(B1931="","",IFERROR(1000-SUMPRODUCT(MAX(ISNUMBER(SEARCH(Rules!$A$5:$A$204,B1931))*(Rules!$A$5:$A$204&lt;&gt;"")*(1000-ROW(Rules!$A$5:$A$204)))),""))</f>
        <v/>
      </c>
    </row>
    <row r="1932" customFormat="false" ht="15" hidden="false" customHeight="false" outlineLevel="0" collapsed="false">
      <c r="A1932" s="23"/>
      <c r="B1932" s="24"/>
      <c r="C1932" s="25"/>
      <c r="D1932" s="24"/>
      <c r="E1932" s="21" t="str">
        <f aca="false">IF(OR(B1932="",N(N1932)=0,N1932=1000),IF(B1932="","","Check"),INDEX(Rules!$B:$B,N1932))</f>
        <v/>
      </c>
      <c r="F1932" s="21" t="str">
        <f aca="false">IF(OR(B1932="",N(N1932)=0,N1932=1000),"",INDEX(Rules!$C:$C,N1932))</f>
        <v/>
      </c>
      <c r="G1932" s="24"/>
      <c r="H1932" s="24"/>
      <c r="I1932" s="20" t="str">
        <f aca="false">IF(B1932="","",IF(G1932&lt;&gt;"",G1932,E1932))</f>
        <v/>
      </c>
      <c r="J1932" s="21" t="str">
        <f aca="false">IF(B1932="","",IF(H1932&lt;&gt;"",H1932,F1932))</f>
        <v/>
      </c>
      <c r="K1932" s="26" t="str">
        <f aca="false">IF(A1932="","",DATE(YEAR(A1932),MONTH(A1932),1))</f>
        <v/>
      </c>
      <c r="L1932" s="21" t="str">
        <f aca="false">IF(J1932="",IF(B1932="","",IF(N(C1932)&gt;=0,"Income","Expense")),IFERROR(INDEX(Lists!$B$2:$B$30,MATCH(J1932,Lists!$A$2:$A$30,0)),""))</f>
        <v/>
      </c>
      <c r="M1932" s="24"/>
      <c r="N1932" s="27" t="str">
        <f aca="false">IF(B1932="","",IFERROR(1000-SUMPRODUCT(MAX(ISNUMBER(SEARCH(Rules!$A$5:$A$204,B1932))*(Rules!$A$5:$A$204&lt;&gt;"")*(1000-ROW(Rules!$A$5:$A$204)))),""))</f>
        <v/>
      </c>
    </row>
    <row r="1933" customFormat="false" ht="15" hidden="false" customHeight="false" outlineLevel="0" collapsed="false">
      <c r="A1933" s="23"/>
      <c r="B1933" s="24"/>
      <c r="C1933" s="25"/>
      <c r="D1933" s="24"/>
      <c r="E1933" s="21" t="str">
        <f aca="false">IF(OR(B1933="",N(N1933)=0,N1933=1000),IF(B1933="","","Check"),INDEX(Rules!$B:$B,N1933))</f>
        <v/>
      </c>
      <c r="F1933" s="21" t="str">
        <f aca="false">IF(OR(B1933="",N(N1933)=0,N1933=1000),"",INDEX(Rules!$C:$C,N1933))</f>
        <v/>
      </c>
      <c r="G1933" s="24"/>
      <c r="H1933" s="24"/>
      <c r="I1933" s="20" t="str">
        <f aca="false">IF(B1933="","",IF(G1933&lt;&gt;"",G1933,E1933))</f>
        <v/>
      </c>
      <c r="J1933" s="21" t="str">
        <f aca="false">IF(B1933="","",IF(H1933&lt;&gt;"",H1933,F1933))</f>
        <v/>
      </c>
      <c r="K1933" s="26" t="str">
        <f aca="false">IF(A1933="","",DATE(YEAR(A1933),MONTH(A1933),1))</f>
        <v/>
      </c>
      <c r="L1933" s="21" t="str">
        <f aca="false">IF(J1933="",IF(B1933="","",IF(N(C1933)&gt;=0,"Income","Expense")),IFERROR(INDEX(Lists!$B$2:$B$30,MATCH(J1933,Lists!$A$2:$A$30,0)),""))</f>
        <v/>
      </c>
      <c r="M1933" s="24"/>
      <c r="N1933" s="27" t="str">
        <f aca="false">IF(B1933="","",IFERROR(1000-SUMPRODUCT(MAX(ISNUMBER(SEARCH(Rules!$A$5:$A$204,B1933))*(Rules!$A$5:$A$204&lt;&gt;"")*(1000-ROW(Rules!$A$5:$A$204)))),""))</f>
        <v/>
      </c>
    </row>
    <row r="1934" customFormat="false" ht="15" hidden="false" customHeight="false" outlineLevel="0" collapsed="false">
      <c r="A1934" s="23"/>
      <c r="B1934" s="24"/>
      <c r="C1934" s="25"/>
      <c r="D1934" s="24"/>
      <c r="E1934" s="21" t="str">
        <f aca="false">IF(OR(B1934="",N(N1934)=0,N1934=1000),IF(B1934="","","Check"),INDEX(Rules!$B:$B,N1934))</f>
        <v/>
      </c>
      <c r="F1934" s="21" t="str">
        <f aca="false">IF(OR(B1934="",N(N1934)=0,N1934=1000),"",INDEX(Rules!$C:$C,N1934))</f>
        <v/>
      </c>
      <c r="G1934" s="24"/>
      <c r="H1934" s="24"/>
      <c r="I1934" s="20" t="str">
        <f aca="false">IF(B1934="","",IF(G1934&lt;&gt;"",G1934,E1934))</f>
        <v/>
      </c>
      <c r="J1934" s="21" t="str">
        <f aca="false">IF(B1934="","",IF(H1934&lt;&gt;"",H1934,F1934))</f>
        <v/>
      </c>
      <c r="K1934" s="26" t="str">
        <f aca="false">IF(A1934="","",DATE(YEAR(A1934),MONTH(A1934),1))</f>
        <v/>
      </c>
      <c r="L1934" s="21" t="str">
        <f aca="false">IF(J1934="",IF(B1934="","",IF(N(C1934)&gt;=0,"Income","Expense")),IFERROR(INDEX(Lists!$B$2:$B$30,MATCH(J1934,Lists!$A$2:$A$30,0)),""))</f>
        <v/>
      </c>
      <c r="M1934" s="24"/>
      <c r="N1934" s="27" t="str">
        <f aca="false">IF(B1934="","",IFERROR(1000-SUMPRODUCT(MAX(ISNUMBER(SEARCH(Rules!$A$5:$A$204,B1934))*(Rules!$A$5:$A$204&lt;&gt;"")*(1000-ROW(Rules!$A$5:$A$204)))),""))</f>
        <v/>
      </c>
    </row>
    <row r="1935" customFormat="false" ht="15" hidden="false" customHeight="false" outlineLevel="0" collapsed="false">
      <c r="A1935" s="23"/>
      <c r="B1935" s="24"/>
      <c r="C1935" s="25"/>
      <c r="D1935" s="24"/>
      <c r="E1935" s="21" t="str">
        <f aca="false">IF(OR(B1935="",N(N1935)=0,N1935=1000),IF(B1935="","","Check"),INDEX(Rules!$B:$B,N1935))</f>
        <v/>
      </c>
      <c r="F1935" s="21" t="str">
        <f aca="false">IF(OR(B1935="",N(N1935)=0,N1935=1000),"",INDEX(Rules!$C:$C,N1935))</f>
        <v/>
      </c>
      <c r="G1935" s="24"/>
      <c r="H1935" s="24"/>
      <c r="I1935" s="20" t="str">
        <f aca="false">IF(B1935="","",IF(G1935&lt;&gt;"",G1935,E1935))</f>
        <v/>
      </c>
      <c r="J1935" s="21" t="str">
        <f aca="false">IF(B1935="","",IF(H1935&lt;&gt;"",H1935,F1935))</f>
        <v/>
      </c>
      <c r="K1935" s="26" t="str">
        <f aca="false">IF(A1935="","",DATE(YEAR(A1935),MONTH(A1935),1))</f>
        <v/>
      </c>
      <c r="L1935" s="21" t="str">
        <f aca="false">IF(J1935="",IF(B1935="","",IF(N(C1935)&gt;=0,"Income","Expense")),IFERROR(INDEX(Lists!$B$2:$B$30,MATCH(J1935,Lists!$A$2:$A$30,0)),""))</f>
        <v/>
      </c>
      <c r="M1935" s="24"/>
      <c r="N1935" s="27" t="str">
        <f aca="false">IF(B1935="","",IFERROR(1000-SUMPRODUCT(MAX(ISNUMBER(SEARCH(Rules!$A$5:$A$204,B1935))*(Rules!$A$5:$A$204&lt;&gt;"")*(1000-ROW(Rules!$A$5:$A$204)))),""))</f>
        <v/>
      </c>
    </row>
    <row r="1936" customFormat="false" ht="15" hidden="false" customHeight="false" outlineLevel="0" collapsed="false">
      <c r="A1936" s="23"/>
      <c r="B1936" s="24"/>
      <c r="C1936" s="25"/>
      <c r="D1936" s="24"/>
      <c r="E1936" s="21" t="str">
        <f aca="false">IF(OR(B1936="",N(N1936)=0,N1936=1000),IF(B1936="","","Check"),INDEX(Rules!$B:$B,N1936))</f>
        <v/>
      </c>
      <c r="F1936" s="21" t="str">
        <f aca="false">IF(OR(B1936="",N(N1936)=0,N1936=1000),"",INDEX(Rules!$C:$C,N1936))</f>
        <v/>
      </c>
      <c r="G1936" s="24"/>
      <c r="H1936" s="24"/>
      <c r="I1936" s="20" t="str">
        <f aca="false">IF(B1936="","",IF(G1936&lt;&gt;"",G1936,E1936))</f>
        <v/>
      </c>
      <c r="J1936" s="21" t="str">
        <f aca="false">IF(B1936="","",IF(H1936&lt;&gt;"",H1936,F1936))</f>
        <v/>
      </c>
      <c r="K1936" s="26" t="str">
        <f aca="false">IF(A1936="","",DATE(YEAR(A1936),MONTH(A1936),1))</f>
        <v/>
      </c>
      <c r="L1936" s="21" t="str">
        <f aca="false">IF(J1936="",IF(B1936="","",IF(N(C1936)&gt;=0,"Income","Expense")),IFERROR(INDEX(Lists!$B$2:$B$30,MATCH(J1936,Lists!$A$2:$A$30,0)),""))</f>
        <v/>
      </c>
      <c r="M1936" s="24"/>
      <c r="N1936" s="27" t="str">
        <f aca="false">IF(B1936="","",IFERROR(1000-SUMPRODUCT(MAX(ISNUMBER(SEARCH(Rules!$A$5:$A$204,B1936))*(Rules!$A$5:$A$204&lt;&gt;"")*(1000-ROW(Rules!$A$5:$A$204)))),""))</f>
        <v/>
      </c>
    </row>
    <row r="1937" customFormat="false" ht="15" hidden="false" customHeight="false" outlineLevel="0" collapsed="false">
      <c r="A1937" s="23"/>
      <c r="B1937" s="24"/>
      <c r="C1937" s="25"/>
      <c r="D1937" s="24"/>
      <c r="E1937" s="21" t="str">
        <f aca="false">IF(OR(B1937="",N(N1937)=0,N1937=1000),IF(B1937="","","Check"),INDEX(Rules!$B:$B,N1937))</f>
        <v/>
      </c>
      <c r="F1937" s="21" t="str">
        <f aca="false">IF(OR(B1937="",N(N1937)=0,N1937=1000),"",INDEX(Rules!$C:$C,N1937))</f>
        <v/>
      </c>
      <c r="G1937" s="24"/>
      <c r="H1937" s="24"/>
      <c r="I1937" s="20" t="str">
        <f aca="false">IF(B1937="","",IF(G1937&lt;&gt;"",G1937,E1937))</f>
        <v/>
      </c>
      <c r="J1937" s="21" t="str">
        <f aca="false">IF(B1937="","",IF(H1937&lt;&gt;"",H1937,F1937))</f>
        <v/>
      </c>
      <c r="K1937" s="26" t="str">
        <f aca="false">IF(A1937="","",DATE(YEAR(A1937),MONTH(A1937),1))</f>
        <v/>
      </c>
      <c r="L1937" s="21" t="str">
        <f aca="false">IF(J1937="",IF(B1937="","",IF(N(C1937)&gt;=0,"Income","Expense")),IFERROR(INDEX(Lists!$B$2:$B$30,MATCH(J1937,Lists!$A$2:$A$30,0)),""))</f>
        <v/>
      </c>
      <c r="M1937" s="24"/>
      <c r="N1937" s="27" t="str">
        <f aca="false">IF(B1937="","",IFERROR(1000-SUMPRODUCT(MAX(ISNUMBER(SEARCH(Rules!$A$5:$A$204,B1937))*(Rules!$A$5:$A$204&lt;&gt;"")*(1000-ROW(Rules!$A$5:$A$204)))),""))</f>
        <v/>
      </c>
    </row>
    <row r="1938" customFormat="false" ht="15" hidden="false" customHeight="false" outlineLevel="0" collapsed="false">
      <c r="A1938" s="23"/>
      <c r="B1938" s="24"/>
      <c r="C1938" s="25"/>
      <c r="D1938" s="24"/>
      <c r="E1938" s="21" t="str">
        <f aca="false">IF(OR(B1938="",N(N1938)=0,N1938=1000),IF(B1938="","","Check"),INDEX(Rules!$B:$B,N1938))</f>
        <v/>
      </c>
      <c r="F1938" s="21" t="str">
        <f aca="false">IF(OR(B1938="",N(N1938)=0,N1938=1000),"",INDEX(Rules!$C:$C,N1938))</f>
        <v/>
      </c>
      <c r="G1938" s="24"/>
      <c r="H1938" s="24"/>
      <c r="I1938" s="20" t="str">
        <f aca="false">IF(B1938="","",IF(G1938&lt;&gt;"",G1938,E1938))</f>
        <v/>
      </c>
      <c r="J1938" s="21" t="str">
        <f aca="false">IF(B1938="","",IF(H1938&lt;&gt;"",H1938,F1938))</f>
        <v/>
      </c>
      <c r="K1938" s="26" t="str">
        <f aca="false">IF(A1938="","",DATE(YEAR(A1938),MONTH(A1938),1))</f>
        <v/>
      </c>
      <c r="L1938" s="21" t="str">
        <f aca="false">IF(J1938="",IF(B1938="","",IF(N(C1938)&gt;=0,"Income","Expense")),IFERROR(INDEX(Lists!$B$2:$B$30,MATCH(J1938,Lists!$A$2:$A$30,0)),""))</f>
        <v/>
      </c>
      <c r="M1938" s="24"/>
      <c r="N1938" s="27" t="str">
        <f aca="false">IF(B1938="","",IFERROR(1000-SUMPRODUCT(MAX(ISNUMBER(SEARCH(Rules!$A$5:$A$204,B1938))*(Rules!$A$5:$A$204&lt;&gt;"")*(1000-ROW(Rules!$A$5:$A$204)))),""))</f>
        <v/>
      </c>
    </row>
    <row r="1939" customFormat="false" ht="15" hidden="false" customHeight="false" outlineLevel="0" collapsed="false">
      <c r="A1939" s="23"/>
      <c r="B1939" s="24"/>
      <c r="C1939" s="25"/>
      <c r="D1939" s="24"/>
      <c r="E1939" s="21" t="str">
        <f aca="false">IF(OR(B1939="",N(N1939)=0,N1939=1000),IF(B1939="","","Check"),INDEX(Rules!$B:$B,N1939))</f>
        <v/>
      </c>
      <c r="F1939" s="21" t="str">
        <f aca="false">IF(OR(B1939="",N(N1939)=0,N1939=1000),"",INDEX(Rules!$C:$C,N1939))</f>
        <v/>
      </c>
      <c r="G1939" s="24"/>
      <c r="H1939" s="24"/>
      <c r="I1939" s="20" t="str">
        <f aca="false">IF(B1939="","",IF(G1939&lt;&gt;"",G1939,E1939))</f>
        <v/>
      </c>
      <c r="J1939" s="21" t="str">
        <f aca="false">IF(B1939="","",IF(H1939&lt;&gt;"",H1939,F1939))</f>
        <v/>
      </c>
      <c r="K1939" s="26" t="str">
        <f aca="false">IF(A1939="","",DATE(YEAR(A1939),MONTH(A1939),1))</f>
        <v/>
      </c>
      <c r="L1939" s="21" t="str">
        <f aca="false">IF(J1939="",IF(B1939="","",IF(N(C1939)&gt;=0,"Income","Expense")),IFERROR(INDEX(Lists!$B$2:$B$30,MATCH(J1939,Lists!$A$2:$A$30,0)),""))</f>
        <v/>
      </c>
      <c r="M1939" s="24"/>
      <c r="N1939" s="27" t="str">
        <f aca="false">IF(B1939="","",IFERROR(1000-SUMPRODUCT(MAX(ISNUMBER(SEARCH(Rules!$A$5:$A$204,B1939))*(Rules!$A$5:$A$204&lt;&gt;"")*(1000-ROW(Rules!$A$5:$A$204)))),""))</f>
        <v/>
      </c>
    </row>
    <row r="1940" customFormat="false" ht="15" hidden="false" customHeight="false" outlineLevel="0" collapsed="false">
      <c r="A1940" s="23"/>
      <c r="B1940" s="24"/>
      <c r="C1940" s="25"/>
      <c r="D1940" s="24"/>
      <c r="E1940" s="21" t="str">
        <f aca="false">IF(OR(B1940="",N(N1940)=0,N1940=1000),IF(B1940="","","Check"),INDEX(Rules!$B:$B,N1940))</f>
        <v/>
      </c>
      <c r="F1940" s="21" t="str">
        <f aca="false">IF(OR(B1940="",N(N1940)=0,N1940=1000),"",INDEX(Rules!$C:$C,N1940))</f>
        <v/>
      </c>
      <c r="G1940" s="24"/>
      <c r="H1940" s="24"/>
      <c r="I1940" s="20" t="str">
        <f aca="false">IF(B1940="","",IF(G1940&lt;&gt;"",G1940,E1940))</f>
        <v/>
      </c>
      <c r="J1940" s="21" t="str">
        <f aca="false">IF(B1940="","",IF(H1940&lt;&gt;"",H1940,F1940))</f>
        <v/>
      </c>
      <c r="K1940" s="26" t="str">
        <f aca="false">IF(A1940="","",DATE(YEAR(A1940),MONTH(A1940),1))</f>
        <v/>
      </c>
      <c r="L1940" s="21" t="str">
        <f aca="false">IF(J1940="",IF(B1940="","",IF(N(C1940)&gt;=0,"Income","Expense")),IFERROR(INDEX(Lists!$B$2:$B$30,MATCH(J1940,Lists!$A$2:$A$30,0)),""))</f>
        <v/>
      </c>
      <c r="M1940" s="24"/>
      <c r="N1940" s="27" t="str">
        <f aca="false">IF(B1940="","",IFERROR(1000-SUMPRODUCT(MAX(ISNUMBER(SEARCH(Rules!$A$5:$A$204,B1940))*(Rules!$A$5:$A$204&lt;&gt;"")*(1000-ROW(Rules!$A$5:$A$204)))),""))</f>
        <v/>
      </c>
    </row>
    <row r="1941" customFormat="false" ht="15" hidden="false" customHeight="false" outlineLevel="0" collapsed="false">
      <c r="A1941" s="23"/>
      <c r="B1941" s="24"/>
      <c r="C1941" s="25"/>
      <c r="D1941" s="24"/>
      <c r="E1941" s="21" t="str">
        <f aca="false">IF(OR(B1941="",N(N1941)=0,N1941=1000),IF(B1941="","","Check"),INDEX(Rules!$B:$B,N1941))</f>
        <v/>
      </c>
      <c r="F1941" s="21" t="str">
        <f aca="false">IF(OR(B1941="",N(N1941)=0,N1941=1000),"",INDEX(Rules!$C:$C,N1941))</f>
        <v/>
      </c>
      <c r="G1941" s="24"/>
      <c r="H1941" s="24"/>
      <c r="I1941" s="20" t="str">
        <f aca="false">IF(B1941="","",IF(G1941&lt;&gt;"",G1941,E1941))</f>
        <v/>
      </c>
      <c r="J1941" s="21" t="str">
        <f aca="false">IF(B1941="","",IF(H1941&lt;&gt;"",H1941,F1941))</f>
        <v/>
      </c>
      <c r="K1941" s="26" t="str">
        <f aca="false">IF(A1941="","",DATE(YEAR(A1941),MONTH(A1941),1))</f>
        <v/>
      </c>
      <c r="L1941" s="21" t="str">
        <f aca="false">IF(J1941="",IF(B1941="","",IF(N(C1941)&gt;=0,"Income","Expense")),IFERROR(INDEX(Lists!$B$2:$B$30,MATCH(J1941,Lists!$A$2:$A$30,0)),""))</f>
        <v/>
      </c>
      <c r="M1941" s="24"/>
      <c r="N1941" s="27" t="str">
        <f aca="false">IF(B1941="","",IFERROR(1000-SUMPRODUCT(MAX(ISNUMBER(SEARCH(Rules!$A$5:$A$204,B1941))*(Rules!$A$5:$A$204&lt;&gt;"")*(1000-ROW(Rules!$A$5:$A$204)))),""))</f>
        <v/>
      </c>
    </row>
    <row r="1942" customFormat="false" ht="15" hidden="false" customHeight="false" outlineLevel="0" collapsed="false">
      <c r="A1942" s="23"/>
      <c r="B1942" s="24"/>
      <c r="C1942" s="25"/>
      <c r="D1942" s="24"/>
      <c r="E1942" s="21" t="str">
        <f aca="false">IF(OR(B1942="",N(N1942)=0,N1942=1000),IF(B1942="","","Check"),INDEX(Rules!$B:$B,N1942))</f>
        <v/>
      </c>
      <c r="F1942" s="21" t="str">
        <f aca="false">IF(OR(B1942="",N(N1942)=0,N1942=1000),"",INDEX(Rules!$C:$C,N1942))</f>
        <v/>
      </c>
      <c r="G1942" s="24"/>
      <c r="H1942" s="24"/>
      <c r="I1942" s="20" t="str">
        <f aca="false">IF(B1942="","",IF(G1942&lt;&gt;"",G1942,E1942))</f>
        <v/>
      </c>
      <c r="J1942" s="21" t="str">
        <f aca="false">IF(B1942="","",IF(H1942&lt;&gt;"",H1942,F1942))</f>
        <v/>
      </c>
      <c r="K1942" s="26" t="str">
        <f aca="false">IF(A1942="","",DATE(YEAR(A1942),MONTH(A1942),1))</f>
        <v/>
      </c>
      <c r="L1942" s="21" t="str">
        <f aca="false">IF(J1942="",IF(B1942="","",IF(N(C1942)&gt;=0,"Income","Expense")),IFERROR(INDEX(Lists!$B$2:$B$30,MATCH(J1942,Lists!$A$2:$A$30,0)),""))</f>
        <v/>
      </c>
      <c r="M1942" s="24"/>
      <c r="N1942" s="27" t="str">
        <f aca="false">IF(B1942="","",IFERROR(1000-SUMPRODUCT(MAX(ISNUMBER(SEARCH(Rules!$A$5:$A$204,B1942))*(Rules!$A$5:$A$204&lt;&gt;"")*(1000-ROW(Rules!$A$5:$A$204)))),""))</f>
        <v/>
      </c>
    </row>
    <row r="1943" customFormat="false" ht="15" hidden="false" customHeight="false" outlineLevel="0" collapsed="false">
      <c r="A1943" s="23"/>
      <c r="B1943" s="24"/>
      <c r="C1943" s="25"/>
      <c r="D1943" s="24"/>
      <c r="E1943" s="21" t="str">
        <f aca="false">IF(OR(B1943="",N(N1943)=0,N1943=1000),IF(B1943="","","Check"),INDEX(Rules!$B:$B,N1943))</f>
        <v/>
      </c>
      <c r="F1943" s="21" t="str">
        <f aca="false">IF(OR(B1943="",N(N1943)=0,N1943=1000),"",INDEX(Rules!$C:$C,N1943))</f>
        <v/>
      </c>
      <c r="G1943" s="24"/>
      <c r="H1943" s="24"/>
      <c r="I1943" s="20" t="str">
        <f aca="false">IF(B1943="","",IF(G1943&lt;&gt;"",G1943,E1943))</f>
        <v/>
      </c>
      <c r="J1943" s="21" t="str">
        <f aca="false">IF(B1943="","",IF(H1943&lt;&gt;"",H1943,F1943))</f>
        <v/>
      </c>
      <c r="K1943" s="26" t="str">
        <f aca="false">IF(A1943="","",DATE(YEAR(A1943),MONTH(A1943),1))</f>
        <v/>
      </c>
      <c r="L1943" s="21" t="str">
        <f aca="false">IF(J1943="",IF(B1943="","",IF(N(C1943)&gt;=0,"Income","Expense")),IFERROR(INDEX(Lists!$B$2:$B$30,MATCH(J1943,Lists!$A$2:$A$30,0)),""))</f>
        <v/>
      </c>
      <c r="M1943" s="24"/>
      <c r="N1943" s="27" t="str">
        <f aca="false">IF(B1943="","",IFERROR(1000-SUMPRODUCT(MAX(ISNUMBER(SEARCH(Rules!$A$5:$A$204,B1943))*(Rules!$A$5:$A$204&lt;&gt;"")*(1000-ROW(Rules!$A$5:$A$204)))),""))</f>
        <v/>
      </c>
    </row>
    <row r="1944" customFormat="false" ht="15" hidden="false" customHeight="false" outlineLevel="0" collapsed="false">
      <c r="A1944" s="23"/>
      <c r="B1944" s="24"/>
      <c r="C1944" s="25"/>
      <c r="D1944" s="24"/>
      <c r="E1944" s="21" t="str">
        <f aca="false">IF(OR(B1944="",N(N1944)=0,N1944=1000),IF(B1944="","","Check"),INDEX(Rules!$B:$B,N1944))</f>
        <v/>
      </c>
      <c r="F1944" s="21" t="str">
        <f aca="false">IF(OR(B1944="",N(N1944)=0,N1944=1000),"",INDEX(Rules!$C:$C,N1944))</f>
        <v/>
      </c>
      <c r="G1944" s="24"/>
      <c r="H1944" s="24"/>
      <c r="I1944" s="20" t="str">
        <f aca="false">IF(B1944="","",IF(G1944&lt;&gt;"",G1944,E1944))</f>
        <v/>
      </c>
      <c r="J1944" s="21" t="str">
        <f aca="false">IF(B1944="","",IF(H1944&lt;&gt;"",H1944,F1944))</f>
        <v/>
      </c>
      <c r="K1944" s="26" t="str">
        <f aca="false">IF(A1944="","",DATE(YEAR(A1944),MONTH(A1944),1))</f>
        <v/>
      </c>
      <c r="L1944" s="21" t="str">
        <f aca="false">IF(J1944="",IF(B1944="","",IF(N(C1944)&gt;=0,"Income","Expense")),IFERROR(INDEX(Lists!$B$2:$B$30,MATCH(J1944,Lists!$A$2:$A$30,0)),""))</f>
        <v/>
      </c>
      <c r="M1944" s="24"/>
      <c r="N1944" s="27" t="str">
        <f aca="false">IF(B1944="","",IFERROR(1000-SUMPRODUCT(MAX(ISNUMBER(SEARCH(Rules!$A$5:$A$204,B1944))*(Rules!$A$5:$A$204&lt;&gt;"")*(1000-ROW(Rules!$A$5:$A$204)))),""))</f>
        <v/>
      </c>
    </row>
    <row r="1945" customFormat="false" ht="15" hidden="false" customHeight="false" outlineLevel="0" collapsed="false">
      <c r="A1945" s="23"/>
      <c r="B1945" s="24"/>
      <c r="C1945" s="25"/>
      <c r="D1945" s="24"/>
      <c r="E1945" s="21" t="str">
        <f aca="false">IF(OR(B1945="",N(N1945)=0,N1945=1000),IF(B1945="","","Check"),INDEX(Rules!$B:$B,N1945))</f>
        <v/>
      </c>
      <c r="F1945" s="21" t="str">
        <f aca="false">IF(OR(B1945="",N(N1945)=0,N1945=1000),"",INDEX(Rules!$C:$C,N1945))</f>
        <v/>
      </c>
      <c r="G1945" s="24"/>
      <c r="H1945" s="24"/>
      <c r="I1945" s="20" t="str">
        <f aca="false">IF(B1945="","",IF(G1945&lt;&gt;"",G1945,E1945))</f>
        <v/>
      </c>
      <c r="J1945" s="21" t="str">
        <f aca="false">IF(B1945="","",IF(H1945&lt;&gt;"",H1945,F1945))</f>
        <v/>
      </c>
      <c r="K1945" s="26" t="str">
        <f aca="false">IF(A1945="","",DATE(YEAR(A1945),MONTH(A1945),1))</f>
        <v/>
      </c>
      <c r="L1945" s="21" t="str">
        <f aca="false">IF(J1945="",IF(B1945="","",IF(N(C1945)&gt;=0,"Income","Expense")),IFERROR(INDEX(Lists!$B$2:$B$30,MATCH(J1945,Lists!$A$2:$A$30,0)),""))</f>
        <v/>
      </c>
      <c r="M1945" s="24"/>
      <c r="N1945" s="27" t="str">
        <f aca="false">IF(B1945="","",IFERROR(1000-SUMPRODUCT(MAX(ISNUMBER(SEARCH(Rules!$A$5:$A$204,B1945))*(Rules!$A$5:$A$204&lt;&gt;"")*(1000-ROW(Rules!$A$5:$A$204)))),""))</f>
        <v/>
      </c>
    </row>
    <row r="1946" customFormat="false" ht="15" hidden="false" customHeight="false" outlineLevel="0" collapsed="false">
      <c r="A1946" s="23"/>
      <c r="B1946" s="24"/>
      <c r="C1946" s="25"/>
      <c r="D1946" s="24"/>
      <c r="E1946" s="21" t="str">
        <f aca="false">IF(OR(B1946="",N(N1946)=0,N1946=1000),IF(B1946="","","Check"),INDEX(Rules!$B:$B,N1946))</f>
        <v/>
      </c>
      <c r="F1946" s="21" t="str">
        <f aca="false">IF(OR(B1946="",N(N1946)=0,N1946=1000),"",INDEX(Rules!$C:$C,N1946))</f>
        <v/>
      </c>
      <c r="G1946" s="24"/>
      <c r="H1946" s="24"/>
      <c r="I1946" s="20" t="str">
        <f aca="false">IF(B1946="","",IF(G1946&lt;&gt;"",G1946,E1946))</f>
        <v/>
      </c>
      <c r="J1946" s="21" t="str">
        <f aca="false">IF(B1946="","",IF(H1946&lt;&gt;"",H1946,F1946))</f>
        <v/>
      </c>
      <c r="K1946" s="26" t="str">
        <f aca="false">IF(A1946="","",DATE(YEAR(A1946),MONTH(A1946),1))</f>
        <v/>
      </c>
      <c r="L1946" s="21" t="str">
        <f aca="false">IF(J1946="",IF(B1946="","",IF(N(C1946)&gt;=0,"Income","Expense")),IFERROR(INDEX(Lists!$B$2:$B$30,MATCH(J1946,Lists!$A$2:$A$30,0)),""))</f>
        <v/>
      </c>
      <c r="M1946" s="24"/>
      <c r="N1946" s="27" t="str">
        <f aca="false">IF(B1946="","",IFERROR(1000-SUMPRODUCT(MAX(ISNUMBER(SEARCH(Rules!$A$5:$A$204,B1946))*(Rules!$A$5:$A$204&lt;&gt;"")*(1000-ROW(Rules!$A$5:$A$204)))),""))</f>
        <v/>
      </c>
    </row>
    <row r="1947" customFormat="false" ht="15" hidden="false" customHeight="false" outlineLevel="0" collapsed="false">
      <c r="A1947" s="23"/>
      <c r="B1947" s="24"/>
      <c r="C1947" s="25"/>
      <c r="D1947" s="24"/>
      <c r="E1947" s="21" t="str">
        <f aca="false">IF(OR(B1947="",N(N1947)=0,N1947=1000),IF(B1947="","","Check"),INDEX(Rules!$B:$B,N1947))</f>
        <v/>
      </c>
      <c r="F1947" s="21" t="str">
        <f aca="false">IF(OR(B1947="",N(N1947)=0,N1947=1000),"",INDEX(Rules!$C:$C,N1947))</f>
        <v/>
      </c>
      <c r="G1947" s="24"/>
      <c r="H1947" s="24"/>
      <c r="I1947" s="20" t="str">
        <f aca="false">IF(B1947="","",IF(G1947&lt;&gt;"",G1947,E1947))</f>
        <v/>
      </c>
      <c r="J1947" s="21" t="str">
        <f aca="false">IF(B1947="","",IF(H1947&lt;&gt;"",H1947,F1947))</f>
        <v/>
      </c>
      <c r="K1947" s="26" t="str">
        <f aca="false">IF(A1947="","",DATE(YEAR(A1947),MONTH(A1947),1))</f>
        <v/>
      </c>
      <c r="L1947" s="21" t="str">
        <f aca="false">IF(J1947="",IF(B1947="","",IF(N(C1947)&gt;=0,"Income","Expense")),IFERROR(INDEX(Lists!$B$2:$B$30,MATCH(J1947,Lists!$A$2:$A$30,0)),""))</f>
        <v/>
      </c>
      <c r="M1947" s="24"/>
      <c r="N1947" s="27" t="str">
        <f aca="false">IF(B1947="","",IFERROR(1000-SUMPRODUCT(MAX(ISNUMBER(SEARCH(Rules!$A$5:$A$204,B1947))*(Rules!$A$5:$A$204&lt;&gt;"")*(1000-ROW(Rules!$A$5:$A$204)))),""))</f>
        <v/>
      </c>
    </row>
    <row r="1948" customFormat="false" ht="15" hidden="false" customHeight="false" outlineLevel="0" collapsed="false">
      <c r="A1948" s="23"/>
      <c r="B1948" s="24"/>
      <c r="C1948" s="25"/>
      <c r="D1948" s="24"/>
      <c r="E1948" s="21" t="str">
        <f aca="false">IF(OR(B1948="",N(N1948)=0,N1948=1000),IF(B1948="","","Check"),INDEX(Rules!$B:$B,N1948))</f>
        <v/>
      </c>
      <c r="F1948" s="21" t="str">
        <f aca="false">IF(OR(B1948="",N(N1948)=0,N1948=1000),"",INDEX(Rules!$C:$C,N1948))</f>
        <v/>
      </c>
      <c r="G1948" s="24"/>
      <c r="H1948" s="24"/>
      <c r="I1948" s="20" t="str">
        <f aca="false">IF(B1948="","",IF(G1948&lt;&gt;"",G1948,E1948))</f>
        <v/>
      </c>
      <c r="J1948" s="21" t="str">
        <f aca="false">IF(B1948="","",IF(H1948&lt;&gt;"",H1948,F1948))</f>
        <v/>
      </c>
      <c r="K1948" s="26" t="str">
        <f aca="false">IF(A1948="","",DATE(YEAR(A1948),MONTH(A1948),1))</f>
        <v/>
      </c>
      <c r="L1948" s="21" t="str">
        <f aca="false">IF(J1948="",IF(B1948="","",IF(N(C1948)&gt;=0,"Income","Expense")),IFERROR(INDEX(Lists!$B$2:$B$30,MATCH(J1948,Lists!$A$2:$A$30,0)),""))</f>
        <v/>
      </c>
      <c r="M1948" s="24"/>
      <c r="N1948" s="27" t="str">
        <f aca="false">IF(B1948="","",IFERROR(1000-SUMPRODUCT(MAX(ISNUMBER(SEARCH(Rules!$A$5:$A$204,B1948))*(Rules!$A$5:$A$204&lt;&gt;"")*(1000-ROW(Rules!$A$5:$A$204)))),""))</f>
        <v/>
      </c>
    </row>
    <row r="1949" customFormat="false" ht="15" hidden="false" customHeight="false" outlineLevel="0" collapsed="false">
      <c r="A1949" s="23"/>
      <c r="B1949" s="24"/>
      <c r="C1949" s="25"/>
      <c r="D1949" s="24"/>
      <c r="E1949" s="21" t="str">
        <f aca="false">IF(OR(B1949="",N(N1949)=0,N1949=1000),IF(B1949="","","Check"),INDEX(Rules!$B:$B,N1949))</f>
        <v/>
      </c>
      <c r="F1949" s="21" t="str">
        <f aca="false">IF(OR(B1949="",N(N1949)=0,N1949=1000),"",INDEX(Rules!$C:$C,N1949))</f>
        <v/>
      </c>
      <c r="G1949" s="24"/>
      <c r="H1949" s="24"/>
      <c r="I1949" s="20" t="str">
        <f aca="false">IF(B1949="","",IF(G1949&lt;&gt;"",G1949,E1949))</f>
        <v/>
      </c>
      <c r="J1949" s="21" t="str">
        <f aca="false">IF(B1949="","",IF(H1949&lt;&gt;"",H1949,F1949))</f>
        <v/>
      </c>
      <c r="K1949" s="26" t="str">
        <f aca="false">IF(A1949="","",DATE(YEAR(A1949),MONTH(A1949),1))</f>
        <v/>
      </c>
      <c r="L1949" s="21" t="str">
        <f aca="false">IF(J1949="",IF(B1949="","",IF(N(C1949)&gt;=0,"Income","Expense")),IFERROR(INDEX(Lists!$B$2:$B$30,MATCH(J1949,Lists!$A$2:$A$30,0)),""))</f>
        <v/>
      </c>
      <c r="M1949" s="24"/>
      <c r="N1949" s="27" t="str">
        <f aca="false">IF(B1949="","",IFERROR(1000-SUMPRODUCT(MAX(ISNUMBER(SEARCH(Rules!$A$5:$A$204,B1949))*(Rules!$A$5:$A$204&lt;&gt;"")*(1000-ROW(Rules!$A$5:$A$204)))),""))</f>
        <v/>
      </c>
    </row>
    <row r="1950" customFormat="false" ht="15" hidden="false" customHeight="false" outlineLevel="0" collapsed="false">
      <c r="A1950" s="23"/>
      <c r="B1950" s="24"/>
      <c r="C1950" s="25"/>
      <c r="D1950" s="24"/>
      <c r="E1950" s="21" t="str">
        <f aca="false">IF(OR(B1950="",N(N1950)=0,N1950=1000),IF(B1950="","","Check"),INDEX(Rules!$B:$B,N1950))</f>
        <v/>
      </c>
      <c r="F1950" s="21" t="str">
        <f aca="false">IF(OR(B1950="",N(N1950)=0,N1950=1000),"",INDEX(Rules!$C:$C,N1950))</f>
        <v/>
      </c>
      <c r="G1950" s="24"/>
      <c r="H1950" s="24"/>
      <c r="I1950" s="20" t="str">
        <f aca="false">IF(B1950="","",IF(G1950&lt;&gt;"",G1950,E1950))</f>
        <v/>
      </c>
      <c r="J1950" s="21" t="str">
        <f aca="false">IF(B1950="","",IF(H1950&lt;&gt;"",H1950,F1950))</f>
        <v/>
      </c>
      <c r="K1950" s="26" t="str">
        <f aca="false">IF(A1950="","",DATE(YEAR(A1950),MONTH(A1950),1))</f>
        <v/>
      </c>
      <c r="L1950" s="21" t="str">
        <f aca="false">IF(J1950="",IF(B1950="","",IF(N(C1950)&gt;=0,"Income","Expense")),IFERROR(INDEX(Lists!$B$2:$B$30,MATCH(J1950,Lists!$A$2:$A$30,0)),""))</f>
        <v/>
      </c>
      <c r="M1950" s="24"/>
      <c r="N1950" s="27" t="str">
        <f aca="false">IF(B1950="","",IFERROR(1000-SUMPRODUCT(MAX(ISNUMBER(SEARCH(Rules!$A$5:$A$204,B1950))*(Rules!$A$5:$A$204&lt;&gt;"")*(1000-ROW(Rules!$A$5:$A$204)))),""))</f>
        <v/>
      </c>
    </row>
    <row r="1951" customFormat="false" ht="15" hidden="false" customHeight="false" outlineLevel="0" collapsed="false">
      <c r="A1951" s="23"/>
      <c r="B1951" s="24"/>
      <c r="C1951" s="25"/>
      <c r="D1951" s="24"/>
      <c r="E1951" s="21" t="str">
        <f aca="false">IF(OR(B1951="",N(N1951)=0,N1951=1000),IF(B1951="","","Check"),INDEX(Rules!$B:$B,N1951))</f>
        <v/>
      </c>
      <c r="F1951" s="21" t="str">
        <f aca="false">IF(OR(B1951="",N(N1951)=0,N1951=1000),"",INDEX(Rules!$C:$C,N1951))</f>
        <v/>
      </c>
      <c r="G1951" s="24"/>
      <c r="H1951" s="24"/>
      <c r="I1951" s="20" t="str">
        <f aca="false">IF(B1951="","",IF(G1951&lt;&gt;"",G1951,E1951))</f>
        <v/>
      </c>
      <c r="J1951" s="21" t="str">
        <f aca="false">IF(B1951="","",IF(H1951&lt;&gt;"",H1951,F1951))</f>
        <v/>
      </c>
      <c r="K1951" s="26" t="str">
        <f aca="false">IF(A1951="","",DATE(YEAR(A1951),MONTH(A1951),1))</f>
        <v/>
      </c>
      <c r="L1951" s="21" t="str">
        <f aca="false">IF(J1951="",IF(B1951="","",IF(N(C1951)&gt;=0,"Income","Expense")),IFERROR(INDEX(Lists!$B$2:$B$30,MATCH(J1951,Lists!$A$2:$A$30,0)),""))</f>
        <v/>
      </c>
      <c r="M1951" s="24"/>
      <c r="N1951" s="27" t="str">
        <f aca="false">IF(B1951="","",IFERROR(1000-SUMPRODUCT(MAX(ISNUMBER(SEARCH(Rules!$A$5:$A$204,B1951))*(Rules!$A$5:$A$204&lt;&gt;"")*(1000-ROW(Rules!$A$5:$A$204)))),""))</f>
        <v/>
      </c>
    </row>
    <row r="1952" customFormat="false" ht="15" hidden="false" customHeight="false" outlineLevel="0" collapsed="false">
      <c r="A1952" s="23"/>
      <c r="B1952" s="24"/>
      <c r="C1952" s="25"/>
      <c r="D1952" s="24"/>
      <c r="E1952" s="21" t="str">
        <f aca="false">IF(OR(B1952="",N(N1952)=0,N1952=1000),IF(B1952="","","Check"),INDEX(Rules!$B:$B,N1952))</f>
        <v/>
      </c>
      <c r="F1952" s="21" t="str">
        <f aca="false">IF(OR(B1952="",N(N1952)=0,N1952=1000),"",INDEX(Rules!$C:$C,N1952))</f>
        <v/>
      </c>
      <c r="G1952" s="24"/>
      <c r="H1952" s="24"/>
      <c r="I1952" s="20" t="str">
        <f aca="false">IF(B1952="","",IF(G1952&lt;&gt;"",G1952,E1952))</f>
        <v/>
      </c>
      <c r="J1952" s="21" t="str">
        <f aca="false">IF(B1952="","",IF(H1952&lt;&gt;"",H1952,F1952))</f>
        <v/>
      </c>
      <c r="K1952" s="26" t="str">
        <f aca="false">IF(A1952="","",DATE(YEAR(A1952),MONTH(A1952),1))</f>
        <v/>
      </c>
      <c r="L1952" s="21" t="str">
        <f aca="false">IF(J1952="",IF(B1952="","",IF(N(C1952)&gt;=0,"Income","Expense")),IFERROR(INDEX(Lists!$B$2:$B$30,MATCH(J1952,Lists!$A$2:$A$30,0)),""))</f>
        <v/>
      </c>
      <c r="M1952" s="24"/>
      <c r="N1952" s="27" t="str">
        <f aca="false">IF(B1952="","",IFERROR(1000-SUMPRODUCT(MAX(ISNUMBER(SEARCH(Rules!$A$5:$A$204,B1952))*(Rules!$A$5:$A$204&lt;&gt;"")*(1000-ROW(Rules!$A$5:$A$204)))),""))</f>
        <v/>
      </c>
    </row>
    <row r="1953" customFormat="false" ht="15" hidden="false" customHeight="false" outlineLevel="0" collapsed="false">
      <c r="A1953" s="23"/>
      <c r="B1953" s="24"/>
      <c r="C1953" s="25"/>
      <c r="D1953" s="24"/>
      <c r="E1953" s="21" t="str">
        <f aca="false">IF(OR(B1953="",N(N1953)=0,N1953=1000),IF(B1953="","","Check"),INDEX(Rules!$B:$B,N1953))</f>
        <v/>
      </c>
      <c r="F1953" s="21" t="str">
        <f aca="false">IF(OR(B1953="",N(N1953)=0,N1953=1000),"",INDEX(Rules!$C:$C,N1953))</f>
        <v/>
      </c>
      <c r="G1953" s="24"/>
      <c r="H1953" s="24"/>
      <c r="I1953" s="20" t="str">
        <f aca="false">IF(B1953="","",IF(G1953&lt;&gt;"",G1953,E1953))</f>
        <v/>
      </c>
      <c r="J1953" s="21" t="str">
        <f aca="false">IF(B1953="","",IF(H1953&lt;&gt;"",H1953,F1953))</f>
        <v/>
      </c>
      <c r="K1953" s="26" t="str">
        <f aca="false">IF(A1953="","",DATE(YEAR(A1953),MONTH(A1953),1))</f>
        <v/>
      </c>
      <c r="L1953" s="21" t="str">
        <f aca="false">IF(J1953="",IF(B1953="","",IF(N(C1953)&gt;=0,"Income","Expense")),IFERROR(INDEX(Lists!$B$2:$B$30,MATCH(J1953,Lists!$A$2:$A$30,0)),""))</f>
        <v/>
      </c>
      <c r="M1953" s="24"/>
      <c r="N1953" s="27" t="str">
        <f aca="false">IF(B1953="","",IFERROR(1000-SUMPRODUCT(MAX(ISNUMBER(SEARCH(Rules!$A$5:$A$204,B1953))*(Rules!$A$5:$A$204&lt;&gt;"")*(1000-ROW(Rules!$A$5:$A$204)))),""))</f>
        <v/>
      </c>
    </row>
    <row r="1954" customFormat="false" ht="15" hidden="false" customHeight="false" outlineLevel="0" collapsed="false">
      <c r="A1954" s="23"/>
      <c r="B1954" s="24"/>
      <c r="C1954" s="25"/>
      <c r="D1954" s="24"/>
      <c r="E1954" s="21" t="str">
        <f aca="false">IF(OR(B1954="",N(N1954)=0,N1954=1000),IF(B1954="","","Check"),INDEX(Rules!$B:$B,N1954))</f>
        <v/>
      </c>
      <c r="F1954" s="21" t="str">
        <f aca="false">IF(OR(B1954="",N(N1954)=0,N1954=1000),"",INDEX(Rules!$C:$C,N1954))</f>
        <v/>
      </c>
      <c r="G1954" s="24"/>
      <c r="H1954" s="24"/>
      <c r="I1954" s="20" t="str">
        <f aca="false">IF(B1954="","",IF(G1954&lt;&gt;"",G1954,E1954))</f>
        <v/>
      </c>
      <c r="J1954" s="21" t="str">
        <f aca="false">IF(B1954="","",IF(H1954&lt;&gt;"",H1954,F1954))</f>
        <v/>
      </c>
      <c r="K1954" s="26" t="str">
        <f aca="false">IF(A1954="","",DATE(YEAR(A1954),MONTH(A1954),1))</f>
        <v/>
      </c>
      <c r="L1954" s="21" t="str">
        <f aca="false">IF(J1954="",IF(B1954="","",IF(N(C1954)&gt;=0,"Income","Expense")),IFERROR(INDEX(Lists!$B$2:$B$30,MATCH(J1954,Lists!$A$2:$A$30,0)),""))</f>
        <v/>
      </c>
      <c r="M1954" s="24"/>
      <c r="N1954" s="27" t="str">
        <f aca="false">IF(B1954="","",IFERROR(1000-SUMPRODUCT(MAX(ISNUMBER(SEARCH(Rules!$A$5:$A$204,B1954))*(Rules!$A$5:$A$204&lt;&gt;"")*(1000-ROW(Rules!$A$5:$A$204)))),""))</f>
        <v/>
      </c>
    </row>
    <row r="1955" customFormat="false" ht="15" hidden="false" customHeight="false" outlineLevel="0" collapsed="false">
      <c r="A1955" s="23"/>
      <c r="B1955" s="24"/>
      <c r="C1955" s="25"/>
      <c r="D1955" s="24"/>
      <c r="E1955" s="21" t="str">
        <f aca="false">IF(OR(B1955="",N(N1955)=0,N1955=1000),IF(B1955="","","Check"),INDEX(Rules!$B:$B,N1955))</f>
        <v/>
      </c>
      <c r="F1955" s="21" t="str">
        <f aca="false">IF(OR(B1955="",N(N1955)=0,N1955=1000),"",INDEX(Rules!$C:$C,N1955))</f>
        <v/>
      </c>
      <c r="G1955" s="24"/>
      <c r="H1955" s="24"/>
      <c r="I1955" s="20" t="str">
        <f aca="false">IF(B1955="","",IF(G1955&lt;&gt;"",G1955,E1955))</f>
        <v/>
      </c>
      <c r="J1955" s="21" t="str">
        <f aca="false">IF(B1955="","",IF(H1955&lt;&gt;"",H1955,F1955))</f>
        <v/>
      </c>
      <c r="K1955" s="26" t="str">
        <f aca="false">IF(A1955="","",DATE(YEAR(A1955),MONTH(A1955),1))</f>
        <v/>
      </c>
      <c r="L1955" s="21" t="str">
        <f aca="false">IF(J1955="",IF(B1955="","",IF(N(C1955)&gt;=0,"Income","Expense")),IFERROR(INDEX(Lists!$B$2:$B$30,MATCH(J1955,Lists!$A$2:$A$30,0)),""))</f>
        <v/>
      </c>
      <c r="M1955" s="24"/>
      <c r="N1955" s="27" t="str">
        <f aca="false">IF(B1955="","",IFERROR(1000-SUMPRODUCT(MAX(ISNUMBER(SEARCH(Rules!$A$5:$A$204,B1955))*(Rules!$A$5:$A$204&lt;&gt;"")*(1000-ROW(Rules!$A$5:$A$204)))),""))</f>
        <v/>
      </c>
    </row>
    <row r="1956" customFormat="false" ht="15" hidden="false" customHeight="false" outlineLevel="0" collapsed="false">
      <c r="A1956" s="23"/>
      <c r="B1956" s="24"/>
      <c r="C1956" s="25"/>
      <c r="D1956" s="24"/>
      <c r="E1956" s="21" t="str">
        <f aca="false">IF(OR(B1956="",N(N1956)=0,N1956=1000),IF(B1956="","","Check"),INDEX(Rules!$B:$B,N1956))</f>
        <v/>
      </c>
      <c r="F1956" s="21" t="str">
        <f aca="false">IF(OR(B1956="",N(N1956)=0,N1956=1000),"",INDEX(Rules!$C:$C,N1956))</f>
        <v/>
      </c>
      <c r="G1956" s="24"/>
      <c r="H1956" s="24"/>
      <c r="I1956" s="20" t="str">
        <f aca="false">IF(B1956="","",IF(G1956&lt;&gt;"",G1956,E1956))</f>
        <v/>
      </c>
      <c r="J1956" s="21" t="str">
        <f aca="false">IF(B1956="","",IF(H1956&lt;&gt;"",H1956,F1956))</f>
        <v/>
      </c>
      <c r="K1956" s="26" t="str">
        <f aca="false">IF(A1956="","",DATE(YEAR(A1956),MONTH(A1956),1))</f>
        <v/>
      </c>
      <c r="L1956" s="21" t="str">
        <f aca="false">IF(J1956="",IF(B1956="","",IF(N(C1956)&gt;=0,"Income","Expense")),IFERROR(INDEX(Lists!$B$2:$B$30,MATCH(J1956,Lists!$A$2:$A$30,0)),""))</f>
        <v/>
      </c>
      <c r="M1956" s="24"/>
      <c r="N1956" s="27" t="str">
        <f aca="false">IF(B1956="","",IFERROR(1000-SUMPRODUCT(MAX(ISNUMBER(SEARCH(Rules!$A$5:$A$204,B1956))*(Rules!$A$5:$A$204&lt;&gt;"")*(1000-ROW(Rules!$A$5:$A$204)))),""))</f>
        <v/>
      </c>
    </row>
    <row r="1957" customFormat="false" ht="15" hidden="false" customHeight="false" outlineLevel="0" collapsed="false">
      <c r="A1957" s="23"/>
      <c r="B1957" s="24"/>
      <c r="C1957" s="25"/>
      <c r="D1957" s="24"/>
      <c r="E1957" s="21" t="str">
        <f aca="false">IF(OR(B1957="",N(N1957)=0,N1957=1000),IF(B1957="","","Check"),INDEX(Rules!$B:$B,N1957))</f>
        <v/>
      </c>
      <c r="F1957" s="21" t="str">
        <f aca="false">IF(OR(B1957="",N(N1957)=0,N1957=1000),"",INDEX(Rules!$C:$C,N1957))</f>
        <v/>
      </c>
      <c r="G1957" s="24"/>
      <c r="H1957" s="24"/>
      <c r="I1957" s="20" t="str">
        <f aca="false">IF(B1957="","",IF(G1957&lt;&gt;"",G1957,E1957))</f>
        <v/>
      </c>
      <c r="J1957" s="21" t="str">
        <f aca="false">IF(B1957="","",IF(H1957&lt;&gt;"",H1957,F1957))</f>
        <v/>
      </c>
      <c r="K1957" s="26" t="str">
        <f aca="false">IF(A1957="","",DATE(YEAR(A1957),MONTH(A1957),1))</f>
        <v/>
      </c>
      <c r="L1957" s="21" t="str">
        <f aca="false">IF(J1957="",IF(B1957="","",IF(N(C1957)&gt;=0,"Income","Expense")),IFERROR(INDEX(Lists!$B$2:$B$30,MATCH(J1957,Lists!$A$2:$A$30,0)),""))</f>
        <v/>
      </c>
      <c r="M1957" s="24"/>
      <c r="N1957" s="27" t="str">
        <f aca="false">IF(B1957="","",IFERROR(1000-SUMPRODUCT(MAX(ISNUMBER(SEARCH(Rules!$A$5:$A$204,B1957))*(Rules!$A$5:$A$204&lt;&gt;"")*(1000-ROW(Rules!$A$5:$A$204)))),""))</f>
        <v/>
      </c>
    </row>
    <row r="1958" customFormat="false" ht="15" hidden="false" customHeight="false" outlineLevel="0" collapsed="false">
      <c r="A1958" s="23"/>
      <c r="B1958" s="24"/>
      <c r="C1958" s="25"/>
      <c r="D1958" s="24"/>
      <c r="E1958" s="21" t="str">
        <f aca="false">IF(OR(B1958="",N(N1958)=0,N1958=1000),IF(B1958="","","Check"),INDEX(Rules!$B:$B,N1958))</f>
        <v/>
      </c>
      <c r="F1958" s="21" t="str">
        <f aca="false">IF(OR(B1958="",N(N1958)=0,N1958=1000),"",INDEX(Rules!$C:$C,N1958))</f>
        <v/>
      </c>
      <c r="G1958" s="24"/>
      <c r="H1958" s="24"/>
      <c r="I1958" s="20" t="str">
        <f aca="false">IF(B1958="","",IF(G1958&lt;&gt;"",G1958,E1958))</f>
        <v/>
      </c>
      <c r="J1958" s="21" t="str">
        <f aca="false">IF(B1958="","",IF(H1958&lt;&gt;"",H1958,F1958))</f>
        <v/>
      </c>
      <c r="K1958" s="26" t="str">
        <f aca="false">IF(A1958="","",DATE(YEAR(A1958),MONTH(A1958),1))</f>
        <v/>
      </c>
      <c r="L1958" s="21" t="str">
        <f aca="false">IF(J1958="",IF(B1958="","",IF(N(C1958)&gt;=0,"Income","Expense")),IFERROR(INDEX(Lists!$B$2:$B$30,MATCH(J1958,Lists!$A$2:$A$30,0)),""))</f>
        <v/>
      </c>
      <c r="M1958" s="24"/>
      <c r="N1958" s="27" t="str">
        <f aca="false">IF(B1958="","",IFERROR(1000-SUMPRODUCT(MAX(ISNUMBER(SEARCH(Rules!$A$5:$A$204,B1958))*(Rules!$A$5:$A$204&lt;&gt;"")*(1000-ROW(Rules!$A$5:$A$204)))),""))</f>
        <v/>
      </c>
    </row>
    <row r="1959" customFormat="false" ht="15" hidden="false" customHeight="false" outlineLevel="0" collapsed="false">
      <c r="A1959" s="23"/>
      <c r="B1959" s="24"/>
      <c r="C1959" s="25"/>
      <c r="D1959" s="24"/>
      <c r="E1959" s="21" t="str">
        <f aca="false">IF(OR(B1959="",N(N1959)=0,N1959=1000),IF(B1959="","","Check"),INDEX(Rules!$B:$B,N1959))</f>
        <v/>
      </c>
      <c r="F1959" s="21" t="str">
        <f aca="false">IF(OR(B1959="",N(N1959)=0,N1959=1000),"",INDEX(Rules!$C:$C,N1959))</f>
        <v/>
      </c>
      <c r="G1959" s="24"/>
      <c r="H1959" s="24"/>
      <c r="I1959" s="20" t="str">
        <f aca="false">IF(B1959="","",IF(G1959&lt;&gt;"",G1959,E1959))</f>
        <v/>
      </c>
      <c r="J1959" s="21" t="str">
        <f aca="false">IF(B1959="","",IF(H1959&lt;&gt;"",H1959,F1959))</f>
        <v/>
      </c>
      <c r="K1959" s="26" t="str">
        <f aca="false">IF(A1959="","",DATE(YEAR(A1959),MONTH(A1959),1))</f>
        <v/>
      </c>
      <c r="L1959" s="21" t="str">
        <f aca="false">IF(J1959="",IF(B1959="","",IF(N(C1959)&gt;=0,"Income","Expense")),IFERROR(INDEX(Lists!$B$2:$B$30,MATCH(J1959,Lists!$A$2:$A$30,0)),""))</f>
        <v/>
      </c>
      <c r="M1959" s="24"/>
      <c r="N1959" s="27" t="str">
        <f aca="false">IF(B1959="","",IFERROR(1000-SUMPRODUCT(MAX(ISNUMBER(SEARCH(Rules!$A$5:$A$204,B1959))*(Rules!$A$5:$A$204&lt;&gt;"")*(1000-ROW(Rules!$A$5:$A$204)))),""))</f>
        <v/>
      </c>
    </row>
    <row r="1960" customFormat="false" ht="15" hidden="false" customHeight="false" outlineLevel="0" collapsed="false">
      <c r="A1960" s="23"/>
      <c r="B1960" s="24"/>
      <c r="C1960" s="25"/>
      <c r="D1960" s="24"/>
      <c r="E1960" s="21" t="str">
        <f aca="false">IF(OR(B1960="",N(N1960)=0,N1960=1000),IF(B1960="","","Check"),INDEX(Rules!$B:$B,N1960))</f>
        <v/>
      </c>
      <c r="F1960" s="21" t="str">
        <f aca="false">IF(OR(B1960="",N(N1960)=0,N1960=1000),"",INDEX(Rules!$C:$C,N1960))</f>
        <v/>
      </c>
      <c r="G1960" s="24"/>
      <c r="H1960" s="24"/>
      <c r="I1960" s="20" t="str">
        <f aca="false">IF(B1960="","",IF(G1960&lt;&gt;"",G1960,E1960))</f>
        <v/>
      </c>
      <c r="J1960" s="21" t="str">
        <f aca="false">IF(B1960="","",IF(H1960&lt;&gt;"",H1960,F1960))</f>
        <v/>
      </c>
      <c r="K1960" s="26" t="str">
        <f aca="false">IF(A1960="","",DATE(YEAR(A1960),MONTH(A1960),1))</f>
        <v/>
      </c>
      <c r="L1960" s="21" t="str">
        <f aca="false">IF(J1960="",IF(B1960="","",IF(N(C1960)&gt;=0,"Income","Expense")),IFERROR(INDEX(Lists!$B$2:$B$30,MATCH(J1960,Lists!$A$2:$A$30,0)),""))</f>
        <v/>
      </c>
      <c r="M1960" s="24"/>
      <c r="N1960" s="27" t="str">
        <f aca="false">IF(B1960="","",IFERROR(1000-SUMPRODUCT(MAX(ISNUMBER(SEARCH(Rules!$A$5:$A$204,B1960))*(Rules!$A$5:$A$204&lt;&gt;"")*(1000-ROW(Rules!$A$5:$A$204)))),""))</f>
        <v/>
      </c>
    </row>
    <row r="1961" customFormat="false" ht="15" hidden="false" customHeight="false" outlineLevel="0" collapsed="false">
      <c r="A1961" s="23"/>
      <c r="B1961" s="24"/>
      <c r="C1961" s="25"/>
      <c r="D1961" s="24"/>
      <c r="E1961" s="21" t="str">
        <f aca="false">IF(OR(B1961="",N(N1961)=0,N1961=1000),IF(B1961="","","Check"),INDEX(Rules!$B:$B,N1961))</f>
        <v/>
      </c>
      <c r="F1961" s="21" t="str">
        <f aca="false">IF(OR(B1961="",N(N1961)=0,N1961=1000),"",INDEX(Rules!$C:$C,N1961))</f>
        <v/>
      </c>
      <c r="G1961" s="24"/>
      <c r="H1961" s="24"/>
      <c r="I1961" s="20" t="str">
        <f aca="false">IF(B1961="","",IF(G1961&lt;&gt;"",G1961,E1961))</f>
        <v/>
      </c>
      <c r="J1961" s="21" t="str">
        <f aca="false">IF(B1961="","",IF(H1961&lt;&gt;"",H1961,F1961))</f>
        <v/>
      </c>
      <c r="K1961" s="26" t="str">
        <f aca="false">IF(A1961="","",DATE(YEAR(A1961),MONTH(A1961),1))</f>
        <v/>
      </c>
      <c r="L1961" s="21" t="str">
        <f aca="false">IF(J1961="",IF(B1961="","",IF(N(C1961)&gt;=0,"Income","Expense")),IFERROR(INDEX(Lists!$B$2:$B$30,MATCH(J1961,Lists!$A$2:$A$30,0)),""))</f>
        <v/>
      </c>
      <c r="M1961" s="24"/>
      <c r="N1961" s="27" t="str">
        <f aca="false">IF(B1961="","",IFERROR(1000-SUMPRODUCT(MAX(ISNUMBER(SEARCH(Rules!$A$5:$A$204,B1961))*(Rules!$A$5:$A$204&lt;&gt;"")*(1000-ROW(Rules!$A$5:$A$204)))),""))</f>
        <v/>
      </c>
    </row>
    <row r="1962" customFormat="false" ht="15" hidden="false" customHeight="false" outlineLevel="0" collapsed="false">
      <c r="A1962" s="23"/>
      <c r="B1962" s="24"/>
      <c r="C1962" s="25"/>
      <c r="D1962" s="24"/>
      <c r="E1962" s="21" t="str">
        <f aca="false">IF(OR(B1962="",N(N1962)=0,N1962=1000),IF(B1962="","","Check"),INDEX(Rules!$B:$B,N1962))</f>
        <v/>
      </c>
      <c r="F1962" s="21" t="str">
        <f aca="false">IF(OR(B1962="",N(N1962)=0,N1962=1000),"",INDEX(Rules!$C:$C,N1962))</f>
        <v/>
      </c>
      <c r="G1962" s="24"/>
      <c r="H1962" s="24"/>
      <c r="I1962" s="20" t="str">
        <f aca="false">IF(B1962="","",IF(G1962&lt;&gt;"",G1962,E1962))</f>
        <v/>
      </c>
      <c r="J1962" s="21" t="str">
        <f aca="false">IF(B1962="","",IF(H1962&lt;&gt;"",H1962,F1962))</f>
        <v/>
      </c>
      <c r="K1962" s="26" t="str">
        <f aca="false">IF(A1962="","",DATE(YEAR(A1962),MONTH(A1962),1))</f>
        <v/>
      </c>
      <c r="L1962" s="21" t="str">
        <f aca="false">IF(J1962="",IF(B1962="","",IF(N(C1962)&gt;=0,"Income","Expense")),IFERROR(INDEX(Lists!$B$2:$B$30,MATCH(J1962,Lists!$A$2:$A$30,0)),""))</f>
        <v/>
      </c>
      <c r="M1962" s="24"/>
      <c r="N1962" s="27" t="str">
        <f aca="false">IF(B1962="","",IFERROR(1000-SUMPRODUCT(MAX(ISNUMBER(SEARCH(Rules!$A$5:$A$204,B1962))*(Rules!$A$5:$A$204&lt;&gt;"")*(1000-ROW(Rules!$A$5:$A$204)))),""))</f>
        <v/>
      </c>
    </row>
    <row r="1963" customFormat="false" ht="15" hidden="false" customHeight="false" outlineLevel="0" collapsed="false">
      <c r="A1963" s="23"/>
      <c r="B1963" s="24"/>
      <c r="C1963" s="25"/>
      <c r="D1963" s="24"/>
      <c r="E1963" s="21" t="str">
        <f aca="false">IF(OR(B1963="",N(N1963)=0,N1963=1000),IF(B1963="","","Check"),INDEX(Rules!$B:$B,N1963))</f>
        <v/>
      </c>
      <c r="F1963" s="21" t="str">
        <f aca="false">IF(OR(B1963="",N(N1963)=0,N1963=1000),"",INDEX(Rules!$C:$C,N1963))</f>
        <v/>
      </c>
      <c r="G1963" s="24"/>
      <c r="H1963" s="24"/>
      <c r="I1963" s="20" t="str">
        <f aca="false">IF(B1963="","",IF(G1963&lt;&gt;"",G1963,E1963))</f>
        <v/>
      </c>
      <c r="J1963" s="21" t="str">
        <f aca="false">IF(B1963="","",IF(H1963&lt;&gt;"",H1963,F1963))</f>
        <v/>
      </c>
      <c r="K1963" s="26" t="str">
        <f aca="false">IF(A1963="","",DATE(YEAR(A1963),MONTH(A1963),1))</f>
        <v/>
      </c>
      <c r="L1963" s="21" t="str">
        <f aca="false">IF(J1963="",IF(B1963="","",IF(N(C1963)&gt;=0,"Income","Expense")),IFERROR(INDEX(Lists!$B$2:$B$30,MATCH(J1963,Lists!$A$2:$A$30,0)),""))</f>
        <v/>
      </c>
      <c r="M1963" s="24"/>
      <c r="N1963" s="27" t="str">
        <f aca="false">IF(B1963="","",IFERROR(1000-SUMPRODUCT(MAX(ISNUMBER(SEARCH(Rules!$A$5:$A$204,B1963))*(Rules!$A$5:$A$204&lt;&gt;"")*(1000-ROW(Rules!$A$5:$A$204)))),""))</f>
        <v/>
      </c>
    </row>
    <row r="1964" customFormat="false" ht="15" hidden="false" customHeight="false" outlineLevel="0" collapsed="false">
      <c r="A1964" s="23"/>
      <c r="B1964" s="24"/>
      <c r="C1964" s="25"/>
      <c r="D1964" s="24"/>
      <c r="E1964" s="21" t="str">
        <f aca="false">IF(OR(B1964="",N(N1964)=0,N1964=1000),IF(B1964="","","Check"),INDEX(Rules!$B:$B,N1964))</f>
        <v/>
      </c>
      <c r="F1964" s="21" t="str">
        <f aca="false">IF(OR(B1964="",N(N1964)=0,N1964=1000),"",INDEX(Rules!$C:$C,N1964))</f>
        <v/>
      </c>
      <c r="G1964" s="24"/>
      <c r="H1964" s="24"/>
      <c r="I1964" s="20" t="str">
        <f aca="false">IF(B1964="","",IF(G1964&lt;&gt;"",G1964,E1964))</f>
        <v/>
      </c>
      <c r="J1964" s="21" t="str">
        <f aca="false">IF(B1964="","",IF(H1964&lt;&gt;"",H1964,F1964))</f>
        <v/>
      </c>
      <c r="K1964" s="26" t="str">
        <f aca="false">IF(A1964="","",DATE(YEAR(A1964),MONTH(A1964),1))</f>
        <v/>
      </c>
      <c r="L1964" s="21" t="str">
        <f aca="false">IF(J1964="",IF(B1964="","",IF(N(C1964)&gt;=0,"Income","Expense")),IFERROR(INDEX(Lists!$B$2:$B$30,MATCH(J1964,Lists!$A$2:$A$30,0)),""))</f>
        <v/>
      </c>
      <c r="M1964" s="24"/>
      <c r="N1964" s="27" t="str">
        <f aca="false">IF(B1964="","",IFERROR(1000-SUMPRODUCT(MAX(ISNUMBER(SEARCH(Rules!$A$5:$A$204,B1964))*(Rules!$A$5:$A$204&lt;&gt;"")*(1000-ROW(Rules!$A$5:$A$204)))),""))</f>
        <v/>
      </c>
    </row>
    <row r="1965" customFormat="false" ht="15" hidden="false" customHeight="false" outlineLevel="0" collapsed="false">
      <c r="A1965" s="23"/>
      <c r="B1965" s="24"/>
      <c r="C1965" s="25"/>
      <c r="D1965" s="24"/>
      <c r="E1965" s="21" t="str">
        <f aca="false">IF(OR(B1965="",N(N1965)=0,N1965=1000),IF(B1965="","","Check"),INDEX(Rules!$B:$B,N1965))</f>
        <v/>
      </c>
      <c r="F1965" s="21" t="str">
        <f aca="false">IF(OR(B1965="",N(N1965)=0,N1965=1000),"",INDEX(Rules!$C:$C,N1965))</f>
        <v/>
      </c>
      <c r="G1965" s="24"/>
      <c r="H1965" s="24"/>
      <c r="I1965" s="20" t="str">
        <f aca="false">IF(B1965="","",IF(G1965&lt;&gt;"",G1965,E1965))</f>
        <v/>
      </c>
      <c r="J1965" s="21" t="str">
        <f aca="false">IF(B1965="","",IF(H1965&lt;&gt;"",H1965,F1965))</f>
        <v/>
      </c>
      <c r="K1965" s="26" t="str">
        <f aca="false">IF(A1965="","",DATE(YEAR(A1965),MONTH(A1965),1))</f>
        <v/>
      </c>
      <c r="L1965" s="21" t="str">
        <f aca="false">IF(J1965="",IF(B1965="","",IF(N(C1965)&gt;=0,"Income","Expense")),IFERROR(INDEX(Lists!$B$2:$B$30,MATCH(J1965,Lists!$A$2:$A$30,0)),""))</f>
        <v/>
      </c>
      <c r="M1965" s="24"/>
      <c r="N1965" s="27" t="str">
        <f aca="false">IF(B1965="","",IFERROR(1000-SUMPRODUCT(MAX(ISNUMBER(SEARCH(Rules!$A$5:$A$204,B1965))*(Rules!$A$5:$A$204&lt;&gt;"")*(1000-ROW(Rules!$A$5:$A$204)))),""))</f>
        <v/>
      </c>
    </row>
    <row r="1966" customFormat="false" ht="15" hidden="false" customHeight="false" outlineLevel="0" collapsed="false">
      <c r="A1966" s="23"/>
      <c r="B1966" s="24"/>
      <c r="C1966" s="25"/>
      <c r="D1966" s="24"/>
      <c r="E1966" s="21" t="str">
        <f aca="false">IF(OR(B1966="",N(N1966)=0,N1966=1000),IF(B1966="","","Check"),INDEX(Rules!$B:$B,N1966))</f>
        <v/>
      </c>
      <c r="F1966" s="21" t="str">
        <f aca="false">IF(OR(B1966="",N(N1966)=0,N1966=1000),"",INDEX(Rules!$C:$C,N1966))</f>
        <v/>
      </c>
      <c r="G1966" s="24"/>
      <c r="H1966" s="24"/>
      <c r="I1966" s="20" t="str">
        <f aca="false">IF(B1966="","",IF(G1966&lt;&gt;"",G1966,E1966))</f>
        <v/>
      </c>
      <c r="J1966" s="21" t="str">
        <f aca="false">IF(B1966="","",IF(H1966&lt;&gt;"",H1966,F1966))</f>
        <v/>
      </c>
      <c r="K1966" s="26" t="str">
        <f aca="false">IF(A1966="","",DATE(YEAR(A1966),MONTH(A1966),1))</f>
        <v/>
      </c>
      <c r="L1966" s="21" t="str">
        <f aca="false">IF(J1966="",IF(B1966="","",IF(N(C1966)&gt;=0,"Income","Expense")),IFERROR(INDEX(Lists!$B$2:$B$30,MATCH(J1966,Lists!$A$2:$A$30,0)),""))</f>
        <v/>
      </c>
      <c r="M1966" s="24"/>
      <c r="N1966" s="27" t="str">
        <f aca="false">IF(B1966="","",IFERROR(1000-SUMPRODUCT(MAX(ISNUMBER(SEARCH(Rules!$A$5:$A$204,B1966))*(Rules!$A$5:$A$204&lt;&gt;"")*(1000-ROW(Rules!$A$5:$A$204)))),""))</f>
        <v/>
      </c>
    </row>
    <row r="1967" customFormat="false" ht="15" hidden="false" customHeight="false" outlineLevel="0" collapsed="false">
      <c r="A1967" s="23"/>
      <c r="B1967" s="24"/>
      <c r="C1967" s="25"/>
      <c r="D1967" s="24"/>
      <c r="E1967" s="21" t="str">
        <f aca="false">IF(OR(B1967="",N(N1967)=0,N1967=1000),IF(B1967="","","Check"),INDEX(Rules!$B:$B,N1967))</f>
        <v/>
      </c>
      <c r="F1967" s="21" t="str">
        <f aca="false">IF(OR(B1967="",N(N1967)=0,N1967=1000),"",INDEX(Rules!$C:$C,N1967))</f>
        <v/>
      </c>
      <c r="G1967" s="24"/>
      <c r="H1967" s="24"/>
      <c r="I1967" s="20" t="str">
        <f aca="false">IF(B1967="","",IF(G1967&lt;&gt;"",G1967,E1967))</f>
        <v/>
      </c>
      <c r="J1967" s="21" t="str">
        <f aca="false">IF(B1967="","",IF(H1967&lt;&gt;"",H1967,F1967))</f>
        <v/>
      </c>
      <c r="K1967" s="26" t="str">
        <f aca="false">IF(A1967="","",DATE(YEAR(A1967),MONTH(A1967),1))</f>
        <v/>
      </c>
      <c r="L1967" s="21" t="str">
        <f aca="false">IF(J1967="",IF(B1967="","",IF(N(C1967)&gt;=0,"Income","Expense")),IFERROR(INDEX(Lists!$B$2:$B$30,MATCH(J1967,Lists!$A$2:$A$30,0)),""))</f>
        <v/>
      </c>
      <c r="M1967" s="24"/>
      <c r="N1967" s="27" t="str">
        <f aca="false">IF(B1967="","",IFERROR(1000-SUMPRODUCT(MAX(ISNUMBER(SEARCH(Rules!$A$5:$A$204,B1967))*(Rules!$A$5:$A$204&lt;&gt;"")*(1000-ROW(Rules!$A$5:$A$204)))),""))</f>
        <v/>
      </c>
    </row>
    <row r="1968" customFormat="false" ht="15" hidden="false" customHeight="false" outlineLevel="0" collapsed="false">
      <c r="A1968" s="23"/>
      <c r="B1968" s="24"/>
      <c r="C1968" s="25"/>
      <c r="D1968" s="24"/>
      <c r="E1968" s="21" t="str">
        <f aca="false">IF(OR(B1968="",N(N1968)=0,N1968=1000),IF(B1968="","","Check"),INDEX(Rules!$B:$B,N1968))</f>
        <v/>
      </c>
      <c r="F1968" s="21" t="str">
        <f aca="false">IF(OR(B1968="",N(N1968)=0,N1968=1000),"",INDEX(Rules!$C:$C,N1968))</f>
        <v/>
      </c>
      <c r="G1968" s="24"/>
      <c r="H1968" s="24"/>
      <c r="I1968" s="20" t="str">
        <f aca="false">IF(B1968="","",IF(G1968&lt;&gt;"",G1968,E1968))</f>
        <v/>
      </c>
      <c r="J1968" s="21" t="str">
        <f aca="false">IF(B1968="","",IF(H1968&lt;&gt;"",H1968,F1968))</f>
        <v/>
      </c>
      <c r="K1968" s="26" t="str">
        <f aca="false">IF(A1968="","",DATE(YEAR(A1968),MONTH(A1968),1))</f>
        <v/>
      </c>
      <c r="L1968" s="21" t="str">
        <f aca="false">IF(J1968="",IF(B1968="","",IF(N(C1968)&gt;=0,"Income","Expense")),IFERROR(INDEX(Lists!$B$2:$B$30,MATCH(J1968,Lists!$A$2:$A$30,0)),""))</f>
        <v/>
      </c>
      <c r="M1968" s="24"/>
      <c r="N1968" s="27" t="str">
        <f aca="false">IF(B1968="","",IFERROR(1000-SUMPRODUCT(MAX(ISNUMBER(SEARCH(Rules!$A$5:$A$204,B1968))*(Rules!$A$5:$A$204&lt;&gt;"")*(1000-ROW(Rules!$A$5:$A$204)))),""))</f>
        <v/>
      </c>
    </row>
    <row r="1969" customFormat="false" ht="15" hidden="false" customHeight="false" outlineLevel="0" collapsed="false">
      <c r="A1969" s="23"/>
      <c r="B1969" s="24"/>
      <c r="C1969" s="25"/>
      <c r="D1969" s="24"/>
      <c r="E1969" s="21" t="str">
        <f aca="false">IF(OR(B1969="",N(N1969)=0,N1969=1000),IF(B1969="","","Check"),INDEX(Rules!$B:$B,N1969))</f>
        <v/>
      </c>
      <c r="F1969" s="21" t="str">
        <f aca="false">IF(OR(B1969="",N(N1969)=0,N1969=1000),"",INDEX(Rules!$C:$C,N1969))</f>
        <v/>
      </c>
      <c r="G1969" s="24"/>
      <c r="H1969" s="24"/>
      <c r="I1969" s="20" t="str">
        <f aca="false">IF(B1969="","",IF(G1969&lt;&gt;"",G1969,E1969))</f>
        <v/>
      </c>
      <c r="J1969" s="21" t="str">
        <f aca="false">IF(B1969="","",IF(H1969&lt;&gt;"",H1969,F1969))</f>
        <v/>
      </c>
      <c r="K1969" s="26" t="str">
        <f aca="false">IF(A1969="","",DATE(YEAR(A1969),MONTH(A1969),1))</f>
        <v/>
      </c>
      <c r="L1969" s="21" t="str">
        <f aca="false">IF(J1969="",IF(B1969="","",IF(N(C1969)&gt;=0,"Income","Expense")),IFERROR(INDEX(Lists!$B$2:$B$30,MATCH(J1969,Lists!$A$2:$A$30,0)),""))</f>
        <v/>
      </c>
      <c r="M1969" s="24"/>
      <c r="N1969" s="27" t="str">
        <f aca="false">IF(B1969="","",IFERROR(1000-SUMPRODUCT(MAX(ISNUMBER(SEARCH(Rules!$A$5:$A$204,B1969))*(Rules!$A$5:$A$204&lt;&gt;"")*(1000-ROW(Rules!$A$5:$A$204)))),""))</f>
        <v/>
      </c>
    </row>
    <row r="1970" customFormat="false" ht="15" hidden="false" customHeight="false" outlineLevel="0" collapsed="false">
      <c r="A1970" s="23"/>
      <c r="B1970" s="24"/>
      <c r="C1970" s="25"/>
      <c r="D1970" s="24"/>
      <c r="E1970" s="21" t="str">
        <f aca="false">IF(OR(B1970="",N(N1970)=0,N1970=1000),IF(B1970="","","Check"),INDEX(Rules!$B:$B,N1970))</f>
        <v/>
      </c>
      <c r="F1970" s="21" t="str">
        <f aca="false">IF(OR(B1970="",N(N1970)=0,N1970=1000),"",INDEX(Rules!$C:$C,N1970))</f>
        <v/>
      </c>
      <c r="G1970" s="24"/>
      <c r="H1970" s="24"/>
      <c r="I1970" s="20" t="str">
        <f aca="false">IF(B1970="","",IF(G1970&lt;&gt;"",G1970,E1970))</f>
        <v/>
      </c>
      <c r="J1970" s="21" t="str">
        <f aca="false">IF(B1970="","",IF(H1970&lt;&gt;"",H1970,F1970))</f>
        <v/>
      </c>
      <c r="K1970" s="26" t="str">
        <f aca="false">IF(A1970="","",DATE(YEAR(A1970),MONTH(A1970),1))</f>
        <v/>
      </c>
      <c r="L1970" s="21" t="str">
        <f aca="false">IF(J1970="",IF(B1970="","",IF(N(C1970)&gt;=0,"Income","Expense")),IFERROR(INDEX(Lists!$B$2:$B$30,MATCH(J1970,Lists!$A$2:$A$30,0)),""))</f>
        <v/>
      </c>
      <c r="M1970" s="24"/>
      <c r="N1970" s="27" t="str">
        <f aca="false">IF(B1970="","",IFERROR(1000-SUMPRODUCT(MAX(ISNUMBER(SEARCH(Rules!$A$5:$A$204,B1970))*(Rules!$A$5:$A$204&lt;&gt;"")*(1000-ROW(Rules!$A$5:$A$204)))),""))</f>
        <v/>
      </c>
    </row>
    <row r="1971" customFormat="false" ht="15" hidden="false" customHeight="false" outlineLevel="0" collapsed="false">
      <c r="A1971" s="23"/>
      <c r="B1971" s="24"/>
      <c r="C1971" s="25"/>
      <c r="D1971" s="24"/>
      <c r="E1971" s="21" t="str">
        <f aca="false">IF(OR(B1971="",N(N1971)=0,N1971=1000),IF(B1971="","","Check"),INDEX(Rules!$B:$B,N1971))</f>
        <v/>
      </c>
      <c r="F1971" s="21" t="str">
        <f aca="false">IF(OR(B1971="",N(N1971)=0,N1971=1000),"",INDEX(Rules!$C:$C,N1971))</f>
        <v/>
      </c>
      <c r="G1971" s="24"/>
      <c r="H1971" s="24"/>
      <c r="I1971" s="20" t="str">
        <f aca="false">IF(B1971="","",IF(G1971&lt;&gt;"",G1971,E1971))</f>
        <v/>
      </c>
      <c r="J1971" s="21" t="str">
        <f aca="false">IF(B1971="","",IF(H1971&lt;&gt;"",H1971,F1971))</f>
        <v/>
      </c>
      <c r="K1971" s="26" t="str">
        <f aca="false">IF(A1971="","",DATE(YEAR(A1971),MONTH(A1971),1))</f>
        <v/>
      </c>
      <c r="L1971" s="21" t="str">
        <f aca="false">IF(J1971="",IF(B1971="","",IF(N(C1971)&gt;=0,"Income","Expense")),IFERROR(INDEX(Lists!$B$2:$B$30,MATCH(J1971,Lists!$A$2:$A$30,0)),""))</f>
        <v/>
      </c>
      <c r="M1971" s="24"/>
      <c r="N1971" s="27" t="str">
        <f aca="false">IF(B1971="","",IFERROR(1000-SUMPRODUCT(MAX(ISNUMBER(SEARCH(Rules!$A$5:$A$204,B1971))*(Rules!$A$5:$A$204&lt;&gt;"")*(1000-ROW(Rules!$A$5:$A$204)))),""))</f>
        <v/>
      </c>
    </row>
    <row r="1972" customFormat="false" ht="15" hidden="false" customHeight="false" outlineLevel="0" collapsed="false">
      <c r="A1972" s="23"/>
      <c r="B1972" s="24"/>
      <c r="C1972" s="25"/>
      <c r="D1972" s="24"/>
      <c r="E1972" s="21" t="str">
        <f aca="false">IF(OR(B1972="",N(N1972)=0,N1972=1000),IF(B1972="","","Check"),INDEX(Rules!$B:$B,N1972))</f>
        <v/>
      </c>
      <c r="F1972" s="21" t="str">
        <f aca="false">IF(OR(B1972="",N(N1972)=0,N1972=1000),"",INDEX(Rules!$C:$C,N1972))</f>
        <v/>
      </c>
      <c r="G1972" s="24"/>
      <c r="H1972" s="24"/>
      <c r="I1972" s="20" t="str">
        <f aca="false">IF(B1972="","",IF(G1972&lt;&gt;"",G1972,E1972))</f>
        <v/>
      </c>
      <c r="J1972" s="21" t="str">
        <f aca="false">IF(B1972="","",IF(H1972&lt;&gt;"",H1972,F1972))</f>
        <v/>
      </c>
      <c r="K1972" s="26" t="str">
        <f aca="false">IF(A1972="","",DATE(YEAR(A1972),MONTH(A1972),1))</f>
        <v/>
      </c>
      <c r="L1972" s="21" t="str">
        <f aca="false">IF(J1972="",IF(B1972="","",IF(N(C1972)&gt;=0,"Income","Expense")),IFERROR(INDEX(Lists!$B$2:$B$30,MATCH(J1972,Lists!$A$2:$A$30,0)),""))</f>
        <v/>
      </c>
      <c r="M1972" s="24"/>
      <c r="N1972" s="27" t="str">
        <f aca="false">IF(B1972="","",IFERROR(1000-SUMPRODUCT(MAX(ISNUMBER(SEARCH(Rules!$A$5:$A$204,B1972))*(Rules!$A$5:$A$204&lt;&gt;"")*(1000-ROW(Rules!$A$5:$A$204)))),""))</f>
        <v/>
      </c>
    </row>
    <row r="1973" customFormat="false" ht="15" hidden="false" customHeight="false" outlineLevel="0" collapsed="false">
      <c r="A1973" s="23"/>
      <c r="B1973" s="24"/>
      <c r="C1973" s="25"/>
      <c r="D1973" s="24"/>
      <c r="E1973" s="21" t="str">
        <f aca="false">IF(OR(B1973="",N(N1973)=0,N1973=1000),IF(B1973="","","Check"),INDEX(Rules!$B:$B,N1973))</f>
        <v/>
      </c>
      <c r="F1973" s="21" t="str">
        <f aca="false">IF(OR(B1973="",N(N1973)=0,N1973=1000),"",INDEX(Rules!$C:$C,N1973))</f>
        <v/>
      </c>
      <c r="G1973" s="24"/>
      <c r="H1973" s="24"/>
      <c r="I1973" s="20" t="str">
        <f aca="false">IF(B1973="","",IF(G1973&lt;&gt;"",G1973,E1973))</f>
        <v/>
      </c>
      <c r="J1973" s="21" t="str">
        <f aca="false">IF(B1973="","",IF(H1973&lt;&gt;"",H1973,F1973))</f>
        <v/>
      </c>
      <c r="K1973" s="26" t="str">
        <f aca="false">IF(A1973="","",DATE(YEAR(A1973),MONTH(A1973),1))</f>
        <v/>
      </c>
      <c r="L1973" s="21" t="str">
        <f aca="false">IF(J1973="",IF(B1973="","",IF(N(C1973)&gt;=0,"Income","Expense")),IFERROR(INDEX(Lists!$B$2:$B$30,MATCH(J1973,Lists!$A$2:$A$30,0)),""))</f>
        <v/>
      </c>
      <c r="M1973" s="24"/>
      <c r="N1973" s="27" t="str">
        <f aca="false">IF(B1973="","",IFERROR(1000-SUMPRODUCT(MAX(ISNUMBER(SEARCH(Rules!$A$5:$A$204,B1973))*(Rules!$A$5:$A$204&lt;&gt;"")*(1000-ROW(Rules!$A$5:$A$204)))),""))</f>
        <v/>
      </c>
    </row>
    <row r="1974" customFormat="false" ht="15" hidden="false" customHeight="false" outlineLevel="0" collapsed="false">
      <c r="A1974" s="23"/>
      <c r="B1974" s="24"/>
      <c r="C1974" s="25"/>
      <c r="D1974" s="24"/>
      <c r="E1974" s="21" t="str">
        <f aca="false">IF(OR(B1974="",N(N1974)=0,N1974=1000),IF(B1974="","","Check"),INDEX(Rules!$B:$B,N1974))</f>
        <v/>
      </c>
      <c r="F1974" s="21" t="str">
        <f aca="false">IF(OR(B1974="",N(N1974)=0,N1974=1000),"",INDEX(Rules!$C:$C,N1974))</f>
        <v/>
      </c>
      <c r="G1974" s="24"/>
      <c r="H1974" s="24"/>
      <c r="I1974" s="20" t="str">
        <f aca="false">IF(B1974="","",IF(G1974&lt;&gt;"",G1974,E1974))</f>
        <v/>
      </c>
      <c r="J1974" s="21" t="str">
        <f aca="false">IF(B1974="","",IF(H1974&lt;&gt;"",H1974,F1974))</f>
        <v/>
      </c>
      <c r="K1974" s="26" t="str">
        <f aca="false">IF(A1974="","",DATE(YEAR(A1974),MONTH(A1974),1))</f>
        <v/>
      </c>
      <c r="L1974" s="21" t="str">
        <f aca="false">IF(J1974="",IF(B1974="","",IF(N(C1974)&gt;=0,"Income","Expense")),IFERROR(INDEX(Lists!$B$2:$B$30,MATCH(J1974,Lists!$A$2:$A$30,0)),""))</f>
        <v/>
      </c>
      <c r="M1974" s="24"/>
      <c r="N1974" s="27" t="str">
        <f aca="false">IF(B1974="","",IFERROR(1000-SUMPRODUCT(MAX(ISNUMBER(SEARCH(Rules!$A$5:$A$204,B1974))*(Rules!$A$5:$A$204&lt;&gt;"")*(1000-ROW(Rules!$A$5:$A$204)))),""))</f>
        <v/>
      </c>
    </row>
    <row r="1975" customFormat="false" ht="15" hidden="false" customHeight="false" outlineLevel="0" collapsed="false">
      <c r="A1975" s="23"/>
      <c r="B1975" s="24"/>
      <c r="C1975" s="25"/>
      <c r="D1975" s="24"/>
      <c r="E1975" s="21" t="str">
        <f aca="false">IF(OR(B1975="",N(N1975)=0,N1975=1000),IF(B1975="","","Check"),INDEX(Rules!$B:$B,N1975))</f>
        <v/>
      </c>
      <c r="F1975" s="21" t="str">
        <f aca="false">IF(OR(B1975="",N(N1975)=0,N1975=1000),"",INDEX(Rules!$C:$C,N1975))</f>
        <v/>
      </c>
      <c r="G1975" s="24"/>
      <c r="H1975" s="24"/>
      <c r="I1975" s="20" t="str">
        <f aca="false">IF(B1975="","",IF(G1975&lt;&gt;"",G1975,E1975))</f>
        <v/>
      </c>
      <c r="J1975" s="21" t="str">
        <f aca="false">IF(B1975="","",IF(H1975&lt;&gt;"",H1975,F1975))</f>
        <v/>
      </c>
      <c r="K1975" s="26" t="str">
        <f aca="false">IF(A1975="","",DATE(YEAR(A1975),MONTH(A1975),1))</f>
        <v/>
      </c>
      <c r="L1975" s="21" t="str">
        <f aca="false">IF(J1975="",IF(B1975="","",IF(N(C1975)&gt;=0,"Income","Expense")),IFERROR(INDEX(Lists!$B$2:$B$30,MATCH(J1975,Lists!$A$2:$A$30,0)),""))</f>
        <v/>
      </c>
      <c r="M1975" s="24"/>
      <c r="N1975" s="27" t="str">
        <f aca="false">IF(B1975="","",IFERROR(1000-SUMPRODUCT(MAX(ISNUMBER(SEARCH(Rules!$A$5:$A$204,B1975))*(Rules!$A$5:$A$204&lt;&gt;"")*(1000-ROW(Rules!$A$5:$A$204)))),""))</f>
        <v/>
      </c>
    </row>
    <row r="1976" customFormat="false" ht="15" hidden="false" customHeight="false" outlineLevel="0" collapsed="false">
      <c r="A1976" s="23"/>
      <c r="B1976" s="24"/>
      <c r="C1976" s="25"/>
      <c r="D1976" s="24"/>
      <c r="E1976" s="21" t="str">
        <f aca="false">IF(OR(B1976="",N(N1976)=0,N1976=1000),IF(B1976="","","Check"),INDEX(Rules!$B:$B,N1976))</f>
        <v/>
      </c>
      <c r="F1976" s="21" t="str">
        <f aca="false">IF(OR(B1976="",N(N1976)=0,N1976=1000),"",INDEX(Rules!$C:$C,N1976))</f>
        <v/>
      </c>
      <c r="G1976" s="24"/>
      <c r="H1976" s="24"/>
      <c r="I1976" s="20" t="str">
        <f aca="false">IF(B1976="","",IF(G1976&lt;&gt;"",G1976,E1976))</f>
        <v/>
      </c>
      <c r="J1976" s="21" t="str">
        <f aca="false">IF(B1976="","",IF(H1976&lt;&gt;"",H1976,F1976))</f>
        <v/>
      </c>
      <c r="K1976" s="26" t="str">
        <f aca="false">IF(A1976="","",DATE(YEAR(A1976),MONTH(A1976),1))</f>
        <v/>
      </c>
      <c r="L1976" s="21" t="str">
        <f aca="false">IF(J1976="",IF(B1976="","",IF(N(C1976)&gt;=0,"Income","Expense")),IFERROR(INDEX(Lists!$B$2:$B$30,MATCH(J1976,Lists!$A$2:$A$30,0)),""))</f>
        <v/>
      </c>
      <c r="M1976" s="24"/>
      <c r="N1976" s="27" t="str">
        <f aca="false">IF(B1976="","",IFERROR(1000-SUMPRODUCT(MAX(ISNUMBER(SEARCH(Rules!$A$5:$A$204,B1976))*(Rules!$A$5:$A$204&lt;&gt;"")*(1000-ROW(Rules!$A$5:$A$204)))),""))</f>
        <v/>
      </c>
    </row>
    <row r="1977" customFormat="false" ht="15" hidden="false" customHeight="false" outlineLevel="0" collapsed="false">
      <c r="A1977" s="23"/>
      <c r="B1977" s="24"/>
      <c r="C1977" s="25"/>
      <c r="D1977" s="24"/>
      <c r="E1977" s="21" t="str">
        <f aca="false">IF(OR(B1977="",N(N1977)=0,N1977=1000),IF(B1977="","","Check"),INDEX(Rules!$B:$B,N1977))</f>
        <v/>
      </c>
      <c r="F1977" s="21" t="str">
        <f aca="false">IF(OR(B1977="",N(N1977)=0,N1977=1000),"",INDEX(Rules!$C:$C,N1977))</f>
        <v/>
      </c>
      <c r="G1977" s="24"/>
      <c r="H1977" s="24"/>
      <c r="I1977" s="20" t="str">
        <f aca="false">IF(B1977="","",IF(G1977&lt;&gt;"",G1977,E1977))</f>
        <v/>
      </c>
      <c r="J1977" s="21" t="str">
        <f aca="false">IF(B1977="","",IF(H1977&lt;&gt;"",H1977,F1977))</f>
        <v/>
      </c>
      <c r="K1977" s="26" t="str">
        <f aca="false">IF(A1977="","",DATE(YEAR(A1977),MONTH(A1977),1))</f>
        <v/>
      </c>
      <c r="L1977" s="21" t="str">
        <f aca="false">IF(J1977="",IF(B1977="","",IF(N(C1977)&gt;=0,"Income","Expense")),IFERROR(INDEX(Lists!$B$2:$B$30,MATCH(J1977,Lists!$A$2:$A$30,0)),""))</f>
        <v/>
      </c>
      <c r="M1977" s="24"/>
      <c r="N1977" s="27" t="str">
        <f aca="false">IF(B1977="","",IFERROR(1000-SUMPRODUCT(MAX(ISNUMBER(SEARCH(Rules!$A$5:$A$204,B1977))*(Rules!$A$5:$A$204&lt;&gt;"")*(1000-ROW(Rules!$A$5:$A$204)))),""))</f>
        <v/>
      </c>
    </row>
    <row r="1978" customFormat="false" ht="15" hidden="false" customHeight="false" outlineLevel="0" collapsed="false">
      <c r="A1978" s="23"/>
      <c r="B1978" s="24"/>
      <c r="C1978" s="25"/>
      <c r="D1978" s="24"/>
      <c r="E1978" s="21" t="str">
        <f aca="false">IF(OR(B1978="",N(N1978)=0,N1978=1000),IF(B1978="","","Check"),INDEX(Rules!$B:$B,N1978))</f>
        <v/>
      </c>
      <c r="F1978" s="21" t="str">
        <f aca="false">IF(OR(B1978="",N(N1978)=0,N1978=1000),"",INDEX(Rules!$C:$C,N1978))</f>
        <v/>
      </c>
      <c r="G1978" s="24"/>
      <c r="H1978" s="24"/>
      <c r="I1978" s="20" t="str">
        <f aca="false">IF(B1978="","",IF(G1978&lt;&gt;"",G1978,E1978))</f>
        <v/>
      </c>
      <c r="J1978" s="21" t="str">
        <f aca="false">IF(B1978="","",IF(H1978&lt;&gt;"",H1978,F1978))</f>
        <v/>
      </c>
      <c r="K1978" s="26" t="str">
        <f aca="false">IF(A1978="","",DATE(YEAR(A1978),MONTH(A1978),1))</f>
        <v/>
      </c>
      <c r="L1978" s="21" t="str">
        <f aca="false">IF(J1978="",IF(B1978="","",IF(N(C1978)&gt;=0,"Income","Expense")),IFERROR(INDEX(Lists!$B$2:$B$30,MATCH(J1978,Lists!$A$2:$A$30,0)),""))</f>
        <v/>
      </c>
      <c r="M1978" s="24"/>
      <c r="N1978" s="27" t="str">
        <f aca="false">IF(B1978="","",IFERROR(1000-SUMPRODUCT(MAX(ISNUMBER(SEARCH(Rules!$A$5:$A$204,B1978))*(Rules!$A$5:$A$204&lt;&gt;"")*(1000-ROW(Rules!$A$5:$A$204)))),""))</f>
        <v/>
      </c>
    </row>
    <row r="1979" customFormat="false" ht="15" hidden="false" customHeight="false" outlineLevel="0" collapsed="false">
      <c r="A1979" s="23"/>
      <c r="B1979" s="24"/>
      <c r="C1979" s="25"/>
      <c r="D1979" s="24"/>
      <c r="E1979" s="21" t="str">
        <f aca="false">IF(OR(B1979="",N(N1979)=0,N1979=1000),IF(B1979="","","Check"),INDEX(Rules!$B:$B,N1979))</f>
        <v/>
      </c>
      <c r="F1979" s="21" t="str">
        <f aca="false">IF(OR(B1979="",N(N1979)=0,N1979=1000),"",INDEX(Rules!$C:$C,N1979))</f>
        <v/>
      </c>
      <c r="G1979" s="24"/>
      <c r="H1979" s="24"/>
      <c r="I1979" s="20" t="str">
        <f aca="false">IF(B1979="","",IF(G1979&lt;&gt;"",G1979,E1979))</f>
        <v/>
      </c>
      <c r="J1979" s="21" t="str">
        <f aca="false">IF(B1979="","",IF(H1979&lt;&gt;"",H1979,F1979))</f>
        <v/>
      </c>
      <c r="K1979" s="26" t="str">
        <f aca="false">IF(A1979="","",DATE(YEAR(A1979),MONTH(A1979),1))</f>
        <v/>
      </c>
      <c r="L1979" s="21" t="str">
        <f aca="false">IF(J1979="",IF(B1979="","",IF(N(C1979)&gt;=0,"Income","Expense")),IFERROR(INDEX(Lists!$B$2:$B$30,MATCH(J1979,Lists!$A$2:$A$30,0)),""))</f>
        <v/>
      </c>
      <c r="M1979" s="24"/>
      <c r="N1979" s="27" t="str">
        <f aca="false">IF(B1979="","",IFERROR(1000-SUMPRODUCT(MAX(ISNUMBER(SEARCH(Rules!$A$5:$A$204,B1979))*(Rules!$A$5:$A$204&lt;&gt;"")*(1000-ROW(Rules!$A$5:$A$204)))),""))</f>
        <v/>
      </c>
    </row>
    <row r="1980" customFormat="false" ht="15" hidden="false" customHeight="false" outlineLevel="0" collapsed="false">
      <c r="A1980" s="23"/>
      <c r="B1980" s="24"/>
      <c r="C1980" s="25"/>
      <c r="D1980" s="24"/>
      <c r="E1980" s="21" t="str">
        <f aca="false">IF(OR(B1980="",N(N1980)=0,N1980=1000),IF(B1980="","","Check"),INDEX(Rules!$B:$B,N1980))</f>
        <v/>
      </c>
      <c r="F1980" s="21" t="str">
        <f aca="false">IF(OR(B1980="",N(N1980)=0,N1980=1000),"",INDEX(Rules!$C:$C,N1980))</f>
        <v/>
      </c>
      <c r="G1980" s="24"/>
      <c r="H1980" s="24"/>
      <c r="I1980" s="20" t="str">
        <f aca="false">IF(B1980="","",IF(G1980&lt;&gt;"",G1980,E1980))</f>
        <v/>
      </c>
      <c r="J1980" s="21" t="str">
        <f aca="false">IF(B1980="","",IF(H1980&lt;&gt;"",H1980,F1980))</f>
        <v/>
      </c>
      <c r="K1980" s="26" t="str">
        <f aca="false">IF(A1980="","",DATE(YEAR(A1980),MONTH(A1980),1))</f>
        <v/>
      </c>
      <c r="L1980" s="21" t="str">
        <f aca="false">IF(J1980="",IF(B1980="","",IF(N(C1980)&gt;=0,"Income","Expense")),IFERROR(INDEX(Lists!$B$2:$B$30,MATCH(J1980,Lists!$A$2:$A$30,0)),""))</f>
        <v/>
      </c>
      <c r="M1980" s="24"/>
      <c r="N1980" s="27" t="str">
        <f aca="false">IF(B1980="","",IFERROR(1000-SUMPRODUCT(MAX(ISNUMBER(SEARCH(Rules!$A$5:$A$204,B1980))*(Rules!$A$5:$A$204&lt;&gt;"")*(1000-ROW(Rules!$A$5:$A$204)))),""))</f>
        <v/>
      </c>
    </row>
    <row r="1981" customFormat="false" ht="15" hidden="false" customHeight="false" outlineLevel="0" collapsed="false">
      <c r="A1981" s="23"/>
      <c r="B1981" s="24"/>
      <c r="C1981" s="25"/>
      <c r="D1981" s="24"/>
      <c r="E1981" s="21" t="str">
        <f aca="false">IF(OR(B1981="",N(N1981)=0,N1981=1000),IF(B1981="","","Check"),INDEX(Rules!$B:$B,N1981))</f>
        <v/>
      </c>
      <c r="F1981" s="21" t="str">
        <f aca="false">IF(OR(B1981="",N(N1981)=0,N1981=1000),"",INDEX(Rules!$C:$C,N1981))</f>
        <v/>
      </c>
      <c r="G1981" s="24"/>
      <c r="H1981" s="24"/>
      <c r="I1981" s="20" t="str">
        <f aca="false">IF(B1981="","",IF(G1981&lt;&gt;"",G1981,E1981))</f>
        <v/>
      </c>
      <c r="J1981" s="21" t="str">
        <f aca="false">IF(B1981="","",IF(H1981&lt;&gt;"",H1981,F1981))</f>
        <v/>
      </c>
      <c r="K1981" s="26" t="str">
        <f aca="false">IF(A1981="","",DATE(YEAR(A1981),MONTH(A1981),1))</f>
        <v/>
      </c>
      <c r="L1981" s="21" t="str">
        <f aca="false">IF(J1981="",IF(B1981="","",IF(N(C1981)&gt;=0,"Income","Expense")),IFERROR(INDEX(Lists!$B$2:$B$30,MATCH(J1981,Lists!$A$2:$A$30,0)),""))</f>
        <v/>
      </c>
      <c r="M1981" s="24"/>
      <c r="N1981" s="27" t="str">
        <f aca="false">IF(B1981="","",IFERROR(1000-SUMPRODUCT(MAX(ISNUMBER(SEARCH(Rules!$A$5:$A$204,B1981))*(Rules!$A$5:$A$204&lt;&gt;"")*(1000-ROW(Rules!$A$5:$A$204)))),""))</f>
        <v/>
      </c>
    </row>
    <row r="1982" customFormat="false" ht="15" hidden="false" customHeight="false" outlineLevel="0" collapsed="false">
      <c r="A1982" s="23"/>
      <c r="B1982" s="24"/>
      <c r="C1982" s="25"/>
      <c r="D1982" s="24"/>
      <c r="E1982" s="21" t="str">
        <f aca="false">IF(OR(B1982="",N(N1982)=0,N1982=1000),IF(B1982="","","Check"),INDEX(Rules!$B:$B,N1982))</f>
        <v/>
      </c>
      <c r="F1982" s="21" t="str">
        <f aca="false">IF(OR(B1982="",N(N1982)=0,N1982=1000),"",INDEX(Rules!$C:$C,N1982))</f>
        <v/>
      </c>
      <c r="G1982" s="24"/>
      <c r="H1982" s="24"/>
      <c r="I1982" s="20" t="str">
        <f aca="false">IF(B1982="","",IF(G1982&lt;&gt;"",G1982,E1982))</f>
        <v/>
      </c>
      <c r="J1982" s="21" t="str">
        <f aca="false">IF(B1982="","",IF(H1982&lt;&gt;"",H1982,F1982))</f>
        <v/>
      </c>
      <c r="K1982" s="26" t="str">
        <f aca="false">IF(A1982="","",DATE(YEAR(A1982),MONTH(A1982),1))</f>
        <v/>
      </c>
      <c r="L1982" s="21" t="str">
        <f aca="false">IF(J1982="",IF(B1982="","",IF(N(C1982)&gt;=0,"Income","Expense")),IFERROR(INDEX(Lists!$B$2:$B$30,MATCH(J1982,Lists!$A$2:$A$30,0)),""))</f>
        <v/>
      </c>
      <c r="M1982" s="24"/>
      <c r="N1982" s="27" t="str">
        <f aca="false">IF(B1982="","",IFERROR(1000-SUMPRODUCT(MAX(ISNUMBER(SEARCH(Rules!$A$5:$A$204,B1982))*(Rules!$A$5:$A$204&lt;&gt;"")*(1000-ROW(Rules!$A$5:$A$204)))),""))</f>
        <v/>
      </c>
    </row>
    <row r="1983" customFormat="false" ht="15" hidden="false" customHeight="false" outlineLevel="0" collapsed="false">
      <c r="A1983" s="23"/>
      <c r="B1983" s="24"/>
      <c r="C1983" s="25"/>
      <c r="D1983" s="24"/>
      <c r="E1983" s="21" t="str">
        <f aca="false">IF(OR(B1983="",N(N1983)=0,N1983=1000),IF(B1983="","","Check"),INDEX(Rules!$B:$B,N1983))</f>
        <v/>
      </c>
      <c r="F1983" s="21" t="str">
        <f aca="false">IF(OR(B1983="",N(N1983)=0,N1983=1000),"",INDEX(Rules!$C:$C,N1983))</f>
        <v/>
      </c>
      <c r="G1983" s="24"/>
      <c r="H1983" s="24"/>
      <c r="I1983" s="20" t="str">
        <f aca="false">IF(B1983="","",IF(G1983&lt;&gt;"",G1983,E1983))</f>
        <v/>
      </c>
      <c r="J1983" s="21" t="str">
        <f aca="false">IF(B1983="","",IF(H1983&lt;&gt;"",H1983,F1983))</f>
        <v/>
      </c>
      <c r="K1983" s="26" t="str">
        <f aca="false">IF(A1983="","",DATE(YEAR(A1983),MONTH(A1983),1))</f>
        <v/>
      </c>
      <c r="L1983" s="21" t="str">
        <f aca="false">IF(J1983="",IF(B1983="","",IF(N(C1983)&gt;=0,"Income","Expense")),IFERROR(INDEX(Lists!$B$2:$B$30,MATCH(J1983,Lists!$A$2:$A$30,0)),""))</f>
        <v/>
      </c>
      <c r="M1983" s="24"/>
      <c r="N1983" s="27" t="str">
        <f aca="false">IF(B1983="","",IFERROR(1000-SUMPRODUCT(MAX(ISNUMBER(SEARCH(Rules!$A$5:$A$204,B1983))*(Rules!$A$5:$A$204&lt;&gt;"")*(1000-ROW(Rules!$A$5:$A$204)))),""))</f>
        <v/>
      </c>
    </row>
    <row r="1984" customFormat="false" ht="15" hidden="false" customHeight="false" outlineLevel="0" collapsed="false">
      <c r="A1984" s="23"/>
      <c r="B1984" s="24"/>
      <c r="C1984" s="25"/>
      <c r="D1984" s="24"/>
      <c r="E1984" s="21" t="str">
        <f aca="false">IF(OR(B1984="",N(N1984)=0,N1984=1000),IF(B1984="","","Check"),INDEX(Rules!$B:$B,N1984))</f>
        <v/>
      </c>
      <c r="F1984" s="21" t="str">
        <f aca="false">IF(OR(B1984="",N(N1984)=0,N1984=1000),"",INDEX(Rules!$C:$C,N1984))</f>
        <v/>
      </c>
      <c r="G1984" s="24"/>
      <c r="H1984" s="24"/>
      <c r="I1984" s="20" t="str">
        <f aca="false">IF(B1984="","",IF(G1984&lt;&gt;"",G1984,E1984))</f>
        <v/>
      </c>
      <c r="J1984" s="21" t="str">
        <f aca="false">IF(B1984="","",IF(H1984&lt;&gt;"",H1984,F1984))</f>
        <v/>
      </c>
      <c r="K1984" s="26" t="str">
        <f aca="false">IF(A1984="","",DATE(YEAR(A1984),MONTH(A1984),1))</f>
        <v/>
      </c>
      <c r="L1984" s="21" t="str">
        <f aca="false">IF(J1984="",IF(B1984="","",IF(N(C1984)&gt;=0,"Income","Expense")),IFERROR(INDEX(Lists!$B$2:$B$30,MATCH(J1984,Lists!$A$2:$A$30,0)),""))</f>
        <v/>
      </c>
      <c r="M1984" s="24"/>
      <c r="N1984" s="27" t="str">
        <f aca="false">IF(B1984="","",IFERROR(1000-SUMPRODUCT(MAX(ISNUMBER(SEARCH(Rules!$A$5:$A$204,B1984))*(Rules!$A$5:$A$204&lt;&gt;"")*(1000-ROW(Rules!$A$5:$A$204)))),""))</f>
        <v/>
      </c>
    </row>
    <row r="1985" customFormat="false" ht="15" hidden="false" customHeight="false" outlineLevel="0" collapsed="false">
      <c r="A1985" s="23"/>
      <c r="B1985" s="24"/>
      <c r="C1985" s="25"/>
      <c r="D1985" s="24"/>
      <c r="E1985" s="21" t="str">
        <f aca="false">IF(OR(B1985="",N(N1985)=0,N1985=1000),IF(B1985="","","Check"),INDEX(Rules!$B:$B,N1985))</f>
        <v/>
      </c>
      <c r="F1985" s="21" t="str">
        <f aca="false">IF(OR(B1985="",N(N1985)=0,N1985=1000),"",INDEX(Rules!$C:$C,N1985))</f>
        <v/>
      </c>
      <c r="G1985" s="24"/>
      <c r="H1985" s="24"/>
      <c r="I1985" s="20" t="str">
        <f aca="false">IF(B1985="","",IF(G1985&lt;&gt;"",G1985,E1985))</f>
        <v/>
      </c>
      <c r="J1985" s="21" t="str">
        <f aca="false">IF(B1985="","",IF(H1985&lt;&gt;"",H1985,F1985))</f>
        <v/>
      </c>
      <c r="K1985" s="26" t="str">
        <f aca="false">IF(A1985="","",DATE(YEAR(A1985),MONTH(A1985),1))</f>
        <v/>
      </c>
      <c r="L1985" s="21" t="str">
        <f aca="false">IF(J1985="",IF(B1985="","",IF(N(C1985)&gt;=0,"Income","Expense")),IFERROR(INDEX(Lists!$B$2:$B$30,MATCH(J1985,Lists!$A$2:$A$30,0)),""))</f>
        <v/>
      </c>
      <c r="M1985" s="24"/>
      <c r="N1985" s="27" t="str">
        <f aca="false">IF(B1985="","",IFERROR(1000-SUMPRODUCT(MAX(ISNUMBER(SEARCH(Rules!$A$5:$A$204,B1985))*(Rules!$A$5:$A$204&lt;&gt;"")*(1000-ROW(Rules!$A$5:$A$204)))),""))</f>
        <v/>
      </c>
    </row>
    <row r="1986" customFormat="false" ht="15" hidden="false" customHeight="false" outlineLevel="0" collapsed="false">
      <c r="A1986" s="23"/>
      <c r="B1986" s="24"/>
      <c r="C1986" s="25"/>
      <c r="D1986" s="24"/>
      <c r="E1986" s="21" t="str">
        <f aca="false">IF(OR(B1986="",N(N1986)=0,N1986=1000),IF(B1986="","","Check"),INDEX(Rules!$B:$B,N1986))</f>
        <v/>
      </c>
      <c r="F1986" s="21" t="str">
        <f aca="false">IF(OR(B1986="",N(N1986)=0,N1986=1000),"",INDEX(Rules!$C:$C,N1986))</f>
        <v/>
      </c>
      <c r="G1986" s="24"/>
      <c r="H1986" s="24"/>
      <c r="I1986" s="20" t="str">
        <f aca="false">IF(B1986="","",IF(G1986&lt;&gt;"",G1986,E1986))</f>
        <v/>
      </c>
      <c r="J1986" s="21" t="str">
        <f aca="false">IF(B1986="","",IF(H1986&lt;&gt;"",H1986,F1986))</f>
        <v/>
      </c>
      <c r="K1986" s="26" t="str">
        <f aca="false">IF(A1986="","",DATE(YEAR(A1986),MONTH(A1986),1))</f>
        <v/>
      </c>
      <c r="L1986" s="21" t="str">
        <f aca="false">IF(J1986="",IF(B1986="","",IF(N(C1986)&gt;=0,"Income","Expense")),IFERROR(INDEX(Lists!$B$2:$B$30,MATCH(J1986,Lists!$A$2:$A$30,0)),""))</f>
        <v/>
      </c>
      <c r="M1986" s="24"/>
      <c r="N1986" s="27" t="str">
        <f aca="false">IF(B1986="","",IFERROR(1000-SUMPRODUCT(MAX(ISNUMBER(SEARCH(Rules!$A$5:$A$204,B1986))*(Rules!$A$5:$A$204&lt;&gt;"")*(1000-ROW(Rules!$A$5:$A$204)))),""))</f>
        <v/>
      </c>
    </row>
    <row r="1987" customFormat="false" ht="15" hidden="false" customHeight="false" outlineLevel="0" collapsed="false">
      <c r="A1987" s="23"/>
      <c r="B1987" s="24"/>
      <c r="C1987" s="25"/>
      <c r="D1987" s="24"/>
      <c r="E1987" s="21" t="str">
        <f aca="false">IF(OR(B1987="",N(N1987)=0,N1987=1000),IF(B1987="","","Check"),INDEX(Rules!$B:$B,N1987))</f>
        <v/>
      </c>
      <c r="F1987" s="21" t="str">
        <f aca="false">IF(OR(B1987="",N(N1987)=0,N1987=1000),"",INDEX(Rules!$C:$C,N1987))</f>
        <v/>
      </c>
      <c r="G1987" s="24"/>
      <c r="H1987" s="24"/>
      <c r="I1987" s="20" t="str">
        <f aca="false">IF(B1987="","",IF(G1987&lt;&gt;"",G1987,E1987))</f>
        <v/>
      </c>
      <c r="J1987" s="21" t="str">
        <f aca="false">IF(B1987="","",IF(H1987&lt;&gt;"",H1987,F1987))</f>
        <v/>
      </c>
      <c r="K1987" s="26" t="str">
        <f aca="false">IF(A1987="","",DATE(YEAR(A1987),MONTH(A1987),1))</f>
        <v/>
      </c>
      <c r="L1987" s="21" t="str">
        <f aca="false">IF(J1987="",IF(B1987="","",IF(N(C1987)&gt;=0,"Income","Expense")),IFERROR(INDEX(Lists!$B$2:$B$30,MATCH(J1987,Lists!$A$2:$A$30,0)),""))</f>
        <v/>
      </c>
      <c r="M1987" s="24"/>
      <c r="N1987" s="27" t="str">
        <f aca="false">IF(B1987="","",IFERROR(1000-SUMPRODUCT(MAX(ISNUMBER(SEARCH(Rules!$A$5:$A$204,B1987))*(Rules!$A$5:$A$204&lt;&gt;"")*(1000-ROW(Rules!$A$5:$A$204)))),""))</f>
        <v/>
      </c>
    </row>
    <row r="1988" customFormat="false" ht="15" hidden="false" customHeight="false" outlineLevel="0" collapsed="false">
      <c r="A1988" s="23"/>
      <c r="B1988" s="24"/>
      <c r="C1988" s="25"/>
      <c r="D1988" s="24"/>
      <c r="E1988" s="21" t="str">
        <f aca="false">IF(OR(B1988="",N(N1988)=0,N1988=1000),IF(B1988="","","Check"),INDEX(Rules!$B:$B,N1988))</f>
        <v/>
      </c>
      <c r="F1988" s="21" t="str">
        <f aca="false">IF(OR(B1988="",N(N1988)=0,N1988=1000),"",INDEX(Rules!$C:$C,N1988))</f>
        <v/>
      </c>
      <c r="G1988" s="24"/>
      <c r="H1988" s="24"/>
      <c r="I1988" s="20" t="str">
        <f aca="false">IF(B1988="","",IF(G1988&lt;&gt;"",G1988,E1988))</f>
        <v/>
      </c>
      <c r="J1988" s="21" t="str">
        <f aca="false">IF(B1988="","",IF(H1988&lt;&gt;"",H1988,F1988))</f>
        <v/>
      </c>
      <c r="K1988" s="26" t="str">
        <f aca="false">IF(A1988="","",DATE(YEAR(A1988),MONTH(A1988),1))</f>
        <v/>
      </c>
      <c r="L1988" s="21" t="str">
        <f aca="false">IF(J1988="",IF(B1988="","",IF(N(C1988)&gt;=0,"Income","Expense")),IFERROR(INDEX(Lists!$B$2:$B$30,MATCH(J1988,Lists!$A$2:$A$30,0)),""))</f>
        <v/>
      </c>
      <c r="M1988" s="24"/>
      <c r="N1988" s="27" t="str">
        <f aca="false">IF(B1988="","",IFERROR(1000-SUMPRODUCT(MAX(ISNUMBER(SEARCH(Rules!$A$5:$A$204,B1988))*(Rules!$A$5:$A$204&lt;&gt;"")*(1000-ROW(Rules!$A$5:$A$204)))),""))</f>
        <v/>
      </c>
    </row>
    <row r="1989" customFormat="false" ht="15" hidden="false" customHeight="false" outlineLevel="0" collapsed="false">
      <c r="A1989" s="23"/>
      <c r="B1989" s="24"/>
      <c r="C1989" s="25"/>
      <c r="D1989" s="24"/>
      <c r="E1989" s="21" t="str">
        <f aca="false">IF(OR(B1989="",N(N1989)=0,N1989=1000),IF(B1989="","","Check"),INDEX(Rules!$B:$B,N1989))</f>
        <v/>
      </c>
      <c r="F1989" s="21" t="str">
        <f aca="false">IF(OR(B1989="",N(N1989)=0,N1989=1000),"",INDEX(Rules!$C:$C,N1989))</f>
        <v/>
      </c>
      <c r="G1989" s="24"/>
      <c r="H1989" s="24"/>
      <c r="I1989" s="20" t="str">
        <f aca="false">IF(B1989="","",IF(G1989&lt;&gt;"",G1989,E1989))</f>
        <v/>
      </c>
      <c r="J1989" s="21" t="str">
        <f aca="false">IF(B1989="","",IF(H1989&lt;&gt;"",H1989,F1989))</f>
        <v/>
      </c>
      <c r="K1989" s="26" t="str">
        <f aca="false">IF(A1989="","",DATE(YEAR(A1989),MONTH(A1989),1))</f>
        <v/>
      </c>
      <c r="L1989" s="21" t="str">
        <f aca="false">IF(J1989="",IF(B1989="","",IF(N(C1989)&gt;=0,"Income","Expense")),IFERROR(INDEX(Lists!$B$2:$B$30,MATCH(J1989,Lists!$A$2:$A$30,0)),""))</f>
        <v/>
      </c>
      <c r="M1989" s="24"/>
      <c r="N1989" s="27" t="str">
        <f aca="false">IF(B1989="","",IFERROR(1000-SUMPRODUCT(MAX(ISNUMBER(SEARCH(Rules!$A$5:$A$204,B1989))*(Rules!$A$5:$A$204&lt;&gt;"")*(1000-ROW(Rules!$A$5:$A$204)))),""))</f>
        <v/>
      </c>
    </row>
    <row r="1990" customFormat="false" ht="15" hidden="false" customHeight="false" outlineLevel="0" collapsed="false">
      <c r="A1990" s="23"/>
      <c r="B1990" s="24"/>
      <c r="C1990" s="25"/>
      <c r="D1990" s="24"/>
      <c r="E1990" s="21" t="str">
        <f aca="false">IF(OR(B1990="",N(N1990)=0,N1990=1000),IF(B1990="","","Check"),INDEX(Rules!$B:$B,N1990))</f>
        <v/>
      </c>
      <c r="F1990" s="21" t="str">
        <f aca="false">IF(OR(B1990="",N(N1990)=0,N1990=1000),"",INDEX(Rules!$C:$C,N1990))</f>
        <v/>
      </c>
      <c r="G1990" s="24"/>
      <c r="H1990" s="24"/>
      <c r="I1990" s="20" t="str">
        <f aca="false">IF(B1990="","",IF(G1990&lt;&gt;"",G1990,E1990))</f>
        <v/>
      </c>
      <c r="J1990" s="21" t="str">
        <f aca="false">IF(B1990="","",IF(H1990&lt;&gt;"",H1990,F1990))</f>
        <v/>
      </c>
      <c r="K1990" s="26" t="str">
        <f aca="false">IF(A1990="","",DATE(YEAR(A1990),MONTH(A1990),1))</f>
        <v/>
      </c>
      <c r="L1990" s="21" t="str">
        <f aca="false">IF(J1990="",IF(B1990="","",IF(N(C1990)&gt;=0,"Income","Expense")),IFERROR(INDEX(Lists!$B$2:$B$30,MATCH(J1990,Lists!$A$2:$A$30,0)),""))</f>
        <v/>
      </c>
      <c r="M1990" s="24"/>
      <c r="N1990" s="27" t="str">
        <f aca="false">IF(B1990="","",IFERROR(1000-SUMPRODUCT(MAX(ISNUMBER(SEARCH(Rules!$A$5:$A$204,B1990))*(Rules!$A$5:$A$204&lt;&gt;"")*(1000-ROW(Rules!$A$5:$A$204)))),""))</f>
        <v/>
      </c>
    </row>
    <row r="1991" customFormat="false" ht="15" hidden="false" customHeight="false" outlineLevel="0" collapsed="false">
      <c r="A1991" s="23"/>
      <c r="B1991" s="24"/>
      <c r="C1991" s="25"/>
      <c r="D1991" s="24"/>
      <c r="E1991" s="21" t="str">
        <f aca="false">IF(OR(B1991="",N(N1991)=0,N1991=1000),IF(B1991="","","Check"),INDEX(Rules!$B:$B,N1991))</f>
        <v/>
      </c>
      <c r="F1991" s="21" t="str">
        <f aca="false">IF(OR(B1991="",N(N1991)=0,N1991=1000),"",INDEX(Rules!$C:$C,N1991))</f>
        <v/>
      </c>
      <c r="G1991" s="24"/>
      <c r="H1991" s="24"/>
      <c r="I1991" s="20" t="str">
        <f aca="false">IF(B1991="","",IF(G1991&lt;&gt;"",G1991,E1991))</f>
        <v/>
      </c>
      <c r="J1991" s="21" t="str">
        <f aca="false">IF(B1991="","",IF(H1991&lt;&gt;"",H1991,F1991))</f>
        <v/>
      </c>
      <c r="K1991" s="26" t="str">
        <f aca="false">IF(A1991="","",DATE(YEAR(A1991),MONTH(A1991),1))</f>
        <v/>
      </c>
      <c r="L1991" s="21" t="str">
        <f aca="false">IF(J1991="",IF(B1991="","",IF(N(C1991)&gt;=0,"Income","Expense")),IFERROR(INDEX(Lists!$B$2:$B$30,MATCH(J1991,Lists!$A$2:$A$30,0)),""))</f>
        <v/>
      </c>
      <c r="M1991" s="24"/>
      <c r="N1991" s="27" t="str">
        <f aca="false">IF(B1991="","",IFERROR(1000-SUMPRODUCT(MAX(ISNUMBER(SEARCH(Rules!$A$5:$A$204,B1991))*(Rules!$A$5:$A$204&lt;&gt;"")*(1000-ROW(Rules!$A$5:$A$204)))),""))</f>
        <v/>
      </c>
    </row>
    <row r="1992" customFormat="false" ht="15" hidden="false" customHeight="false" outlineLevel="0" collapsed="false">
      <c r="A1992" s="23"/>
      <c r="B1992" s="24"/>
      <c r="C1992" s="25"/>
      <c r="D1992" s="24"/>
      <c r="E1992" s="21" t="str">
        <f aca="false">IF(OR(B1992="",N(N1992)=0,N1992=1000),IF(B1992="","","Check"),INDEX(Rules!$B:$B,N1992))</f>
        <v/>
      </c>
      <c r="F1992" s="21" t="str">
        <f aca="false">IF(OR(B1992="",N(N1992)=0,N1992=1000),"",INDEX(Rules!$C:$C,N1992))</f>
        <v/>
      </c>
      <c r="G1992" s="24"/>
      <c r="H1992" s="24"/>
      <c r="I1992" s="20" t="str">
        <f aca="false">IF(B1992="","",IF(G1992&lt;&gt;"",G1992,E1992))</f>
        <v/>
      </c>
      <c r="J1992" s="21" t="str">
        <f aca="false">IF(B1992="","",IF(H1992&lt;&gt;"",H1992,F1992))</f>
        <v/>
      </c>
      <c r="K1992" s="26" t="str">
        <f aca="false">IF(A1992="","",DATE(YEAR(A1992),MONTH(A1992),1))</f>
        <v/>
      </c>
      <c r="L1992" s="21" t="str">
        <f aca="false">IF(J1992="",IF(B1992="","",IF(N(C1992)&gt;=0,"Income","Expense")),IFERROR(INDEX(Lists!$B$2:$B$30,MATCH(J1992,Lists!$A$2:$A$30,0)),""))</f>
        <v/>
      </c>
      <c r="M1992" s="24"/>
      <c r="N1992" s="27" t="str">
        <f aca="false">IF(B1992="","",IFERROR(1000-SUMPRODUCT(MAX(ISNUMBER(SEARCH(Rules!$A$5:$A$204,B1992))*(Rules!$A$5:$A$204&lt;&gt;"")*(1000-ROW(Rules!$A$5:$A$204)))),""))</f>
        <v/>
      </c>
    </row>
    <row r="1993" customFormat="false" ht="15" hidden="false" customHeight="false" outlineLevel="0" collapsed="false">
      <c r="A1993" s="23"/>
      <c r="B1993" s="24"/>
      <c r="C1993" s="25"/>
      <c r="D1993" s="24"/>
      <c r="E1993" s="21" t="str">
        <f aca="false">IF(OR(B1993="",N(N1993)=0,N1993=1000),IF(B1993="","","Check"),INDEX(Rules!$B:$B,N1993))</f>
        <v/>
      </c>
      <c r="F1993" s="21" t="str">
        <f aca="false">IF(OR(B1993="",N(N1993)=0,N1993=1000),"",INDEX(Rules!$C:$C,N1993))</f>
        <v/>
      </c>
      <c r="G1993" s="24"/>
      <c r="H1993" s="24"/>
      <c r="I1993" s="20" t="str">
        <f aca="false">IF(B1993="","",IF(G1993&lt;&gt;"",G1993,E1993))</f>
        <v/>
      </c>
      <c r="J1993" s="21" t="str">
        <f aca="false">IF(B1993="","",IF(H1993&lt;&gt;"",H1993,F1993))</f>
        <v/>
      </c>
      <c r="K1993" s="26" t="str">
        <f aca="false">IF(A1993="","",DATE(YEAR(A1993),MONTH(A1993),1))</f>
        <v/>
      </c>
      <c r="L1993" s="21" t="str">
        <f aca="false">IF(J1993="",IF(B1993="","",IF(N(C1993)&gt;=0,"Income","Expense")),IFERROR(INDEX(Lists!$B$2:$B$30,MATCH(J1993,Lists!$A$2:$A$30,0)),""))</f>
        <v/>
      </c>
      <c r="M1993" s="24"/>
      <c r="N1993" s="27" t="str">
        <f aca="false">IF(B1993="","",IFERROR(1000-SUMPRODUCT(MAX(ISNUMBER(SEARCH(Rules!$A$5:$A$204,B1993))*(Rules!$A$5:$A$204&lt;&gt;"")*(1000-ROW(Rules!$A$5:$A$204)))),""))</f>
        <v/>
      </c>
    </row>
    <row r="1994" customFormat="false" ht="15" hidden="false" customHeight="false" outlineLevel="0" collapsed="false">
      <c r="A1994" s="23"/>
      <c r="B1994" s="24"/>
      <c r="C1994" s="25"/>
      <c r="D1994" s="24"/>
      <c r="E1994" s="21" t="str">
        <f aca="false">IF(OR(B1994="",N(N1994)=0,N1994=1000),IF(B1994="","","Check"),INDEX(Rules!$B:$B,N1994))</f>
        <v/>
      </c>
      <c r="F1994" s="21" t="str">
        <f aca="false">IF(OR(B1994="",N(N1994)=0,N1994=1000),"",INDEX(Rules!$C:$C,N1994))</f>
        <v/>
      </c>
      <c r="G1994" s="24"/>
      <c r="H1994" s="24"/>
      <c r="I1994" s="20" t="str">
        <f aca="false">IF(B1994="","",IF(G1994&lt;&gt;"",G1994,E1994))</f>
        <v/>
      </c>
      <c r="J1994" s="21" t="str">
        <f aca="false">IF(B1994="","",IF(H1994&lt;&gt;"",H1994,F1994))</f>
        <v/>
      </c>
      <c r="K1994" s="26" t="str">
        <f aca="false">IF(A1994="","",DATE(YEAR(A1994),MONTH(A1994),1))</f>
        <v/>
      </c>
      <c r="L1994" s="21" t="str">
        <f aca="false">IF(J1994="",IF(B1994="","",IF(N(C1994)&gt;=0,"Income","Expense")),IFERROR(INDEX(Lists!$B$2:$B$30,MATCH(J1994,Lists!$A$2:$A$30,0)),""))</f>
        <v/>
      </c>
      <c r="M1994" s="24"/>
      <c r="N1994" s="27" t="str">
        <f aca="false">IF(B1994="","",IFERROR(1000-SUMPRODUCT(MAX(ISNUMBER(SEARCH(Rules!$A$5:$A$204,B1994))*(Rules!$A$5:$A$204&lt;&gt;"")*(1000-ROW(Rules!$A$5:$A$204)))),""))</f>
        <v/>
      </c>
    </row>
    <row r="1995" customFormat="false" ht="15" hidden="false" customHeight="false" outlineLevel="0" collapsed="false">
      <c r="A1995" s="23"/>
      <c r="B1995" s="24"/>
      <c r="C1995" s="25"/>
      <c r="D1995" s="24"/>
      <c r="E1995" s="21" t="str">
        <f aca="false">IF(OR(B1995="",N(N1995)=0,N1995=1000),IF(B1995="","","Check"),INDEX(Rules!$B:$B,N1995))</f>
        <v/>
      </c>
      <c r="F1995" s="21" t="str">
        <f aca="false">IF(OR(B1995="",N(N1995)=0,N1995=1000),"",INDEX(Rules!$C:$C,N1995))</f>
        <v/>
      </c>
      <c r="G1995" s="24"/>
      <c r="H1995" s="24"/>
      <c r="I1995" s="20" t="str">
        <f aca="false">IF(B1995="","",IF(G1995&lt;&gt;"",G1995,E1995))</f>
        <v/>
      </c>
      <c r="J1995" s="21" t="str">
        <f aca="false">IF(B1995="","",IF(H1995&lt;&gt;"",H1995,F1995))</f>
        <v/>
      </c>
      <c r="K1995" s="26" t="str">
        <f aca="false">IF(A1995="","",DATE(YEAR(A1995),MONTH(A1995),1))</f>
        <v/>
      </c>
      <c r="L1995" s="21" t="str">
        <f aca="false">IF(J1995="",IF(B1995="","",IF(N(C1995)&gt;=0,"Income","Expense")),IFERROR(INDEX(Lists!$B$2:$B$30,MATCH(J1995,Lists!$A$2:$A$30,0)),""))</f>
        <v/>
      </c>
      <c r="M1995" s="24"/>
      <c r="N1995" s="27" t="str">
        <f aca="false">IF(B1995="","",IFERROR(1000-SUMPRODUCT(MAX(ISNUMBER(SEARCH(Rules!$A$5:$A$204,B1995))*(Rules!$A$5:$A$204&lt;&gt;"")*(1000-ROW(Rules!$A$5:$A$204)))),""))</f>
        <v/>
      </c>
    </row>
    <row r="1996" customFormat="false" ht="15" hidden="false" customHeight="false" outlineLevel="0" collapsed="false">
      <c r="A1996" s="23"/>
      <c r="B1996" s="24"/>
      <c r="C1996" s="25"/>
      <c r="D1996" s="24"/>
      <c r="E1996" s="21" t="str">
        <f aca="false">IF(OR(B1996="",N(N1996)=0,N1996=1000),IF(B1996="","","Check"),INDEX(Rules!$B:$B,N1996))</f>
        <v/>
      </c>
      <c r="F1996" s="21" t="str">
        <f aca="false">IF(OR(B1996="",N(N1996)=0,N1996=1000),"",INDEX(Rules!$C:$C,N1996))</f>
        <v/>
      </c>
      <c r="G1996" s="24"/>
      <c r="H1996" s="24"/>
      <c r="I1996" s="20" t="str">
        <f aca="false">IF(B1996="","",IF(G1996&lt;&gt;"",G1996,E1996))</f>
        <v/>
      </c>
      <c r="J1996" s="21" t="str">
        <f aca="false">IF(B1996="","",IF(H1996&lt;&gt;"",H1996,F1996))</f>
        <v/>
      </c>
      <c r="K1996" s="26" t="str">
        <f aca="false">IF(A1996="","",DATE(YEAR(A1996),MONTH(A1996),1))</f>
        <v/>
      </c>
      <c r="L1996" s="21" t="str">
        <f aca="false">IF(J1996="",IF(B1996="","",IF(N(C1996)&gt;=0,"Income","Expense")),IFERROR(INDEX(Lists!$B$2:$B$30,MATCH(J1996,Lists!$A$2:$A$30,0)),""))</f>
        <v/>
      </c>
      <c r="M1996" s="24"/>
      <c r="N1996" s="27" t="str">
        <f aca="false">IF(B1996="","",IFERROR(1000-SUMPRODUCT(MAX(ISNUMBER(SEARCH(Rules!$A$5:$A$204,B1996))*(Rules!$A$5:$A$204&lt;&gt;"")*(1000-ROW(Rules!$A$5:$A$204)))),""))</f>
        <v/>
      </c>
    </row>
    <row r="1997" customFormat="false" ht="15" hidden="false" customHeight="false" outlineLevel="0" collapsed="false">
      <c r="A1997" s="23"/>
      <c r="B1997" s="24"/>
      <c r="C1997" s="25"/>
      <c r="D1997" s="24"/>
      <c r="E1997" s="21" t="str">
        <f aca="false">IF(OR(B1997="",N(N1997)=0,N1997=1000),IF(B1997="","","Check"),INDEX(Rules!$B:$B,N1997))</f>
        <v/>
      </c>
      <c r="F1997" s="21" t="str">
        <f aca="false">IF(OR(B1997="",N(N1997)=0,N1997=1000),"",INDEX(Rules!$C:$C,N1997))</f>
        <v/>
      </c>
      <c r="G1997" s="24"/>
      <c r="H1997" s="24"/>
      <c r="I1997" s="20" t="str">
        <f aca="false">IF(B1997="","",IF(G1997&lt;&gt;"",G1997,E1997))</f>
        <v/>
      </c>
      <c r="J1997" s="21" t="str">
        <f aca="false">IF(B1997="","",IF(H1997&lt;&gt;"",H1997,F1997))</f>
        <v/>
      </c>
      <c r="K1997" s="26" t="str">
        <f aca="false">IF(A1997="","",DATE(YEAR(A1997),MONTH(A1997),1))</f>
        <v/>
      </c>
      <c r="L1997" s="21" t="str">
        <f aca="false">IF(J1997="",IF(B1997="","",IF(N(C1997)&gt;=0,"Income","Expense")),IFERROR(INDEX(Lists!$B$2:$B$30,MATCH(J1997,Lists!$A$2:$A$30,0)),""))</f>
        <v/>
      </c>
      <c r="M1997" s="24"/>
      <c r="N1997" s="27" t="str">
        <f aca="false">IF(B1997="","",IFERROR(1000-SUMPRODUCT(MAX(ISNUMBER(SEARCH(Rules!$A$5:$A$204,B1997))*(Rules!$A$5:$A$204&lt;&gt;"")*(1000-ROW(Rules!$A$5:$A$204)))),""))</f>
        <v/>
      </c>
    </row>
    <row r="1998" customFormat="false" ht="15" hidden="false" customHeight="false" outlineLevel="0" collapsed="false">
      <c r="A1998" s="23"/>
      <c r="B1998" s="24"/>
      <c r="C1998" s="25"/>
      <c r="D1998" s="24"/>
      <c r="E1998" s="21" t="str">
        <f aca="false">IF(OR(B1998="",N(N1998)=0,N1998=1000),IF(B1998="","","Check"),INDEX(Rules!$B:$B,N1998))</f>
        <v/>
      </c>
      <c r="F1998" s="21" t="str">
        <f aca="false">IF(OR(B1998="",N(N1998)=0,N1998=1000),"",INDEX(Rules!$C:$C,N1998))</f>
        <v/>
      </c>
      <c r="G1998" s="24"/>
      <c r="H1998" s="24"/>
      <c r="I1998" s="20" t="str">
        <f aca="false">IF(B1998="","",IF(G1998&lt;&gt;"",G1998,E1998))</f>
        <v/>
      </c>
      <c r="J1998" s="21" t="str">
        <f aca="false">IF(B1998="","",IF(H1998&lt;&gt;"",H1998,F1998))</f>
        <v/>
      </c>
      <c r="K1998" s="26" t="str">
        <f aca="false">IF(A1998="","",DATE(YEAR(A1998),MONTH(A1998),1))</f>
        <v/>
      </c>
      <c r="L1998" s="21" t="str">
        <f aca="false">IF(J1998="",IF(B1998="","",IF(N(C1998)&gt;=0,"Income","Expense")),IFERROR(INDEX(Lists!$B$2:$B$30,MATCH(J1998,Lists!$A$2:$A$30,0)),""))</f>
        <v/>
      </c>
      <c r="M1998" s="24"/>
      <c r="N1998" s="27" t="str">
        <f aca="false">IF(B1998="","",IFERROR(1000-SUMPRODUCT(MAX(ISNUMBER(SEARCH(Rules!$A$5:$A$204,B1998))*(Rules!$A$5:$A$204&lt;&gt;"")*(1000-ROW(Rules!$A$5:$A$204)))),""))</f>
        <v/>
      </c>
    </row>
    <row r="1999" customFormat="false" ht="15" hidden="false" customHeight="false" outlineLevel="0" collapsed="false">
      <c r="A1999" s="23"/>
      <c r="B1999" s="24"/>
      <c r="C1999" s="25"/>
      <c r="D1999" s="24"/>
      <c r="E1999" s="21" t="str">
        <f aca="false">IF(OR(B1999="",N(N1999)=0,N1999=1000),IF(B1999="","","Check"),INDEX(Rules!$B:$B,N1999))</f>
        <v/>
      </c>
      <c r="F1999" s="21" t="str">
        <f aca="false">IF(OR(B1999="",N(N1999)=0,N1999=1000),"",INDEX(Rules!$C:$C,N1999))</f>
        <v/>
      </c>
      <c r="G1999" s="24"/>
      <c r="H1999" s="24"/>
      <c r="I1999" s="20" t="str">
        <f aca="false">IF(B1999="","",IF(G1999&lt;&gt;"",G1999,E1999))</f>
        <v/>
      </c>
      <c r="J1999" s="21" t="str">
        <f aca="false">IF(B1999="","",IF(H1999&lt;&gt;"",H1999,F1999))</f>
        <v/>
      </c>
      <c r="K1999" s="26" t="str">
        <f aca="false">IF(A1999="","",DATE(YEAR(A1999),MONTH(A1999),1))</f>
        <v/>
      </c>
      <c r="L1999" s="21" t="str">
        <f aca="false">IF(J1999="",IF(B1999="","",IF(N(C1999)&gt;=0,"Income","Expense")),IFERROR(INDEX(Lists!$B$2:$B$30,MATCH(J1999,Lists!$A$2:$A$30,0)),""))</f>
        <v/>
      </c>
      <c r="M1999" s="24"/>
      <c r="N1999" s="27" t="str">
        <f aca="false">IF(B1999="","",IFERROR(1000-SUMPRODUCT(MAX(ISNUMBER(SEARCH(Rules!$A$5:$A$204,B1999))*(Rules!$A$5:$A$204&lt;&gt;"")*(1000-ROW(Rules!$A$5:$A$204)))),""))</f>
        <v/>
      </c>
    </row>
    <row r="2000" customFormat="false" ht="15" hidden="false" customHeight="false" outlineLevel="0" collapsed="false">
      <c r="A2000" s="23"/>
      <c r="B2000" s="24"/>
      <c r="C2000" s="25"/>
      <c r="D2000" s="24"/>
      <c r="E2000" s="21" t="str">
        <f aca="false">IF(OR(B2000="",N(N2000)=0,N2000=1000),IF(B2000="","","Check"),INDEX(Rules!$B:$B,N2000))</f>
        <v/>
      </c>
      <c r="F2000" s="21" t="str">
        <f aca="false">IF(OR(B2000="",N(N2000)=0,N2000=1000),"",INDEX(Rules!$C:$C,N2000))</f>
        <v/>
      </c>
      <c r="G2000" s="24"/>
      <c r="H2000" s="24"/>
      <c r="I2000" s="20" t="str">
        <f aca="false">IF(B2000="","",IF(G2000&lt;&gt;"",G2000,E2000))</f>
        <v/>
      </c>
      <c r="J2000" s="21" t="str">
        <f aca="false">IF(B2000="","",IF(H2000&lt;&gt;"",H2000,F2000))</f>
        <v/>
      </c>
      <c r="K2000" s="26" t="str">
        <f aca="false">IF(A2000="","",DATE(YEAR(A2000),MONTH(A2000),1))</f>
        <v/>
      </c>
      <c r="L2000" s="21" t="str">
        <f aca="false">IF(J2000="",IF(B2000="","",IF(N(C2000)&gt;=0,"Income","Expense")),IFERROR(INDEX(Lists!$B$2:$B$30,MATCH(J2000,Lists!$A$2:$A$30,0)),""))</f>
        <v/>
      </c>
      <c r="M2000" s="24"/>
      <c r="N2000" s="27" t="str">
        <f aca="false">IF(B2000="","",IFERROR(1000-SUMPRODUCT(MAX(ISNUMBER(SEARCH(Rules!$A$5:$A$204,B2000))*(Rules!$A$5:$A$204&lt;&gt;"")*(1000-ROW(Rules!$A$5:$A$204)))),""))</f>
        <v/>
      </c>
    </row>
    <row r="2001" customFormat="false" ht="15" hidden="false" customHeight="false" outlineLevel="0" collapsed="false">
      <c r="A2001" s="23"/>
      <c r="B2001" s="24"/>
      <c r="C2001" s="25"/>
      <c r="D2001" s="24"/>
      <c r="E2001" s="21" t="str">
        <f aca="false">IF(OR(B2001="",N(N2001)=0,N2001=1000),IF(B2001="","","Check"),INDEX(Rules!$B:$B,N2001))</f>
        <v/>
      </c>
      <c r="F2001" s="21" t="str">
        <f aca="false">IF(OR(B2001="",N(N2001)=0,N2001=1000),"",INDEX(Rules!$C:$C,N2001))</f>
        <v/>
      </c>
      <c r="G2001" s="24"/>
      <c r="H2001" s="24"/>
      <c r="I2001" s="20" t="str">
        <f aca="false">IF(B2001="","",IF(G2001&lt;&gt;"",G2001,E2001))</f>
        <v/>
      </c>
      <c r="J2001" s="21" t="str">
        <f aca="false">IF(B2001="","",IF(H2001&lt;&gt;"",H2001,F2001))</f>
        <v/>
      </c>
      <c r="K2001" s="26" t="str">
        <f aca="false">IF(A2001="","",DATE(YEAR(A2001),MONTH(A2001),1))</f>
        <v/>
      </c>
      <c r="L2001" s="21" t="str">
        <f aca="false">IF(J2001="",IF(B2001="","",IF(N(C2001)&gt;=0,"Income","Expense")),IFERROR(INDEX(Lists!$B$2:$B$30,MATCH(J2001,Lists!$A$2:$A$30,0)),""))</f>
        <v/>
      </c>
      <c r="M2001" s="24"/>
      <c r="N2001" s="27" t="str">
        <f aca="false">IF(B2001="","",IFERROR(1000-SUMPRODUCT(MAX(ISNUMBER(SEARCH(Rules!$A$5:$A$204,B2001))*(Rules!$A$5:$A$204&lt;&gt;"")*(1000-ROW(Rules!$A$5:$A$204)))),""))</f>
        <v/>
      </c>
    </row>
    <row r="2002" customFormat="false" ht="15" hidden="false" customHeight="false" outlineLevel="0" collapsed="false">
      <c r="A2002" s="23"/>
      <c r="B2002" s="24"/>
      <c r="C2002" s="25"/>
      <c r="D2002" s="24"/>
      <c r="E2002" s="21" t="str">
        <f aca="false">IF(OR(B2002="",N(N2002)=0,N2002=1000),IF(B2002="","","Check"),INDEX(Rules!$B:$B,N2002))</f>
        <v/>
      </c>
      <c r="F2002" s="21" t="str">
        <f aca="false">IF(OR(B2002="",N(N2002)=0,N2002=1000),"",INDEX(Rules!$C:$C,N2002))</f>
        <v/>
      </c>
      <c r="G2002" s="24"/>
      <c r="H2002" s="24"/>
      <c r="I2002" s="20" t="str">
        <f aca="false">IF(B2002="","",IF(G2002&lt;&gt;"",G2002,E2002))</f>
        <v/>
      </c>
      <c r="J2002" s="21" t="str">
        <f aca="false">IF(B2002="","",IF(H2002&lt;&gt;"",H2002,F2002))</f>
        <v/>
      </c>
      <c r="K2002" s="26" t="str">
        <f aca="false">IF(A2002="","",DATE(YEAR(A2002),MONTH(A2002),1))</f>
        <v/>
      </c>
      <c r="L2002" s="21" t="str">
        <f aca="false">IF(J2002="",IF(B2002="","",IF(N(C2002)&gt;=0,"Income","Expense")),IFERROR(INDEX(Lists!$B$2:$B$30,MATCH(J2002,Lists!$A$2:$A$30,0)),""))</f>
        <v/>
      </c>
      <c r="M2002" s="24"/>
      <c r="N2002" s="27" t="str">
        <f aca="false">IF(B2002="","",IFERROR(1000-SUMPRODUCT(MAX(ISNUMBER(SEARCH(Rules!$A$5:$A$204,B2002))*(Rules!$A$5:$A$204&lt;&gt;"")*(1000-ROW(Rules!$A$5:$A$204)))),""))</f>
        <v/>
      </c>
    </row>
    <row r="2003" customFormat="false" ht="15" hidden="false" customHeight="false" outlineLevel="0" collapsed="false">
      <c r="A2003" s="23"/>
      <c r="B2003" s="24"/>
      <c r="C2003" s="25"/>
      <c r="D2003" s="24"/>
      <c r="E2003" s="21" t="str">
        <f aca="false">IF(OR(B2003="",N(N2003)=0,N2003=1000),IF(B2003="","","Check"),INDEX(Rules!$B:$B,N2003))</f>
        <v/>
      </c>
      <c r="F2003" s="21" t="str">
        <f aca="false">IF(OR(B2003="",N(N2003)=0,N2003=1000),"",INDEX(Rules!$C:$C,N2003))</f>
        <v/>
      </c>
      <c r="G2003" s="24"/>
      <c r="H2003" s="24"/>
      <c r="I2003" s="20" t="str">
        <f aca="false">IF(B2003="","",IF(G2003&lt;&gt;"",G2003,E2003))</f>
        <v/>
      </c>
      <c r="J2003" s="21" t="str">
        <f aca="false">IF(B2003="","",IF(H2003&lt;&gt;"",H2003,F2003))</f>
        <v/>
      </c>
      <c r="K2003" s="26" t="str">
        <f aca="false">IF(A2003="","",DATE(YEAR(A2003),MONTH(A2003),1))</f>
        <v/>
      </c>
      <c r="L2003" s="21" t="str">
        <f aca="false">IF(J2003="",IF(B2003="","",IF(N(C2003)&gt;=0,"Income","Expense")),IFERROR(INDEX(Lists!$B$2:$B$30,MATCH(J2003,Lists!$A$2:$A$30,0)),""))</f>
        <v/>
      </c>
      <c r="M2003" s="24"/>
      <c r="N2003" s="27" t="str">
        <f aca="false">IF(B2003="","",IFERROR(1000-SUMPRODUCT(MAX(ISNUMBER(SEARCH(Rules!$A$5:$A$204,B2003))*(Rules!$A$5:$A$204&lt;&gt;"")*(1000-ROW(Rules!$A$5:$A$204)))),""))</f>
        <v/>
      </c>
    </row>
    <row r="2004" customFormat="false" ht="15" hidden="false" customHeight="false" outlineLevel="0" collapsed="false">
      <c r="A2004" s="23"/>
      <c r="B2004" s="24"/>
      <c r="C2004" s="25"/>
      <c r="D2004" s="24"/>
      <c r="E2004" s="21" t="str">
        <f aca="false">IF(OR(B2004="",N(N2004)=0,N2004=1000),IF(B2004="","","Check"),INDEX(Rules!$B:$B,N2004))</f>
        <v/>
      </c>
      <c r="F2004" s="21" t="str">
        <f aca="false">IF(OR(B2004="",N(N2004)=0,N2004=1000),"",INDEX(Rules!$C:$C,N2004))</f>
        <v/>
      </c>
      <c r="G2004" s="24"/>
      <c r="H2004" s="24"/>
      <c r="I2004" s="20" t="str">
        <f aca="false">IF(B2004="","",IF(G2004&lt;&gt;"",G2004,E2004))</f>
        <v/>
      </c>
      <c r="J2004" s="21" t="str">
        <f aca="false">IF(B2004="","",IF(H2004&lt;&gt;"",H2004,F2004))</f>
        <v/>
      </c>
      <c r="K2004" s="26" t="str">
        <f aca="false">IF(A2004="","",DATE(YEAR(A2004),MONTH(A2004),1))</f>
        <v/>
      </c>
      <c r="L2004" s="21" t="str">
        <f aca="false">IF(J2004="",IF(B2004="","",IF(N(C2004)&gt;=0,"Income","Expense")),IFERROR(INDEX(Lists!$B$2:$B$30,MATCH(J2004,Lists!$A$2:$A$30,0)),""))</f>
        <v/>
      </c>
      <c r="M2004" s="24"/>
      <c r="N2004" s="27" t="str">
        <f aca="false">IF(B2004="","",IFERROR(1000-SUMPRODUCT(MAX(ISNUMBER(SEARCH(Rules!$A$5:$A$204,B2004))*(Rules!$A$5:$A$204&lt;&gt;"")*(1000-ROW(Rules!$A$5:$A$204)))),""))</f>
        <v/>
      </c>
    </row>
    <row r="2005" customFormat="false" ht="15" hidden="false" customHeight="false" outlineLevel="0" collapsed="false">
      <c r="A2005" s="23"/>
      <c r="B2005" s="24"/>
      <c r="C2005" s="25"/>
      <c r="D2005" s="24"/>
      <c r="E2005" s="21" t="str">
        <f aca="false">IF(OR(B2005="",N(N2005)=0,N2005=1000),IF(B2005="","","Check"),INDEX(Rules!$B:$B,N2005))</f>
        <v/>
      </c>
      <c r="F2005" s="21" t="str">
        <f aca="false">IF(OR(B2005="",N(N2005)=0,N2005=1000),"",INDEX(Rules!$C:$C,N2005))</f>
        <v/>
      </c>
      <c r="G2005" s="24"/>
      <c r="H2005" s="24"/>
      <c r="I2005" s="20" t="str">
        <f aca="false">IF(B2005="","",IF(G2005&lt;&gt;"",G2005,E2005))</f>
        <v/>
      </c>
      <c r="J2005" s="21" t="str">
        <f aca="false">IF(B2005="","",IF(H2005&lt;&gt;"",H2005,F2005))</f>
        <v/>
      </c>
      <c r="K2005" s="26" t="str">
        <f aca="false">IF(A2005="","",DATE(YEAR(A2005),MONTH(A2005),1))</f>
        <v/>
      </c>
      <c r="L2005" s="21" t="str">
        <f aca="false">IF(J2005="",IF(B2005="","",IF(N(C2005)&gt;=0,"Income","Expense")),IFERROR(INDEX(Lists!$B$2:$B$30,MATCH(J2005,Lists!$A$2:$A$30,0)),""))</f>
        <v/>
      </c>
      <c r="M2005" s="24"/>
      <c r="N2005" s="27" t="str">
        <f aca="false">IF(B2005="","",IFERROR(1000-SUMPRODUCT(MAX(ISNUMBER(SEARCH(Rules!$A$5:$A$204,B2005))*(Rules!$A$5:$A$204&lt;&gt;"")*(1000-ROW(Rules!$A$5:$A$204)))),""))</f>
        <v/>
      </c>
    </row>
    <row r="2006" customFormat="false" ht="15" hidden="false" customHeight="false" outlineLevel="0" collapsed="false">
      <c r="A2006" s="23"/>
      <c r="B2006" s="24"/>
      <c r="C2006" s="25"/>
      <c r="D2006" s="24"/>
      <c r="E2006" s="21" t="str">
        <f aca="false">IF(OR(B2006="",N(N2006)=0,N2006=1000),IF(B2006="","","Check"),INDEX(Rules!$B:$B,N2006))</f>
        <v/>
      </c>
      <c r="F2006" s="21" t="str">
        <f aca="false">IF(OR(B2006="",N(N2006)=0,N2006=1000),"",INDEX(Rules!$C:$C,N2006))</f>
        <v/>
      </c>
      <c r="G2006" s="24"/>
      <c r="H2006" s="24"/>
      <c r="I2006" s="20" t="str">
        <f aca="false">IF(B2006="","",IF(G2006&lt;&gt;"",G2006,E2006))</f>
        <v/>
      </c>
      <c r="J2006" s="21" t="str">
        <f aca="false">IF(B2006="","",IF(H2006&lt;&gt;"",H2006,F2006))</f>
        <v/>
      </c>
      <c r="K2006" s="26" t="str">
        <f aca="false">IF(A2006="","",DATE(YEAR(A2006),MONTH(A2006),1))</f>
        <v/>
      </c>
      <c r="L2006" s="21" t="str">
        <f aca="false">IF(J2006="",IF(B2006="","",IF(N(C2006)&gt;=0,"Income","Expense")),IFERROR(INDEX(Lists!$B$2:$B$30,MATCH(J2006,Lists!$A$2:$A$30,0)),""))</f>
        <v/>
      </c>
      <c r="M2006" s="24"/>
      <c r="N2006" s="27" t="str">
        <f aca="false">IF(B2006="","",IFERROR(1000-SUMPRODUCT(MAX(ISNUMBER(SEARCH(Rules!$A$5:$A$204,B2006))*(Rules!$A$5:$A$204&lt;&gt;"")*(1000-ROW(Rules!$A$5:$A$204)))),""))</f>
        <v/>
      </c>
    </row>
    <row r="2007" customFormat="false" ht="15" hidden="false" customHeight="false" outlineLevel="0" collapsed="false">
      <c r="A2007" s="23"/>
      <c r="B2007" s="24"/>
      <c r="C2007" s="25"/>
      <c r="D2007" s="24"/>
      <c r="E2007" s="21" t="str">
        <f aca="false">IF(OR(B2007="",N(N2007)=0,N2007=1000),IF(B2007="","","Check"),INDEX(Rules!$B:$B,N2007))</f>
        <v/>
      </c>
      <c r="F2007" s="21" t="str">
        <f aca="false">IF(OR(B2007="",N(N2007)=0,N2007=1000),"",INDEX(Rules!$C:$C,N2007))</f>
        <v/>
      </c>
      <c r="G2007" s="24"/>
      <c r="H2007" s="24"/>
      <c r="I2007" s="20" t="str">
        <f aca="false">IF(B2007="","",IF(G2007&lt;&gt;"",G2007,E2007))</f>
        <v/>
      </c>
      <c r="J2007" s="21" t="str">
        <f aca="false">IF(B2007="","",IF(H2007&lt;&gt;"",H2007,F2007))</f>
        <v/>
      </c>
      <c r="K2007" s="26" t="str">
        <f aca="false">IF(A2007="","",DATE(YEAR(A2007),MONTH(A2007),1))</f>
        <v/>
      </c>
      <c r="L2007" s="21" t="str">
        <f aca="false">IF(J2007="",IF(B2007="","",IF(N(C2007)&gt;=0,"Income","Expense")),IFERROR(INDEX(Lists!$B$2:$B$30,MATCH(J2007,Lists!$A$2:$A$30,0)),""))</f>
        <v/>
      </c>
      <c r="M2007" s="24"/>
      <c r="N2007" s="27" t="str">
        <f aca="false">IF(B2007="","",IFERROR(1000-SUMPRODUCT(MAX(ISNUMBER(SEARCH(Rules!$A$5:$A$204,B2007))*(Rules!$A$5:$A$204&lt;&gt;"")*(1000-ROW(Rules!$A$5:$A$204)))),""))</f>
        <v/>
      </c>
    </row>
    <row r="2008" customFormat="false" ht="15" hidden="false" customHeight="false" outlineLevel="0" collapsed="false">
      <c r="A2008" s="23"/>
      <c r="B2008" s="24"/>
      <c r="C2008" s="25"/>
      <c r="D2008" s="24"/>
      <c r="E2008" s="21" t="str">
        <f aca="false">IF(OR(B2008="",N(N2008)=0,N2008=1000),IF(B2008="","","Check"),INDEX(Rules!$B:$B,N2008))</f>
        <v/>
      </c>
      <c r="F2008" s="21" t="str">
        <f aca="false">IF(OR(B2008="",N(N2008)=0,N2008=1000),"",INDEX(Rules!$C:$C,N2008))</f>
        <v/>
      </c>
      <c r="G2008" s="24"/>
      <c r="H2008" s="24"/>
      <c r="I2008" s="20" t="str">
        <f aca="false">IF(B2008="","",IF(G2008&lt;&gt;"",G2008,E2008))</f>
        <v/>
      </c>
      <c r="J2008" s="21" t="str">
        <f aca="false">IF(B2008="","",IF(H2008&lt;&gt;"",H2008,F2008))</f>
        <v/>
      </c>
      <c r="K2008" s="26" t="str">
        <f aca="false">IF(A2008="","",DATE(YEAR(A2008),MONTH(A2008),1))</f>
        <v/>
      </c>
      <c r="L2008" s="21" t="str">
        <f aca="false">IF(J2008="",IF(B2008="","",IF(N(C2008)&gt;=0,"Income","Expense")),IFERROR(INDEX(Lists!$B$2:$B$30,MATCH(J2008,Lists!$A$2:$A$30,0)),""))</f>
        <v/>
      </c>
      <c r="M2008" s="24"/>
      <c r="N2008" s="27" t="str">
        <f aca="false">IF(B2008="","",IFERROR(1000-SUMPRODUCT(MAX(ISNUMBER(SEARCH(Rules!$A$5:$A$204,B2008))*(Rules!$A$5:$A$204&lt;&gt;"")*(1000-ROW(Rules!$A$5:$A$204)))),""))</f>
        <v/>
      </c>
    </row>
    <row r="2009" customFormat="false" ht="15" hidden="false" customHeight="false" outlineLevel="0" collapsed="false">
      <c r="A2009" s="23"/>
      <c r="B2009" s="24"/>
      <c r="C2009" s="25"/>
      <c r="D2009" s="24"/>
      <c r="E2009" s="21" t="str">
        <f aca="false">IF(OR(B2009="",N(N2009)=0,N2009=1000),IF(B2009="","","Check"),INDEX(Rules!$B:$B,N2009))</f>
        <v/>
      </c>
      <c r="F2009" s="21" t="str">
        <f aca="false">IF(OR(B2009="",N(N2009)=0,N2009=1000),"",INDEX(Rules!$C:$C,N2009))</f>
        <v/>
      </c>
      <c r="G2009" s="24"/>
      <c r="H2009" s="24"/>
      <c r="I2009" s="20" t="str">
        <f aca="false">IF(B2009="","",IF(G2009&lt;&gt;"",G2009,E2009))</f>
        <v/>
      </c>
      <c r="J2009" s="21" t="str">
        <f aca="false">IF(B2009="","",IF(H2009&lt;&gt;"",H2009,F2009))</f>
        <v/>
      </c>
      <c r="K2009" s="26" t="str">
        <f aca="false">IF(A2009="","",DATE(YEAR(A2009),MONTH(A2009),1))</f>
        <v/>
      </c>
      <c r="L2009" s="21" t="str">
        <f aca="false">IF(J2009="",IF(B2009="","",IF(N(C2009)&gt;=0,"Income","Expense")),IFERROR(INDEX(Lists!$B$2:$B$30,MATCH(J2009,Lists!$A$2:$A$30,0)),""))</f>
        <v/>
      </c>
      <c r="M2009" s="24"/>
      <c r="N2009" s="27" t="str">
        <f aca="false">IF(B2009="","",IFERROR(1000-SUMPRODUCT(MAX(ISNUMBER(SEARCH(Rules!$A$5:$A$204,B2009))*(Rules!$A$5:$A$204&lt;&gt;"")*(1000-ROW(Rules!$A$5:$A$204)))),""))</f>
        <v/>
      </c>
    </row>
    <row r="2010" customFormat="false" ht="15" hidden="false" customHeight="false" outlineLevel="0" collapsed="false">
      <c r="A2010" s="23"/>
      <c r="B2010" s="24"/>
      <c r="C2010" s="25"/>
      <c r="D2010" s="24"/>
      <c r="E2010" s="21" t="str">
        <f aca="false">IF(OR(B2010="",N(N2010)=0,N2010=1000),IF(B2010="","","Check"),INDEX(Rules!$B:$B,N2010))</f>
        <v/>
      </c>
      <c r="F2010" s="21" t="str">
        <f aca="false">IF(OR(B2010="",N(N2010)=0,N2010=1000),"",INDEX(Rules!$C:$C,N2010))</f>
        <v/>
      </c>
      <c r="G2010" s="24"/>
      <c r="H2010" s="24"/>
      <c r="I2010" s="20" t="str">
        <f aca="false">IF(B2010="","",IF(G2010&lt;&gt;"",G2010,E2010))</f>
        <v/>
      </c>
      <c r="J2010" s="21" t="str">
        <f aca="false">IF(B2010="","",IF(H2010&lt;&gt;"",H2010,F2010))</f>
        <v/>
      </c>
      <c r="K2010" s="26" t="str">
        <f aca="false">IF(A2010="","",DATE(YEAR(A2010),MONTH(A2010),1))</f>
        <v/>
      </c>
      <c r="L2010" s="21" t="str">
        <f aca="false">IF(J2010="",IF(B2010="","",IF(N(C2010)&gt;=0,"Income","Expense")),IFERROR(INDEX(Lists!$B$2:$B$30,MATCH(J2010,Lists!$A$2:$A$30,0)),""))</f>
        <v/>
      </c>
      <c r="M2010" s="24"/>
      <c r="N2010" s="27" t="str">
        <f aca="false">IF(B2010="","",IFERROR(1000-SUMPRODUCT(MAX(ISNUMBER(SEARCH(Rules!$A$5:$A$204,B2010))*(Rules!$A$5:$A$204&lt;&gt;"")*(1000-ROW(Rules!$A$5:$A$204)))),""))</f>
        <v/>
      </c>
    </row>
    <row r="2011" customFormat="false" ht="15" hidden="false" customHeight="false" outlineLevel="0" collapsed="false">
      <c r="A2011" s="23"/>
      <c r="B2011" s="24"/>
      <c r="C2011" s="25"/>
      <c r="D2011" s="24"/>
      <c r="E2011" s="21" t="str">
        <f aca="false">IF(OR(B2011="",N(N2011)=0,N2011=1000),IF(B2011="","","Check"),INDEX(Rules!$B:$B,N2011))</f>
        <v/>
      </c>
      <c r="F2011" s="21" t="str">
        <f aca="false">IF(OR(B2011="",N(N2011)=0,N2011=1000),"",INDEX(Rules!$C:$C,N2011))</f>
        <v/>
      </c>
      <c r="G2011" s="24"/>
      <c r="H2011" s="24"/>
      <c r="I2011" s="20" t="str">
        <f aca="false">IF(B2011="","",IF(G2011&lt;&gt;"",G2011,E2011))</f>
        <v/>
      </c>
      <c r="J2011" s="21" t="str">
        <f aca="false">IF(B2011="","",IF(H2011&lt;&gt;"",H2011,F2011))</f>
        <v/>
      </c>
      <c r="K2011" s="26" t="str">
        <f aca="false">IF(A2011="","",DATE(YEAR(A2011),MONTH(A2011),1))</f>
        <v/>
      </c>
      <c r="L2011" s="21" t="str">
        <f aca="false">IF(J2011="",IF(B2011="","",IF(N(C2011)&gt;=0,"Income","Expense")),IFERROR(INDEX(Lists!$B$2:$B$30,MATCH(J2011,Lists!$A$2:$A$30,0)),""))</f>
        <v/>
      </c>
      <c r="M2011" s="24"/>
      <c r="N2011" s="27" t="str">
        <f aca="false">IF(B2011="","",IFERROR(1000-SUMPRODUCT(MAX(ISNUMBER(SEARCH(Rules!$A$5:$A$204,B2011))*(Rules!$A$5:$A$204&lt;&gt;"")*(1000-ROW(Rules!$A$5:$A$204)))),""))</f>
        <v/>
      </c>
    </row>
    <row r="2012" customFormat="false" ht="15" hidden="false" customHeight="false" outlineLevel="0" collapsed="false">
      <c r="A2012" s="23"/>
      <c r="B2012" s="24"/>
      <c r="C2012" s="25"/>
      <c r="D2012" s="24"/>
      <c r="E2012" s="21" t="str">
        <f aca="false">IF(OR(B2012="",N(N2012)=0,N2012=1000),IF(B2012="","","Check"),INDEX(Rules!$B:$B,N2012))</f>
        <v/>
      </c>
      <c r="F2012" s="21" t="str">
        <f aca="false">IF(OR(B2012="",N(N2012)=0,N2012=1000),"",INDEX(Rules!$C:$C,N2012))</f>
        <v/>
      </c>
      <c r="G2012" s="24"/>
      <c r="H2012" s="24"/>
      <c r="I2012" s="20" t="str">
        <f aca="false">IF(B2012="","",IF(G2012&lt;&gt;"",G2012,E2012))</f>
        <v/>
      </c>
      <c r="J2012" s="21" t="str">
        <f aca="false">IF(B2012="","",IF(H2012&lt;&gt;"",H2012,F2012))</f>
        <v/>
      </c>
      <c r="K2012" s="26" t="str">
        <f aca="false">IF(A2012="","",DATE(YEAR(A2012),MONTH(A2012),1))</f>
        <v/>
      </c>
      <c r="L2012" s="21" t="str">
        <f aca="false">IF(J2012="",IF(B2012="","",IF(N(C2012)&gt;=0,"Income","Expense")),IFERROR(INDEX(Lists!$B$2:$B$30,MATCH(J2012,Lists!$A$2:$A$30,0)),""))</f>
        <v/>
      </c>
      <c r="M2012" s="24"/>
      <c r="N2012" s="27" t="str">
        <f aca="false">IF(B2012="","",IFERROR(1000-SUMPRODUCT(MAX(ISNUMBER(SEARCH(Rules!$A$5:$A$204,B2012))*(Rules!$A$5:$A$204&lt;&gt;"")*(1000-ROW(Rules!$A$5:$A$204)))),""))</f>
        <v/>
      </c>
    </row>
    <row r="2013" customFormat="false" ht="15" hidden="false" customHeight="false" outlineLevel="0" collapsed="false">
      <c r="A2013" s="23"/>
      <c r="B2013" s="24"/>
      <c r="C2013" s="25"/>
      <c r="D2013" s="24"/>
      <c r="E2013" s="21" t="str">
        <f aca="false">IF(OR(B2013="",N(N2013)=0,N2013=1000),IF(B2013="","","Check"),INDEX(Rules!$B:$B,N2013))</f>
        <v/>
      </c>
      <c r="F2013" s="21" t="str">
        <f aca="false">IF(OR(B2013="",N(N2013)=0,N2013=1000),"",INDEX(Rules!$C:$C,N2013))</f>
        <v/>
      </c>
      <c r="G2013" s="24"/>
      <c r="H2013" s="24"/>
      <c r="I2013" s="20" t="str">
        <f aca="false">IF(B2013="","",IF(G2013&lt;&gt;"",G2013,E2013))</f>
        <v/>
      </c>
      <c r="J2013" s="21" t="str">
        <f aca="false">IF(B2013="","",IF(H2013&lt;&gt;"",H2013,F2013))</f>
        <v/>
      </c>
      <c r="K2013" s="26" t="str">
        <f aca="false">IF(A2013="","",DATE(YEAR(A2013),MONTH(A2013),1))</f>
        <v/>
      </c>
      <c r="L2013" s="21" t="str">
        <f aca="false">IF(J2013="",IF(B2013="","",IF(N(C2013)&gt;=0,"Income","Expense")),IFERROR(INDEX(Lists!$B$2:$B$30,MATCH(J2013,Lists!$A$2:$A$30,0)),""))</f>
        <v/>
      </c>
      <c r="M2013" s="24"/>
      <c r="N2013" s="27" t="str">
        <f aca="false">IF(B2013="","",IFERROR(1000-SUMPRODUCT(MAX(ISNUMBER(SEARCH(Rules!$A$5:$A$204,B2013))*(Rules!$A$5:$A$204&lt;&gt;"")*(1000-ROW(Rules!$A$5:$A$204)))),""))</f>
        <v/>
      </c>
    </row>
    <row r="2014" customFormat="false" ht="15" hidden="false" customHeight="false" outlineLevel="0" collapsed="false">
      <c r="A2014" s="23"/>
      <c r="B2014" s="24"/>
      <c r="C2014" s="25"/>
      <c r="D2014" s="24"/>
      <c r="E2014" s="21" t="str">
        <f aca="false">IF(OR(B2014="",N(N2014)=0,N2014=1000),IF(B2014="","","Check"),INDEX(Rules!$B:$B,N2014))</f>
        <v/>
      </c>
      <c r="F2014" s="21" t="str">
        <f aca="false">IF(OR(B2014="",N(N2014)=0,N2014=1000),"",INDEX(Rules!$C:$C,N2014))</f>
        <v/>
      </c>
      <c r="G2014" s="24"/>
      <c r="H2014" s="24"/>
      <c r="I2014" s="20" t="str">
        <f aca="false">IF(B2014="","",IF(G2014&lt;&gt;"",G2014,E2014))</f>
        <v/>
      </c>
      <c r="J2014" s="21" t="str">
        <f aca="false">IF(B2014="","",IF(H2014&lt;&gt;"",H2014,F2014))</f>
        <v/>
      </c>
      <c r="K2014" s="26" t="str">
        <f aca="false">IF(A2014="","",DATE(YEAR(A2014),MONTH(A2014),1))</f>
        <v/>
      </c>
      <c r="L2014" s="21" t="str">
        <f aca="false">IF(J2014="",IF(B2014="","",IF(N(C2014)&gt;=0,"Income","Expense")),IFERROR(INDEX(Lists!$B$2:$B$30,MATCH(J2014,Lists!$A$2:$A$30,0)),""))</f>
        <v/>
      </c>
      <c r="M2014" s="24"/>
      <c r="N2014" s="27" t="str">
        <f aca="false">IF(B2014="","",IFERROR(1000-SUMPRODUCT(MAX(ISNUMBER(SEARCH(Rules!$A$5:$A$204,B2014))*(Rules!$A$5:$A$204&lt;&gt;"")*(1000-ROW(Rules!$A$5:$A$204)))),""))</f>
        <v/>
      </c>
    </row>
    <row r="2015" customFormat="false" ht="15" hidden="false" customHeight="false" outlineLevel="0" collapsed="false">
      <c r="A2015" s="23"/>
      <c r="B2015" s="24"/>
      <c r="C2015" s="25"/>
      <c r="D2015" s="24"/>
      <c r="E2015" s="21" t="str">
        <f aca="false">IF(OR(B2015="",N(N2015)=0,N2015=1000),IF(B2015="","","Check"),INDEX(Rules!$B:$B,N2015))</f>
        <v/>
      </c>
      <c r="F2015" s="21" t="str">
        <f aca="false">IF(OR(B2015="",N(N2015)=0,N2015=1000),"",INDEX(Rules!$C:$C,N2015))</f>
        <v/>
      </c>
      <c r="G2015" s="24"/>
      <c r="H2015" s="24"/>
      <c r="I2015" s="20" t="str">
        <f aca="false">IF(B2015="","",IF(G2015&lt;&gt;"",G2015,E2015))</f>
        <v/>
      </c>
      <c r="J2015" s="21" t="str">
        <f aca="false">IF(B2015="","",IF(H2015&lt;&gt;"",H2015,F2015))</f>
        <v/>
      </c>
      <c r="K2015" s="26" t="str">
        <f aca="false">IF(A2015="","",DATE(YEAR(A2015),MONTH(A2015),1))</f>
        <v/>
      </c>
      <c r="L2015" s="21" t="str">
        <f aca="false">IF(J2015="",IF(B2015="","",IF(N(C2015)&gt;=0,"Income","Expense")),IFERROR(INDEX(Lists!$B$2:$B$30,MATCH(J2015,Lists!$A$2:$A$30,0)),""))</f>
        <v/>
      </c>
      <c r="M2015" s="24"/>
      <c r="N2015" s="27" t="str">
        <f aca="false">IF(B2015="","",IFERROR(1000-SUMPRODUCT(MAX(ISNUMBER(SEARCH(Rules!$A$5:$A$204,B2015))*(Rules!$A$5:$A$204&lt;&gt;"")*(1000-ROW(Rules!$A$5:$A$204)))),""))</f>
        <v/>
      </c>
    </row>
    <row r="2016" customFormat="false" ht="15" hidden="false" customHeight="false" outlineLevel="0" collapsed="false">
      <c r="A2016" s="23"/>
      <c r="B2016" s="24"/>
      <c r="C2016" s="25"/>
      <c r="D2016" s="24"/>
      <c r="E2016" s="21" t="str">
        <f aca="false">IF(OR(B2016="",N(N2016)=0,N2016=1000),IF(B2016="","","Check"),INDEX(Rules!$B:$B,N2016))</f>
        <v/>
      </c>
      <c r="F2016" s="21" t="str">
        <f aca="false">IF(OR(B2016="",N(N2016)=0,N2016=1000),"",INDEX(Rules!$C:$C,N2016))</f>
        <v/>
      </c>
      <c r="G2016" s="24"/>
      <c r="H2016" s="24"/>
      <c r="I2016" s="20" t="str">
        <f aca="false">IF(B2016="","",IF(G2016&lt;&gt;"",G2016,E2016))</f>
        <v/>
      </c>
      <c r="J2016" s="21" t="str">
        <f aca="false">IF(B2016="","",IF(H2016&lt;&gt;"",H2016,F2016))</f>
        <v/>
      </c>
      <c r="K2016" s="26" t="str">
        <f aca="false">IF(A2016="","",DATE(YEAR(A2016),MONTH(A2016),1))</f>
        <v/>
      </c>
      <c r="L2016" s="21" t="str">
        <f aca="false">IF(J2016="",IF(B2016="","",IF(N(C2016)&gt;=0,"Income","Expense")),IFERROR(INDEX(Lists!$B$2:$B$30,MATCH(J2016,Lists!$A$2:$A$30,0)),""))</f>
        <v/>
      </c>
      <c r="M2016" s="24"/>
      <c r="N2016" s="27" t="str">
        <f aca="false">IF(B2016="","",IFERROR(1000-SUMPRODUCT(MAX(ISNUMBER(SEARCH(Rules!$A$5:$A$204,B2016))*(Rules!$A$5:$A$204&lt;&gt;"")*(1000-ROW(Rules!$A$5:$A$204)))),""))</f>
        <v/>
      </c>
    </row>
    <row r="2017" customFormat="false" ht="15" hidden="false" customHeight="false" outlineLevel="0" collapsed="false">
      <c r="A2017" s="23"/>
      <c r="B2017" s="24"/>
      <c r="C2017" s="25"/>
      <c r="D2017" s="24"/>
      <c r="E2017" s="21" t="str">
        <f aca="false">IF(OR(B2017="",N(N2017)=0,N2017=1000),IF(B2017="","","Check"),INDEX(Rules!$B:$B,N2017))</f>
        <v/>
      </c>
      <c r="F2017" s="21" t="str">
        <f aca="false">IF(OR(B2017="",N(N2017)=0,N2017=1000),"",INDEX(Rules!$C:$C,N2017))</f>
        <v/>
      </c>
      <c r="G2017" s="24"/>
      <c r="H2017" s="24"/>
      <c r="I2017" s="20" t="str">
        <f aca="false">IF(B2017="","",IF(G2017&lt;&gt;"",G2017,E2017))</f>
        <v/>
      </c>
      <c r="J2017" s="21" t="str">
        <f aca="false">IF(B2017="","",IF(H2017&lt;&gt;"",H2017,F2017))</f>
        <v/>
      </c>
      <c r="K2017" s="26" t="str">
        <f aca="false">IF(A2017="","",DATE(YEAR(A2017),MONTH(A2017),1))</f>
        <v/>
      </c>
      <c r="L2017" s="21" t="str">
        <f aca="false">IF(J2017="",IF(B2017="","",IF(N(C2017)&gt;=0,"Income","Expense")),IFERROR(INDEX(Lists!$B$2:$B$30,MATCH(J2017,Lists!$A$2:$A$30,0)),""))</f>
        <v/>
      </c>
      <c r="M2017" s="24"/>
      <c r="N2017" s="27" t="str">
        <f aca="false">IF(B2017="","",IFERROR(1000-SUMPRODUCT(MAX(ISNUMBER(SEARCH(Rules!$A$5:$A$204,B2017))*(Rules!$A$5:$A$204&lt;&gt;"")*(1000-ROW(Rules!$A$5:$A$204)))),""))</f>
        <v/>
      </c>
    </row>
    <row r="2018" customFormat="false" ht="15" hidden="false" customHeight="false" outlineLevel="0" collapsed="false">
      <c r="A2018" s="23"/>
      <c r="B2018" s="24"/>
      <c r="C2018" s="25"/>
      <c r="D2018" s="24"/>
      <c r="E2018" s="21" t="str">
        <f aca="false">IF(OR(B2018="",N(N2018)=0,N2018=1000),IF(B2018="","","Check"),INDEX(Rules!$B:$B,N2018))</f>
        <v/>
      </c>
      <c r="F2018" s="21" t="str">
        <f aca="false">IF(OR(B2018="",N(N2018)=0,N2018=1000),"",INDEX(Rules!$C:$C,N2018))</f>
        <v/>
      </c>
      <c r="G2018" s="24"/>
      <c r="H2018" s="24"/>
      <c r="I2018" s="20" t="str">
        <f aca="false">IF(B2018="","",IF(G2018&lt;&gt;"",G2018,E2018))</f>
        <v/>
      </c>
      <c r="J2018" s="21" t="str">
        <f aca="false">IF(B2018="","",IF(H2018&lt;&gt;"",H2018,F2018))</f>
        <v/>
      </c>
      <c r="K2018" s="26" t="str">
        <f aca="false">IF(A2018="","",DATE(YEAR(A2018),MONTH(A2018),1))</f>
        <v/>
      </c>
      <c r="L2018" s="21" t="str">
        <f aca="false">IF(J2018="",IF(B2018="","",IF(N(C2018)&gt;=0,"Income","Expense")),IFERROR(INDEX(Lists!$B$2:$B$30,MATCH(J2018,Lists!$A$2:$A$30,0)),""))</f>
        <v/>
      </c>
      <c r="M2018" s="24"/>
      <c r="N2018" s="27" t="str">
        <f aca="false">IF(B2018="","",IFERROR(1000-SUMPRODUCT(MAX(ISNUMBER(SEARCH(Rules!$A$5:$A$204,B2018))*(Rules!$A$5:$A$204&lt;&gt;"")*(1000-ROW(Rules!$A$5:$A$204)))),""))</f>
        <v/>
      </c>
    </row>
    <row r="2019" customFormat="false" ht="15" hidden="false" customHeight="false" outlineLevel="0" collapsed="false">
      <c r="A2019" s="23"/>
      <c r="B2019" s="24"/>
      <c r="C2019" s="25"/>
      <c r="D2019" s="24"/>
      <c r="E2019" s="21" t="str">
        <f aca="false">IF(OR(B2019="",N(N2019)=0,N2019=1000),IF(B2019="","","Check"),INDEX(Rules!$B:$B,N2019))</f>
        <v/>
      </c>
      <c r="F2019" s="21" t="str">
        <f aca="false">IF(OR(B2019="",N(N2019)=0,N2019=1000),"",INDEX(Rules!$C:$C,N2019))</f>
        <v/>
      </c>
      <c r="G2019" s="24"/>
      <c r="H2019" s="24"/>
      <c r="I2019" s="20" t="str">
        <f aca="false">IF(B2019="","",IF(G2019&lt;&gt;"",G2019,E2019))</f>
        <v/>
      </c>
      <c r="J2019" s="21" t="str">
        <f aca="false">IF(B2019="","",IF(H2019&lt;&gt;"",H2019,F2019))</f>
        <v/>
      </c>
      <c r="K2019" s="26" t="str">
        <f aca="false">IF(A2019="","",DATE(YEAR(A2019),MONTH(A2019),1))</f>
        <v/>
      </c>
      <c r="L2019" s="21" t="str">
        <f aca="false">IF(J2019="",IF(B2019="","",IF(N(C2019)&gt;=0,"Income","Expense")),IFERROR(INDEX(Lists!$B$2:$B$30,MATCH(J2019,Lists!$A$2:$A$30,0)),""))</f>
        <v/>
      </c>
      <c r="M2019" s="24"/>
      <c r="N2019" s="27" t="str">
        <f aca="false">IF(B2019="","",IFERROR(1000-SUMPRODUCT(MAX(ISNUMBER(SEARCH(Rules!$A$5:$A$204,B2019))*(Rules!$A$5:$A$204&lt;&gt;"")*(1000-ROW(Rules!$A$5:$A$204)))),""))</f>
        <v/>
      </c>
    </row>
    <row r="2020" customFormat="false" ht="15" hidden="false" customHeight="false" outlineLevel="0" collapsed="false">
      <c r="A2020" s="23"/>
      <c r="B2020" s="24"/>
      <c r="C2020" s="25"/>
      <c r="D2020" s="24"/>
      <c r="E2020" s="21" t="str">
        <f aca="false">IF(OR(B2020="",N(N2020)=0,N2020=1000),IF(B2020="","","Check"),INDEX(Rules!$B:$B,N2020))</f>
        <v/>
      </c>
      <c r="F2020" s="21" t="str">
        <f aca="false">IF(OR(B2020="",N(N2020)=0,N2020=1000),"",INDEX(Rules!$C:$C,N2020))</f>
        <v/>
      </c>
      <c r="G2020" s="24"/>
      <c r="H2020" s="24"/>
      <c r="I2020" s="20" t="str">
        <f aca="false">IF(B2020="","",IF(G2020&lt;&gt;"",G2020,E2020))</f>
        <v/>
      </c>
      <c r="J2020" s="21" t="str">
        <f aca="false">IF(B2020="","",IF(H2020&lt;&gt;"",H2020,F2020))</f>
        <v/>
      </c>
      <c r="K2020" s="26" t="str">
        <f aca="false">IF(A2020="","",DATE(YEAR(A2020),MONTH(A2020),1))</f>
        <v/>
      </c>
      <c r="L2020" s="21" t="str">
        <f aca="false">IF(J2020="",IF(B2020="","",IF(N(C2020)&gt;=0,"Income","Expense")),IFERROR(INDEX(Lists!$B$2:$B$30,MATCH(J2020,Lists!$A$2:$A$30,0)),""))</f>
        <v/>
      </c>
      <c r="M2020" s="24"/>
      <c r="N2020" s="27" t="str">
        <f aca="false">IF(B2020="","",IFERROR(1000-SUMPRODUCT(MAX(ISNUMBER(SEARCH(Rules!$A$5:$A$204,B2020))*(Rules!$A$5:$A$204&lt;&gt;"")*(1000-ROW(Rules!$A$5:$A$204)))),""))</f>
        <v/>
      </c>
    </row>
    <row r="2021" customFormat="false" ht="15" hidden="false" customHeight="false" outlineLevel="0" collapsed="false">
      <c r="A2021" s="23"/>
      <c r="B2021" s="24"/>
      <c r="C2021" s="25"/>
      <c r="D2021" s="24"/>
      <c r="E2021" s="21" t="str">
        <f aca="false">IF(OR(B2021="",N(N2021)=0,N2021=1000),IF(B2021="","","Check"),INDEX(Rules!$B:$B,N2021))</f>
        <v/>
      </c>
      <c r="F2021" s="21" t="str">
        <f aca="false">IF(OR(B2021="",N(N2021)=0,N2021=1000),"",INDEX(Rules!$C:$C,N2021))</f>
        <v/>
      </c>
      <c r="G2021" s="24"/>
      <c r="H2021" s="24"/>
      <c r="I2021" s="20" t="str">
        <f aca="false">IF(B2021="","",IF(G2021&lt;&gt;"",G2021,E2021))</f>
        <v/>
      </c>
      <c r="J2021" s="21" t="str">
        <f aca="false">IF(B2021="","",IF(H2021&lt;&gt;"",H2021,F2021))</f>
        <v/>
      </c>
      <c r="K2021" s="26" t="str">
        <f aca="false">IF(A2021="","",DATE(YEAR(A2021),MONTH(A2021),1))</f>
        <v/>
      </c>
      <c r="L2021" s="21" t="str">
        <f aca="false">IF(J2021="",IF(B2021="","",IF(N(C2021)&gt;=0,"Income","Expense")),IFERROR(INDEX(Lists!$B$2:$B$30,MATCH(J2021,Lists!$A$2:$A$30,0)),""))</f>
        <v/>
      </c>
      <c r="M2021" s="24"/>
      <c r="N2021" s="27" t="str">
        <f aca="false">IF(B2021="","",IFERROR(1000-SUMPRODUCT(MAX(ISNUMBER(SEARCH(Rules!$A$5:$A$204,B2021))*(Rules!$A$5:$A$204&lt;&gt;"")*(1000-ROW(Rules!$A$5:$A$204)))),""))</f>
        <v/>
      </c>
    </row>
    <row r="2022" customFormat="false" ht="15" hidden="false" customHeight="false" outlineLevel="0" collapsed="false">
      <c r="A2022" s="23"/>
      <c r="B2022" s="24"/>
      <c r="C2022" s="25"/>
      <c r="D2022" s="24"/>
      <c r="E2022" s="21" t="str">
        <f aca="false">IF(OR(B2022="",N(N2022)=0,N2022=1000),IF(B2022="","","Check"),INDEX(Rules!$B:$B,N2022))</f>
        <v/>
      </c>
      <c r="F2022" s="21" t="str">
        <f aca="false">IF(OR(B2022="",N(N2022)=0,N2022=1000),"",INDEX(Rules!$C:$C,N2022))</f>
        <v/>
      </c>
      <c r="G2022" s="24"/>
      <c r="H2022" s="24"/>
      <c r="I2022" s="20" t="str">
        <f aca="false">IF(B2022="","",IF(G2022&lt;&gt;"",G2022,E2022))</f>
        <v/>
      </c>
      <c r="J2022" s="21" t="str">
        <f aca="false">IF(B2022="","",IF(H2022&lt;&gt;"",H2022,F2022))</f>
        <v/>
      </c>
      <c r="K2022" s="26" t="str">
        <f aca="false">IF(A2022="","",DATE(YEAR(A2022),MONTH(A2022),1))</f>
        <v/>
      </c>
      <c r="L2022" s="21" t="str">
        <f aca="false">IF(J2022="",IF(B2022="","",IF(N(C2022)&gt;=0,"Income","Expense")),IFERROR(INDEX(Lists!$B$2:$B$30,MATCH(J2022,Lists!$A$2:$A$30,0)),""))</f>
        <v/>
      </c>
      <c r="M2022" s="24"/>
      <c r="N2022" s="27" t="str">
        <f aca="false">IF(B2022="","",IFERROR(1000-SUMPRODUCT(MAX(ISNUMBER(SEARCH(Rules!$A$5:$A$204,B2022))*(Rules!$A$5:$A$204&lt;&gt;"")*(1000-ROW(Rules!$A$5:$A$204)))),""))</f>
        <v/>
      </c>
    </row>
    <row r="2023" customFormat="false" ht="15" hidden="false" customHeight="false" outlineLevel="0" collapsed="false">
      <c r="A2023" s="23"/>
      <c r="B2023" s="24"/>
      <c r="C2023" s="25"/>
      <c r="D2023" s="24"/>
      <c r="E2023" s="21" t="str">
        <f aca="false">IF(OR(B2023="",N(N2023)=0,N2023=1000),IF(B2023="","","Check"),INDEX(Rules!$B:$B,N2023))</f>
        <v/>
      </c>
      <c r="F2023" s="21" t="str">
        <f aca="false">IF(OR(B2023="",N(N2023)=0,N2023=1000),"",INDEX(Rules!$C:$C,N2023))</f>
        <v/>
      </c>
      <c r="G2023" s="24"/>
      <c r="H2023" s="24"/>
      <c r="I2023" s="20" t="str">
        <f aca="false">IF(B2023="","",IF(G2023&lt;&gt;"",G2023,E2023))</f>
        <v/>
      </c>
      <c r="J2023" s="21" t="str">
        <f aca="false">IF(B2023="","",IF(H2023&lt;&gt;"",H2023,F2023))</f>
        <v/>
      </c>
      <c r="K2023" s="26" t="str">
        <f aca="false">IF(A2023="","",DATE(YEAR(A2023),MONTH(A2023),1))</f>
        <v/>
      </c>
      <c r="L2023" s="21" t="str">
        <f aca="false">IF(J2023="",IF(B2023="","",IF(N(C2023)&gt;=0,"Income","Expense")),IFERROR(INDEX(Lists!$B$2:$B$30,MATCH(J2023,Lists!$A$2:$A$30,0)),""))</f>
        <v/>
      </c>
      <c r="M2023" s="24"/>
      <c r="N2023" s="27" t="str">
        <f aca="false">IF(B2023="","",IFERROR(1000-SUMPRODUCT(MAX(ISNUMBER(SEARCH(Rules!$A$5:$A$204,B2023))*(Rules!$A$5:$A$204&lt;&gt;"")*(1000-ROW(Rules!$A$5:$A$204)))),""))</f>
        <v/>
      </c>
    </row>
    <row r="2024" customFormat="false" ht="15" hidden="false" customHeight="false" outlineLevel="0" collapsed="false">
      <c r="A2024" s="23"/>
      <c r="B2024" s="24"/>
      <c r="C2024" s="25"/>
      <c r="D2024" s="24"/>
      <c r="E2024" s="21" t="str">
        <f aca="false">IF(OR(B2024="",N(N2024)=0,N2024=1000),IF(B2024="","","Check"),INDEX(Rules!$B:$B,N2024))</f>
        <v/>
      </c>
      <c r="F2024" s="21" t="str">
        <f aca="false">IF(OR(B2024="",N(N2024)=0,N2024=1000),"",INDEX(Rules!$C:$C,N2024))</f>
        <v/>
      </c>
      <c r="G2024" s="24"/>
      <c r="H2024" s="24"/>
      <c r="I2024" s="20" t="str">
        <f aca="false">IF(B2024="","",IF(G2024&lt;&gt;"",G2024,E2024))</f>
        <v/>
      </c>
      <c r="J2024" s="21" t="str">
        <f aca="false">IF(B2024="","",IF(H2024&lt;&gt;"",H2024,F2024))</f>
        <v/>
      </c>
      <c r="K2024" s="26" t="str">
        <f aca="false">IF(A2024="","",DATE(YEAR(A2024),MONTH(A2024),1))</f>
        <v/>
      </c>
      <c r="L2024" s="21" t="str">
        <f aca="false">IF(J2024="",IF(B2024="","",IF(N(C2024)&gt;=0,"Income","Expense")),IFERROR(INDEX(Lists!$B$2:$B$30,MATCH(J2024,Lists!$A$2:$A$30,0)),""))</f>
        <v/>
      </c>
      <c r="M2024" s="24"/>
      <c r="N2024" s="27" t="str">
        <f aca="false">IF(B2024="","",IFERROR(1000-SUMPRODUCT(MAX(ISNUMBER(SEARCH(Rules!$A$5:$A$204,B2024))*(Rules!$A$5:$A$204&lt;&gt;"")*(1000-ROW(Rules!$A$5:$A$204)))),""))</f>
        <v/>
      </c>
    </row>
    <row r="2025" customFormat="false" ht="15" hidden="false" customHeight="false" outlineLevel="0" collapsed="false">
      <c r="A2025" s="23"/>
      <c r="B2025" s="24"/>
      <c r="C2025" s="25"/>
      <c r="D2025" s="24"/>
      <c r="E2025" s="21" t="str">
        <f aca="false">IF(OR(B2025="",N(N2025)=0,N2025=1000),IF(B2025="","","Check"),INDEX(Rules!$B:$B,N2025))</f>
        <v/>
      </c>
      <c r="F2025" s="21" t="str">
        <f aca="false">IF(OR(B2025="",N(N2025)=0,N2025=1000),"",INDEX(Rules!$C:$C,N2025))</f>
        <v/>
      </c>
      <c r="G2025" s="24"/>
      <c r="H2025" s="24"/>
      <c r="I2025" s="20" t="str">
        <f aca="false">IF(B2025="","",IF(G2025&lt;&gt;"",G2025,E2025))</f>
        <v/>
      </c>
      <c r="J2025" s="21" t="str">
        <f aca="false">IF(B2025="","",IF(H2025&lt;&gt;"",H2025,F2025))</f>
        <v/>
      </c>
      <c r="K2025" s="26" t="str">
        <f aca="false">IF(A2025="","",DATE(YEAR(A2025),MONTH(A2025),1))</f>
        <v/>
      </c>
      <c r="L2025" s="21" t="str">
        <f aca="false">IF(J2025="",IF(B2025="","",IF(N(C2025)&gt;=0,"Income","Expense")),IFERROR(INDEX(Lists!$B$2:$B$30,MATCH(J2025,Lists!$A$2:$A$30,0)),""))</f>
        <v/>
      </c>
      <c r="M2025" s="24"/>
      <c r="N2025" s="27" t="str">
        <f aca="false">IF(B2025="","",IFERROR(1000-SUMPRODUCT(MAX(ISNUMBER(SEARCH(Rules!$A$5:$A$204,B2025))*(Rules!$A$5:$A$204&lt;&gt;"")*(1000-ROW(Rules!$A$5:$A$204)))),""))</f>
        <v/>
      </c>
    </row>
    <row r="2026" customFormat="false" ht="15" hidden="false" customHeight="false" outlineLevel="0" collapsed="false">
      <c r="A2026" s="23"/>
      <c r="B2026" s="24"/>
      <c r="C2026" s="25"/>
      <c r="D2026" s="24"/>
      <c r="E2026" s="21" t="str">
        <f aca="false">IF(OR(B2026="",N(N2026)=0,N2026=1000),IF(B2026="","","Check"),INDEX(Rules!$B:$B,N2026))</f>
        <v/>
      </c>
      <c r="F2026" s="21" t="str">
        <f aca="false">IF(OR(B2026="",N(N2026)=0,N2026=1000),"",INDEX(Rules!$C:$C,N2026))</f>
        <v/>
      </c>
      <c r="G2026" s="24"/>
      <c r="H2026" s="24"/>
      <c r="I2026" s="20" t="str">
        <f aca="false">IF(B2026="","",IF(G2026&lt;&gt;"",G2026,E2026))</f>
        <v/>
      </c>
      <c r="J2026" s="21" t="str">
        <f aca="false">IF(B2026="","",IF(H2026&lt;&gt;"",H2026,F2026))</f>
        <v/>
      </c>
      <c r="K2026" s="26" t="str">
        <f aca="false">IF(A2026="","",DATE(YEAR(A2026),MONTH(A2026),1))</f>
        <v/>
      </c>
      <c r="L2026" s="21" t="str">
        <f aca="false">IF(J2026="",IF(B2026="","",IF(N(C2026)&gt;=0,"Income","Expense")),IFERROR(INDEX(Lists!$B$2:$B$30,MATCH(J2026,Lists!$A$2:$A$30,0)),""))</f>
        <v/>
      </c>
      <c r="M2026" s="24"/>
      <c r="N2026" s="27" t="str">
        <f aca="false">IF(B2026="","",IFERROR(1000-SUMPRODUCT(MAX(ISNUMBER(SEARCH(Rules!$A$5:$A$204,B2026))*(Rules!$A$5:$A$204&lt;&gt;"")*(1000-ROW(Rules!$A$5:$A$204)))),""))</f>
        <v/>
      </c>
    </row>
    <row r="2027" customFormat="false" ht="15" hidden="false" customHeight="false" outlineLevel="0" collapsed="false">
      <c r="A2027" s="23"/>
      <c r="B2027" s="24"/>
      <c r="C2027" s="25"/>
      <c r="D2027" s="24"/>
      <c r="E2027" s="21" t="str">
        <f aca="false">IF(OR(B2027="",N(N2027)=0,N2027=1000),IF(B2027="","","Check"),INDEX(Rules!$B:$B,N2027))</f>
        <v/>
      </c>
      <c r="F2027" s="21" t="str">
        <f aca="false">IF(OR(B2027="",N(N2027)=0,N2027=1000),"",INDEX(Rules!$C:$C,N2027))</f>
        <v/>
      </c>
      <c r="G2027" s="24"/>
      <c r="H2027" s="24"/>
      <c r="I2027" s="20" t="str">
        <f aca="false">IF(B2027="","",IF(G2027&lt;&gt;"",G2027,E2027))</f>
        <v/>
      </c>
      <c r="J2027" s="21" t="str">
        <f aca="false">IF(B2027="","",IF(H2027&lt;&gt;"",H2027,F2027))</f>
        <v/>
      </c>
      <c r="K2027" s="26" t="str">
        <f aca="false">IF(A2027="","",DATE(YEAR(A2027),MONTH(A2027),1))</f>
        <v/>
      </c>
      <c r="L2027" s="21" t="str">
        <f aca="false">IF(J2027="",IF(B2027="","",IF(N(C2027)&gt;=0,"Income","Expense")),IFERROR(INDEX(Lists!$B$2:$B$30,MATCH(J2027,Lists!$A$2:$A$30,0)),""))</f>
        <v/>
      </c>
      <c r="M2027" s="24"/>
      <c r="N2027" s="27" t="str">
        <f aca="false">IF(B2027="","",IFERROR(1000-SUMPRODUCT(MAX(ISNUMBER(SEARCH(Rules!$A$5:$A$204,B2027))*(Rules!$A$5:$A$204&lt;&gt;"")*(1000-ROW(Rules!$A$5:$A$204)))),""))</f>
        <v/>
      </c>
    </row>
    <row r="2028" customFormat="false" ht="15" hidden="false" customHeight="false" outlineLevel="0" collapsed="false">
      <c r="A2028" s="23"/>
      <c r="B2028" s="24"/>
      <c r="C2028" s="25"/>
      <c r="D2028" s="24"/>
      <c r="E2028" s="21" t="str">
        <f aca="false">IF(OR(B2028="",N(N2028)=0,N2028=1000),IF(B2028="","","Check"),INDEX(Rules!$B:$B,N2028))</f>
        <v/>
      </c>
      <c r="F2028" s="21" t="str">
        <f aca="false">IF(OR(B2028="",N(N2028)=0,N2028=1000),"",INDEX(Rules!$C:$C,N2028))</f>
        <v/>
      </c>
      <c r="G2028" s="24"/>
      <c r="H2028" s="24"/>
      <c r="I2028" s="20" t="str">
        <f aca="false">IF(B2028="","",IF(G2028&lt;&gt;"",G2028,E2028))</f>
        <v/>
      </c>
      <c r="J2028" s="21" t="str">
        <f aca="false">IF(B2028="","",IF(H2028&lt;&gt;"",H2028,F2028))</f>
        <v/>
      </c>
      <c r="K2028" s="26" t="str">
        <f aca="false">IF(A2028="","",DATE(YEAR(A2028),MONTH(A2028),1))</f>
        <v/>
      </c>
      <c r="L2028" s="21" t="str">
        <f aca="false">IF(J2028="",IF(B2028="","",IF(N(C2028)&gt;=0,"Income","Expense")),IFERROR(INDEX(Lists!$B$2:$B$30,MATCH(J2028,Lists!$A$2:$A$30,0)),""))</f>
        <v/>
      </c>
      <c r="M2028" s="24"/>
      <c r="N2028" s="27" t="str">
        <f aca="false">IF(B2028="","",IFERROR(1000-SUMPRODUCT(MAX(ISNUMBER(SEARCH(Rules!$A$5:$A$204,B2028))*(Rules!$A$5:$A$204&lt;&gt;"")*(1000-ROW(Rules!$A$5:$A$204)))),""))</f>
        <v/>
      </c>
    </row>
    <row r="2029" customFormat="false" ht="15" hidden="false" customHeight="false" outlineLevel="0" collapsed="false">
      <c r="A2029" s="23"/>
      <c r="B2029" s="24"/>
      <c r="C2029" s="25"/>
      <c r="D2029" s="24"/>
      <c r="E2029" s="21" t="str">
        <f aca="false">IF(OR(B2029="",N(N2029)=0,N2029=1000),IF(B2029="","","Check"),INDEX(Rules!$B:$B,N2029))</f>
        <v/>
      </c>
      <c r="F2029" s="21" t="str">
        <f aca="false">IF(OR(B2029="",N(N2029)=0,N2029=1000),"",INDEX(Rules!$C:$C,N2029))</f>
        <v/>
      </c>
      <c r="G2029" s="24"/>
      <c r="H2029" s="24"/>
      <c r="I2029" s="20" t="str">
        <f aca="false">IF(B2029="","",IF(G2029&lt;&gt;"",G2029,E2029))</f>
        <v/>
      </c>
      <c r="J2029" s="21" t="str">
        <f aca="false">IF(B2029="","",IF(H2029&lt;&gt;"",H2029,F2029))</f>
        <v/>
      </c>
      <c r="K2029" s="26" t="str">
        <f aca="false">IF(A2029="","",DATE(YEAR(A2029),MONTH(A2029),1))</f>
        <v/>
      </c>
      <c r="L2029" s="21" t="str">
        <f aca="false">IF(J2029="",IF(B2029="","",IF(N(C2029)&gt;=0,"Income","Expense")),IFERROR(INDEX(Lists!$B$2:$B$30,MATCH(J2029,Lists!$A$2:$A$30,0)),""))</f>
        <v/>
      </c>
      <c r="M2029" s="24"/>
      <c r="N2029" s="27" t="str">
        <f aca="false">IF(B2029="","",IFERROR(1000-SUMPRODUCT(MAX(ISNUMBER(SEARCH(Rules!$A$5:$A$204,B2029))*(Rules!$A$5:$A$204&lt;&gt;"")*(1000-ROW(Rules!$A$5:$A$204)))),""))</f>
        <v/>
      </c>
    </row>
    <row r="2030" customFormat="false" ht="15" hidden="false" customHeight="false" outlineLevel="0" collapsed="false">
      <c r="A2030" s="23"/>
      <c r="B2030" s="24"/>
      <c r="C2030" s="25"/>
      <c r="D2030" s="24"/>
      <c r="E2030" s="21" t="str">
        <f aca="false">IF(OR(B2030="",N(N2030)=0,N2030=1000),IF(B2030="","","Check"),INDEX(Rules!$B:$B,N2030))</f>
        <v/>
      </c>
      <c r="F2030" s="21" t="str">
        <f aca="false">IF(OR(B2030="",N(N2030)=0,N2030=1000),"",INDEX(Rules!$C:$C,N2030))</f>
        <v/>
      </c>
      <c r="G2030" s="24"/>
      <c r="H2030" s="24"/>
      <c r="I2030" s="20" t="str">
        <f aca="false">IF(B2030="","",IF(G2030&lt;&gt;"",G2030,E2030))</f>
        <v/>
      </c>
      <c r="J2030" s="21" t="str">
        <f aca="false">IF(B2030="","",IF(H2030&lt;&gt;"",H2030,F2030))</f>
        <v/>
      </c>
      <c r="K2030" s="26" t="str">
        <f aca="false">IF(A2030="","",DATE(YEAR(A2030),MONTH(A2030),1))</f>
        <v/>
      </c>
      <c r="L2030" s="21" t="str">
        <f aca="false">IF(J2030="",IF(B2030="","",IF(N(C2030)&gt;=0,"Income","Expense")),IFERROR(INDEX(Lists!$B$2:$B$30,MATCH(J2030,Lists!$A$2:$A$30,0)),""))</f>
        <v/>
      </c>
      <c r="M2030" s="24"/>
      <c r="N2030" s="27" t="str">
        <f aca="false">IF(B2030="","",IFERROR(1000-SUMPRODUCT(MAX(ISNUMBER(SEARCH(Rules!$A$5:$A$204,B2030))*(Rules!$A$5:$A$204&lt;&gt;"")*(1000-ROW(Rules!$A$5:$A$204)))),""))</f>
        <v/>
      </c>
    </row>
    <row r="2031" customFormat="false" ht="15" hidden="false" customHeight="false" outlineLevel="0" collapsed="false">
      <c r="A2031" s="23"/>
      <c r="B2031" s="24"/>
      <c r="C2031" s="25"/>
      <c r="D2031" s="24"/>
      <c r="E2031" s="21" t="str">
        <f aca="false">IF(OR(B2031="",N(N2031)=0,N2031=1000),IF(B2031="","","Check"),INDEX(Rules!$B:$B,N2031))</f>
        <v/>
      </c>
      <c r="F2031" s="21" t="str">
        <f aca="false">IF(OR(B2031="",N(N2031)=0,N2031=1000),"",INDEX(Rules!$C:$C,N2031))</f>
        <v/>
      </c>
      <c r="G2031" s="24"/>
      <c r="H2031" s="24"/>
      <c r="I2031" s="20" t="str">
        <f aca="false">IF(B2031="","",IF(G2031&lt;&gt;"",G2031,E2031))</f>
        <v/>
      </c>
      <c r="J2031" s="21" t="str">
        <f aca="false">IF(B2031="","",IF(H2031&lt;&gt;"",H2031,F2031))</f>
        <v/>
      </c>
      <c r="K2031" s="26" t="str">
        <f aca="false">IF(A2031="","",DATE(YEAR(A2031),MONTH(A2031),1))</f>
        <v/>
      </c>
      <c r="L2031" s="21" t="str">
        <f aca="false">IF(J2031="",IF(B2031="","",IF(N(C2031)&gt;=0,"Income","Expense")),IFERROR(INDEX(Lists!$B$2:$B$30,MATCH(J2031,Lists!$A$2:$A$30,0)),""))</f>
        <v/>
      </c>
      <c r="M2031" s="24"/>
      <c r="N2031" s="27" t="str">
        <f aca="false">IF(B2031="","",IFERROR(1000-SUMPRODUCT(MAX(ISNUMBER(SEARCH(Rules!$A$5:$A$204,B2031))*(Rules!$A$5:$A$204&lt;&gt;"")*(1000-ROW(Rules!$A$5:$A$204)))),""))</f>
        <v/>
      </c>
    </row>
    <row r="2032" customFormat="false" ht="15" hidden="false" customHeight="false" outlineLevel="0" collapsed="false">
      <c r="A2032" s="23"/>
      <c r="B2032" s="24"/>
      <c r="C2032" s="25"/>
      <c r="D2032" s="24"/>
      <c r="E2032" s="21" t="str">
        <f aca="false">IF(OR(B2032="",N(N2032)=0,N2032=1000),IF(B2032="","","Check"),INDEX(Rules!$B:$B,N2032))</f>
        <v/>
      </c>
      <c r="F2032" s="21" t="str">
        <f aca="false">IF(OR(B2032="",N(N2032)=0,N2032=1000),"",INDEX(Rules!$C:$C,N2032))</f>
        <v/>
      </c>
      <c r="G2032" s="24"/>
      <c r="H2032" s="24"/>
      <c r="I2032" s="20" t="str">
        <f aca="false">IF(B2032="","",IF(G2032&lt;&gt;"",G2032,E2032))</f>
        <v/>
      </c>
      <c r="J2032" s="21" t="str">
        <f aca="false">IF(B2032="","",IF(H2032&lt;&gt;"",H2032,F2032))</f>
        <v/>
      </c>
      <c r="K2032" s="26" t="str">
        <f aca="false">IF(A2032="","",DATE(YEAR(A2032),MONTH(A2032),1))</f>
        <v/>
      </c>
      <c r="L2032" s="21" t="str">
        <f aca="false">IF(J2032="",IF(B2032="","",IF(N(C2032)&gt;=0,"Income","Expense")),IFERROR(INDEX(Lists!$B$2:$B$30,MATCH(J2032,Lists!$A$2:$A$30,0)),""))</f>
        <v/>
      </c>
      <c r="M2032" s="24"/>
      <c r="N2032" s="27" t="str">
        <f aca="false">IF(B2032="","",IFERROR(1000-SUMPRODUCT(MAX(ISNUMBER(SEARCH(Rules!$A$5:$A$204,B2032))*(Rules!$A$5:$A$204&lt;&gt;"")*(1000-ROW(Rules!$A$5:$A$204)))),""))</f>
        <v/>
      </c>
    </row>
    <row r="2033" customFormat="false" ht="15" hidden="false" customHeight="false" outlineLevel="0" collapsed="false">
      <c r="A2033" s="23"/>
      <c r="B2033" s="24"/>
      <c r="C2033" s="25"/>
      <c r="D2033" s="24"/>
      <c r="E2033" s="21" t="str">
        <f aca="false">IF(OR(B2033="",N(N2033)=0,N2033=1000),IF(B2033="","","Check"),INDEX(Rules!$B:$B,N2033))</f>
        <v/>
      </c>
      <c r="F2033" s="21" t="str">
        <f aca="false">IF(OR(B2033="",N(N2033)=0,N2033=1000),"",INDEX(Rules!$C:$C,N2033))</f>
        <v/>
      </c>
      <c r="G2033" s="24"/>
      <c r="H2033" s="24"/>
      <c r="I2033" s="20" t="str">
        <f aca="false">IF(B2033="","",IF(G2033&lt;&gt;"",G2033,E2033))</f>
        <v/>
      </c>
      <c r="J2033" s="21" t="str">
        <f aca="false">IF(B2033="","",IF(H2033&lt;&gt;"",H2033,F2033))</f>
        <v/>
      </c>
      <c r="K2033" s="26" t="str">
        <f aca="false">IF(A2033="","",DATE(YEAR(A2033),MONTH(A2033),1))</f>
        <v/>
      </c>
      <c r="L2033" s="21" t="str">
        <f aca="false">IF(J2033="",IF(B2033="","",IF(N(C2033)&gt;=0,"Income","Expense")),IFERROR(INDEX(Lists!$B$2:$B$30,MATCH(J2033,Lists!$A$2:$A$30,0)),""))</f>
        <v/>
      </c>
      <c r="M2033" s="24"/>
      <c r="N2033" s="27" t="str">
        <f aca="false">IF(B2033="","",IFERROR(1000-SUMPRODUCT(MAX(ISNUMBER(SEARCH(Rules!$A$5:$A$204,B2033))*(Rules!$A$5:$A$204&lt;&gt;"")*(1000-ROW(Rules!$A$5:$A$204)))),""))</f>
        <v/>
      </c>
    </row>
    <row r="2034" customFormat="false" ht="15" hidden="false" customHeight="false" outlineLevel="0" collapsed="false">
      <c r="A2034" s="23"/>
      <c r="B2034" s="24"/>
      <c r="C2034" s="25"/>
      <c r="D2034" s="24"/>
      <c r="E2034" s="21" t="str">
        <f aca="false">IF(OR(B2034="",N(N2034)=0,N2034=1000),IF(B2034="","","Check"),INDEX(Rules!$B:$B,N2034))</f>
        <v/>
      </c>
      <c r="F2034" s="21" t="str">
        <f aca="false">IF(OR(B2034="",N(N2034)=0,N2034=1000),"",INDEX(Rules!$C:$C,N2034))</f>
        <v/>
      </c>
      <c r="G2034" s="24"/>
      <c r="H2034" s="24"/>
      <c r="I2034" s="20" t="str">
        <f aca="false">IF(B2034="","",IF(G2034&lt;&gt;"",G2034,E2034))</f>
        <v/>
      </c>
      <c r="J2034" s="21" t="str">
        <f aca="false">IF(B2034="","",IF(H2034&lt;&gt;"",H2034,F2034))</f>
        <v/>
      </c>
      <c r="K2034" s="26" t="str">
        <f aca="false">IF(A2034="","",DATE(YEAR(A2034),MONTH(A2034),1))</f>
        <v/>
      </c>
      <c r="L2034" s="21" t="str">
        <f aca="false">IF(J2034="",IF(B2034="","",IF(N(C2034)&gt;=0,"Income","Expense")),IFERROR(INDEX(Lists!$B$2:$B$30,MATCH(J2034,Lists!$A$2:$A$30,0)),""))</f>
        <v/>
      </c>
      <c r="M2034" s="24"/>
      <c r="N2034" s="27" t="str">
        <f aca="false">IF(B2034="","",IFERROR(1000-SUMPRODUCT(MAX(ISNUMBER(SEARCH(Rules!$A$5:$A$204,B2034))*(Rules!$A$5:$A$204&lt;&gt;"")*(1000-ROW(Rules!$A$5:$A$204)))),""))</f>
        <v/>
      </c>
    </row>
    <row r="2035" customFormat="false" ht="15" hidden="false" customHeight="false" outlineLevel="0" collapsed="false">
      <c r="A2035" s="23"/>
      <c r="B2035" s="24"/>
      <c r="C2035" s="25"/>
      <c r="D2035" s="24"/>
      <c r="E2035" s="21" t="str">
        <f aca="false">IF(OR(B2035="",N(N2035)=0,N2035=1000),IF(B2035="","","Check"),INDEX(Rules!$B:$B,N2035))</f>
        <v/>
      </c>
      <c r="F2035" s="21" t="str">
        <f aca="false">IF(OR(B2035="",N(N2035)=0,N2035=1000),"",INDEX(Rules!$C:$C,N2035))</f>
        <v/>
      </c>
      <c r="G2035" s="24"/>
      <c r="H2035" s="24"/>
      <c r="I2035" s="20" t="str">
        <f aca="false">IF(B2035="","",IF(G2035&lt;&gt;"",G2035,E2035))</f>
        <v/>
      </c>
      <c r="J2035" s="21" t="str">
        <f aca="false">IF(B2035="","",IF(H2035&lt;&gt;"",H2035,F2035))</f>
        <v/>
      </c>
      <c r="K2035" s="26" t="str">
        <f aca="false">IF(A2035="","",DATE(YEAR(A2035),MONTH(A2035),1))</f>
        <v/>
      </c>
      <c r="L2035" s="21" t="str">
        <f aca="false">IF(J2035="",IF(B2035="","",IF(N(C2035)&gt;=0,"Income","Expense")),IFERROR(INDEX(Lists!$B$2:$B$30,MATCH(J2035,Lists!$A$2:$A$30,0)),""))</f>
        <v/>
      </c>
      <c r="M2035" s="24"/>
      <c r="N2035" s="27" t="str">
        <f aca="false">IF(B2035="","",IFERROR(1000-SUMPRODUCT(MAX(ISNUMBER(SEARCH(Rules!$A$5:$A$204,B2035))*(Rules!$A$5:$A$204&lt;&gt;"")*(1000-ROW(Rules!$A$5:$A$204)))),""))</f>
        <v/>
      </c>
    </row>
    <row r="2036" customFormat="false" ht="15" hidden="false" customHeight="false" outlineLevel="0" collapsed="false">
      <c r="A2036" s="23"/>
      <c r="B2036" s="24"/>
      <c r="C2036" s="25"/>
      <c r="D2036" s="24"/>
      <c r="E2036" s="21" t="str">
        <f aca="false">IF(OR(B2036="",N(N2036)=0,N2036=1000),IF(B2036="","","Check"),INDEX(Rules!$B:$B,N2036))</f>
        <v/>
      </c>
      <c r="F2036" s="21" t="str">
        <f aca="false">IF(OR(B2036="",N(N2036)=0,N2036=1000),"",INDEX(Rules!$C:$C,N2036))</f>
        <v/>
      </c>
      <c r="G2036" s="24"/>
      <c r="H2036" s="24"/>
      <c r="I2036" s="20" t="str">
        <f aca="false">IF(B2036="","",IF(G2036&lt;&gt;"",G2036,E2036))</f>
        <v/>
      </c>
      <c r="J2036" s="21" t="str">
        <f aca="false">IF(B2036="","",IF(H2036&lt;&gt;"",H2036,F2036))</f>
        <v/>
      </c>
      <c r="K2036" s="26" t="str">
        <f aca="false">IF(A2036="","",DATE(YEAR(A2036),MONTH(A2036),1))</f>
        <v/>
      </c>
      <c r="L2036" s="21" t="str">
        <f aca="false">IF(J2036="",IF(B2036="","",IF(N(C2036)&gt;=0,"Income","Expense")),IFERROR(INDEX(Lists!$B$2:$B$30,MATCH(J2036,Lists!$A$2:$A$30,0)),""))</f>
        <v/>
      </c>
      <c r="M2036" s="24"/>
      <c r="N2036" s="27" t="str">
        <f aca="false">IF(B2036="","",IFERROR(1000-SUMPRODUCT(MAX(ISNUMBER(SEARCH(Rules!$A$5:$A$204,B2036))*(Rules!$A$5:$A$204&lt;&gt;"")*(1000-ROW(Rules!$A$5:$A$204)))),""))</f>
        <v/>
      </c>
    </row>
    <row r="2037" customFormat="false" ht="15" hidden="false" customHeight="false" outlineLevel="0" collapsed="false">
      <c r="A2037" s="23"/>
      <c r="B2037" s="24"/>
      <c r="C2037" s="25"/>
      <c r="D2037" s="24"/>
      <c r="E2037" s="21" t="str">
        <f aca="false">IF(OR(B2037="",N(N2037)=0,N2037=1000),IF(B2037="","","Check"),INDEX(Rules!$B:$B,N2037))</f>
        <v/>
      </c>
      <c r="F2037" s="21" t="str">
        <f aca="false">IF(OR(B2037="",N(N2037)=0,N2037=1000),"",INDEX(Rules!$C:$C,N2037))</f>
        <v/>
      </c>
      <c r="G2037" s="24"/>
      <c r="H2037" s="24"/>
      <c r="I2037" s="20" t="str">
        <f aca="false">IF(B2037="","",IF(G2037&lt;&gt;"",G2037,E2037))</f>
        <v/>
      </c>
      <c r="J2037" s="21" t="str">
        <f aca="false">IF(B2037="","",IF(H2037&lt;&gt;"",H2037,F2037))</f>
        <v/>
      </c>
      <c r="K2037" s="26" t="str">
        <f aca="false">IF(A2037="","",DATE(YEAR(A2037),MONTH(A2037),1))</f>
        <v/>
      </c>
      <c r="L2037" s="21" t="str">
        <f aca="false">IF(J2037="",IF(B2037="","",IF(N(C2037)&gt;=0,"Income","Expense")),IFERROR(INDEX(Lists!$B$2:$B$30,MATCH(J2037,Lists!$A$2:$A$30,0)),""))</f>
        <v/>
      </c>
      <c r="M2037" s="24"/>
      <c r="N2037" s="27" t="str">
        <f aca="false">IF(B2037="","",IFERROR(1000-SUMPRODUCT(MAX(ISNUMBER(SEARCH(Rules!$A$5:$A$204,B2037))*(Rules!$A$5:$A$204&lt;&gt;"")*(1000-ROW(Rules!$A$5:$A$204)))),""))</f>
        <v/>
      </c>
    </row>
    <row r="2038" customFormat="false" ht="15" hidden="false" customHeight="false" outlineLevel="0" collapsed="false">
      <c r="A2038" s="23"/>
      <c r="B2038" s="24"/>
      <c r="C2038" s="25"/>
      <c r="D2038" s="24"/>
      <c r="E2038" s="21" t="str">
        <f aca="false">IF(OR(B2038="",N(N2038)=0,N2038=1000),IF(B2038="","","Check"),INDEX(Rules!$B:$B,N2038))</f>
        <v/>
      </c>
      <c r="F2038" s="21" t="str">
        <f aca="false">IF(OR(B2038="",N(N2038)=0,N2038=1000),"",INDEX(Rules!$C:$C,N2038))</f>
        <v/>
      </c>
      <c r="G2038" s="24"/>
      <c r="H2038" s="24"/>
      <c r="I2038" s="20" t="str">
        <f aca="false">IF(B2038="","",IF(G2038&lt;&gt;"",G2038,E2038))</f>
        <v/>
      </c>
      <c r="J2038" s="21" t="str">
        <f aca="false">IF(B2038="","",IF(H2038&lt;&gt;"",H2038,F2038))</f>
        <v/>
      </c>
      <c r="K2038" s="26" t="str">
        <f aca="false">IF(A2038="","",DATE(YEAR(A2038),MONTH(A2038),1))</f>
        <v/>
      </c>
      <c r="L2038" s="21" t="str">
        <f aca="false">IF(J2038="",IF(B2038="","",IF(N(C2038)&gt;=0,"Income","Expense")),IFERROR(INDEX(Lists!$B$2:$B$30,MATCH(J2038,Lists!$A$2:$A$30,0)),""))</f>
        <v/>
      </c>
      <c r="M2038" s="24"/>
      <c r="N2038" s="27" t="str">
        <f aca="false">IF(B2038="","",IFERROR(1000-SUMPRODUCT(MAX(ISNUMBER(SEARCH(Rules!$A$5:$A$204,B2038))*(Rules!$A$5:$A$204&lt;&gt;"")*(1000-ROW(Rules!$A$5:$A$204)))),""))</f>
        <v/>
      </c>
    </row>
    <row r="2039" customFormat="false" ht="15" hidden="false" customHeight="false" outlineLevel="0" collapsed="false">
      <c r="A2039" s="23"/>
      <c r="B2039" s="24"/>
      <c r="C2039" s="25"/>
      <c r="D2039" s="24"/>
      <c r="E2039" s="21" t="str">
        <f aca="false">IF(OR(B2039="",N(N2039)=0,N2039=1000),IF(B2039="","","Check"),INDEX(Rules!$B:$B,N2039))</f>
        <v/>
      </c>
      <c r="F2039" s="21" t="str">
        <f aca="false">IF(OR(B2039="",N(N2039)=0,N2039=1000),"",INDEX(Rules!$C:$C,N2039))</f>
        <v/>
      </c>
      <c r="G2039" s="24"/>
      <c r="H2039" s="24"/>
      <c r="I2039" s="20" t="str">
        <f aca="false">IF(B2039="","",IF(G2039&lt;&gt;"",G2039,E2039))</f>
        <v/>
      </c>
      <c r="J2039" s="21" t="str">
        <f aca="false">IF(B2039="","",IF(H2039&lt;&gt;"",H2039,F2039))</f>
        <v/>
      </c>
      <c r="K2039" s="26" t="str">
        <f aca="false">IF(A2039="","",DATE(YEAR(A2039),MONTH(A2039),1))</f>
        <v/>
      </c>
      <c r="L2039" s="21" t="str">
        <f aca="false">IF(J2039="",IF(B2039="","",IF(N(C2039)&gt;=0,"Income","Expense")),IFERROR(INDEX(Lists!$B$2:$B$30,MATCH(J2039,Lists!$A$2:$A$30,0)),""))</f>
        <v/>
      </c>
      <c r="M2039" s="24"/>
      <c r="N2039" s="27" t="str">
        <f aca="false">IF(B2039="","",IFERROR(1000-SUMPRODUCT(MAX(ISNUMBER(SEARCH(Rules!$A$5:$A$204,B2039))*(Rules!$A$5:$A$204&lt;&gt;"")*(1000-ROW(Rules!$A$5:$A$204)))),""))</f>
        <v/>
      </c>
    </row>
    <row r="2040" customFormat="false" ht="15" hidden="false" customHeight="false" outlineLevel="0" collapsed="false">
      <c r="A2040" s="23"/>
      <c r="B2040" s="24"/>
      <c r="C2040" s="25"/>
      <c r="D2040" s="24"/>
      <c r="E2040" s="21" t="str">
        <f aca="false">IF(OR(B2040="",N(N2040)=0,N2040=1000),IF(B2040="","","Check"),INDEX(Rules!$B:$B,N2040))</f>
        <v/>
      </c>
      <c r="F2040" s="21" t="str">
        <f aca="false">IF(OR(B2040="",N(N2040)=0,N2040=1000),"",INDEX(Rules!$C:$C,N2040))</f>
        <v/>
      </c>
      <c r="G2040" s="24"/>
      <c r="H2040" s="24"/>
      <c r="I2040" s="20" t="str">
        <f aca="false">IF(B2040="","",IF(G2040&lt;&gt;"",G2040,E2040))</f>
        <v/>
      </c>
      <c r="J2040" s="21" t="str">
        <f aca="false">IF(B2040="","",IF(H2040&lt;&gt;"",H2040,F2040))</f>
        <v/>
      </c>
      <c r="K2040" s="26" t="str">
        <f aca="false">IF(A2040="","",DATE(YEAR(A2040),MONTH(A2040),1))</f>
        <v/>
      </c>
      <c r="L2040" s="21" t="str">
        <f aca="false">IF(J2040="",IF(B2040="","",IF(N(C2040)&gt;=0,"Income","Expense")),IFERROR(INDEX(Lists!$B$2:$B$30,MATCH(J2040,Lists!$A$2:$A$30,0)),""))</f>
        <v/>
      </c>
      <c r="M2040" s="24"/>
      <c r="N2040" s="27" t="str">
        <f aca="false">IF(B2040="","",IFERROR(1000-SUMPRODUCT(MAX(ISNUMBER(SEARCH(Rules!$A$5:$A$204,B2040))*(Rules!$A$5:$A$204&lt;&gt;"")*(1000-ROW(Rules!$A$5:$A$204)))),""))</f>
        <v/>
      </c>
    </row>
    <row r="2041" customFormat="false" ht="15" hidden="false" customHeight="false" outlineLevel="0" collapsed="false">
      <c r="A2041" s="23"/>
      <c r="B2041" s="24"/>
      <c r="C2041" s="25"/>
      <c r="D2041" s="24"/>
      <c r="E2041" s="21" t="str">
        <f aca="false">IF(OR(B2041="",N(N2041)=0,N2041=1000),IF(B2041="","","Check"),INDEX(Rules!$B:$B,N2041))</f>
        <v/>
      </c>
      <c r="F2041" s="21" t="str">
        <f aca="false">IF(OR(B2041="",N(N2041)=0,N2041=1000),"",INDEX(Rules!$C:$C,N2041))</f>
        <v/>
      </c>
      <c r="G2041" s="24"/>
      <c r="H2041" s="24"/>
      <c r="I2041" s="20" t="str">
        <f aca="false">IF(B2041="","",IF(G2041&lt;&gt;"",G2041,E2041))</f>
        <v/>
      </c>
      <c r="J2041" s="21" t="str">
        <f aca="false">IF(B2041="","",IF(H2041&lt;&gt;"",H2041,F2041))</f>
        <v/>
      </c>
      <c r="K2041" s="26" t="str">
        <f aca="false">IF(A2041="","",DATE(YEAR(A2041),MONTH(A2041),1))</f>
        <v/>
      </c>
      <c r="L2041" s="21" t="str">
        <f aca="false">IF(J2041="",IF(B2041="","",IF(N(C2041)&gt;=0,"Income","Expense")),IFERROR(INDEX(Lists!$B$2:$B$30,MATCH(J2041,Lists!$A$2:$A$30,0)),""))</f>
        <v/>
      </c>
      <c r="M2041" s="24"/>
      <c r="N2041" s="27" t="str">
        <f aca="false">IF(B2041="","",IFERROR(1000-SUMPRODUCT(MAX(ISNUMBER(SEARCH(Rules!$A$5:$A$204,B2041))*(Rules!$A$5:$A$204&lt;&gt;"")*(1000-ROW(Rules!$A$5:$A$204)))),""))</f>
        <v/>
      </c>
    </row>
    <row r="2042" customFormat="false" ht="15" hidden="false" customHeight="false" outlineLevel="0" collapsed="false">
      <c r="A2042" s="23"/>
      <c r="B2042" s="24"/>
      <c r="C2042" s="25"/>
      <c r="D2042" s="24"/>
      <c r="E2042" s="21" t="str">
        <f aca="false">IF(OR(B2042="",N(N2042)=0,N2042=1000),IF(B2042="","","Check"),INDEX(Rules!$B:$B,N2042))</f>
        <v/>
      </c>
      <c r="F2042" s="21" t="str">
        <f aca="false">IF(OR(B2042="",N(N2042)=0,N2042=1000),"",INDEX(Rules!$C:$C,N2042))</f>
        <v/>
      </c>
      <c r="G2042" s="24"/>
      <c r="H2042" s="24"/>
      <c r="I2042" s="20" t="str">
        <f aca="false">IF(B2042="","",IF(G2042&lt;&gt;"",G2042,E2042))</f>
        <v/>
      </c>
      <c r="J2042" s="21" t="str">
        <f aca="false">IF(B2042="","",IF(H2042&lt;&gt;"",H2042,F2042))</f>
        <v/>
      </c>
      <c r="K2042" s="26" t="str">
        <f aca="false">IF(A2042="","",DATE(YEAR(A2042),MONTH(A2042),1))</f>
        <v/>
      </c>
      <c r="L2042" s="21" t="str">
        <f aca="false">IF(J2042="",IF(B2042="","",IF(N(C2042)&gt;=0,"Income","Expense")),IFERROR(INDEX(Lists!$B$2:$B$30,MATCH(J2042,Lists!$A$2:$A$30,0)),""))</f>
        <v/>
      </c>
      <c r="M2042" s="24"/>
      <c r="N2042" s="27" t="str">
        <f aca="false">IF(B2042="","",IFERROR(1000-SUMPRODUCT(MAX(ISNUMBER(SEARCH(Rules!$A$5:$A$204,B2042))*(Rules!$A$5:$A$204&lt;&gt;"")*(1000-ROW(Rules!$A$5:$A$204)))),""))</f>
        <v/>
      </c>
    </row>
    <row r="2043" customFormat="false" ht="15" hidden="false" customHeight="false" outlineLevel="0" collapsed="false">
      <c r="A2043" s="23"/>
      <c r="B2043" s="24"/>
      <c r="C2043" s="25"/>
      <c r="D2043" s="24"/>
      <c r="E2043" s="21" t="str">
        <f aca="false">IF(OR(B2043="",N(N2043)=0,N2043=1000),IF(B2043="","","Check"),INDEX(Rules!$B:$B,N2043))</f>
        <v/>
      </c>
      <c r="F2043" s="21" t="str">
        <f aca="false">IF(OR(B2043="",N(N2043)=0,N2043=1000),"",INDEX(Rules!$C:$C,N2043))</f>
        <v/>
      </c>
      <c r="G2043" s="24"/>
      <c r="H2043" s="24"/>
      <c r="I2043" s="20" t="str">
        <f aca="false">IF(B2043="","",IF(G2043&lt;&gt;"",G2043,E2043))</f>
        <v/>
      </c>
      <c r="J2043" s="21" t="str">
        <f aca="false">IF(B2043="","",IF(H2043&lt;&gt;"",H2043,F2043))</f>
        <v/>
      </c>
      <c r="K2043" s="26" t="str">
        <f aca="false">IF(A2043="","",DATE(YEAR(A2043),MONTH(A2043),1))</f>
        <v/>
      </c>
      <c r="L2043" s="21" t="str">
        <f aca="false">IF(J2043="",IF(B2043="","",IF(N(C2043)&gt;=0,"Income","Expense")),IFERROR(INDEX(Lists!$B$2:$B$30,MATCH(J2043,Lists!$A$2:$A$30,0)),""))</f>
        <v/>
      </c>
      <c r="M2043" s="24"/>
      <c r="N2043" s="27" t="str">
        <f aca="false">IF(B2043="","",IFERROR(1000-SUMPRODUCT(MAX(ISNUMBER(SEARCH(Rules!$A$5:$A$204,B2043))*(Rules!$A$5:$A$204&lt;&gt;"")*(1000-ROW(Rules!$A$5:$A$204)))),""))</f>
        <v/>
      </c>
    </row>
    <row r="2044" customFormat="false" ht="15" hidden="false" customHeight="false" outlineLevel="0" collapsed="false">
      <c r="A2044" s="23"/>
      <c r="B2044" s="24"/>
      <c r="C2044" s="25"/>
      <c r="D2044" s="24"/>
      <c r="E2044" s="21" t="str">
        <f aca="false">IF(OR(B2044="",N(N2044)=0,N2044=1000),IF(B2044="","","Check"),INDEX(Rules!$B:$B,N2044))</f>
        <v/>
      </c>
      <c r="F2044" s="21" t="str">
        <f aca="false">IF(OR(B2044="",N(N2044)=0,N2044=1000),"",INDEX(Rules!$C:$C,N2044))</f>
        <v/>
      </c>
      <c r="G2044" s="24"/>
      <c r="H2044" s="24"/>
      <c r="I2044" s="20" t="str">
        <f aca="false">IF(B2044="","",IF(G2044&lt;&gt;"",G2044,E2044))</f>
        <v/>
      </c>
      <c r="J2044" s="21" t="str">
        <f aca="false">IF(B2044="","",IF(H2044&lt;&gt;"",H2044,F2044))</f>
        <v/>
      </c>
      <c r="K2044" s="26" t="str">
        <f aca="false">IF(A2044="","",DATE(YEAR(A2044),MONTH(A2044),1))</f>
        <v/>
      </c>
      <c r="L2044" s="21" t="str">
        <f aca="false">IF(J2044="",IF(B2044="","",IF(N(C2044)&gt;=0,"Income","Expense")),IFERROR(INDEX(Lists!$B$2:$B$30,MATCH(J2044,Lists!$A$2:$A$30,0)),""))</f>
        <v/>
      </c>
      <c r="M2044" s="24"/>
      <c r="N2044" s="27" t="str">
        <f aca="false">IF(B2044="","",IFERROR(1000-SUMPRODUCT(MAX(ISNUMBER(SEARCH(Rules!$A$5:$A$204,B2044))*(Rules!$A$5:$A$204&lt;&gt;"")*(1000-ROW(Rules!$A$5:$A$204)))),""))</f>
        <v/>
      </c>
    </row>
    <row r="2045" customFormat="false" ht="15" hidden="false" customHeight="false" outlineLevel="0" collapsed="false">
      <c r="A2045" s="23"/>
      <c r="B2045" s="24"/>
      <c r="C2045" s="25"/>
      <c r="D2045" s="24"/>
      <c r="E2045" s="21" t="str">
        <f aca="false">IF(OR(B2045="",N(N2045)=0,N2045=1000),IF(B2045="","","Check"),INDEX(Rules!$B:$B,N2045))</f>
        <v/>
      </c>
      <c r="F2045" s="21" t="str">
        <f aca="false">IF(OR(B2045="",N(N2045)=0,N2045=1000),"",INDEX(Rules!$C:$C,N2045))</f>
        <v/>
      </c>
      <c r="G2045" s="24"/>
      <c r="H2045" s="24"/>
      <c r="I2045" s="20" t="str">
        <f aca="false">IF(B2045="","",IF(G2045&lt;&gt;"",G2045,E2045))</f>
        <v/>
      </c>
      <c r="J2045" s="21" t="str">
        <f aca="false">IF(B2045="","",IF(H2045&lt;&gt;"",H2045,F2045))</f>
        <v/>
      </c>
      <c r="K2045" s="26" t="str">
        <f aca="false">IF(A2045="","",DATE(YEAR(A2045),MONTH(A2045),1))</f>
        <v/>
      </c>
      <c r="L2045" s="21" t="str">
        <f aca="false">IF(J2045="",IF(B2045="","",IF(N(C2045)&gt;=0,"Income","Expense")),IFERROR(INDEX(Lists!$B$2:$B$30,MATCH(J2045,Lists!$A$2:$A$30,0)),""))</f>
        <v/>
      </c>
      <c r="M2045" s="24"/>
      <c r="N2045" s="27" t="str">
        <f aca="false">IF(B2045="","",IFERROR(1000-SUMPRODUCT(MAX(ISNUMBER(SEARCH(Rules!$A$5:$A$204,B2045))*(Rules!$A$5:$A$204&lt;&gt;"")*(1000-ROW(Rules!$A$5:$A$204)))),""))</f>
        <v/>
      </c>
    </row>
    <row r="2046" customFormat="false" ht="15" hidden="false" customHeight="false" outlineLevel="0" collapsed="false">
      <c r="A2046" s="23"/>
      <c r="B2046" s="24"/>
      <c r="C2046" s="25"/>
      <c r="D2046" s="24"/>
      <c r="E2046" s="21" t="str">
        <f aca="false">IF(OR(B2046="",N(N2046)=0,N2046=1000),IF(B2046="","","Check"),INDEX(Rules!$B:$B,N2046))</f>
        <v/>
      </c>
      <c r="F2046" s="21" t="str">
        <f aca="false">IF(OR(B2046="",N(N2046)=0,N2046=1000),"",INDEX(Rules!$C:$C,N2046))</f>
        <v/>
      </c>
      <c r="G2046" s="24"/>
      <c r="H2046" s="24"/>
      <c r="I2046" s="20" t="str">
        <f aca="false">IF(B2046="","",IF(G2046&lt;&gt;"",G2046,E2046))</f>
        <v/>
      </c>
      <c r="J2046" s="21" t="str">
        <f aca="false">IF(B2046="","",IF(H2046&lt;&gt;"",H2046,F2046))</f>
        <v/>
      </c>
      <c r="K2046" s="26" t="str">
        <f aca="false">IF(A2046="","",DATE(YEAR(A2046),MONTH(A2046),1))</f>
        <v/>
      </c>
      <c r="L2046" s="21" t="str">
        <f aca="false">IF(J2046="",IF(B2046="","",IF(N(C2046)&gt;=0,"Income","Expense")),IFERROR(INDEX(Lists!$B$2:$B$30,MATCH(J2046,Lists!$A$2:$A$30,0)),""))</f>
        <v/>
      </c>
      <c r="M2046" s="24"/>
      <c r="N2046" s="27" t="str">
        <f aca="false">IF(B2046="","",IFERROR(1000-SUMPRODUCT(MAX(ISNUMBER(SEARCH(Rules!$A$5:$A$204,B2046))*(Rules!$A$5:$A$204&lt;&gt;"")*(1000-ROW(Rules!$A$5:$A$204)))),""))</f>
        <v/>
      </c>
    </row>
    <row r="2047" customFormat="false" ht="15" hidden="false" customHeight="false" outlineLevel="0" collapsed="false">
      <c r="A2047" s="23"/>
      <c r="B2047" s="24"/>
      <c r="C2047" s="25"/>
      <c r="D2047" s="24"/>
      <c r="E2047" s="21" t="str">
        <f aca="false">IF(OR(B2047="",N(N2047)=0,N2047=1000),IF(B2047="","","Check"),INDEX(Rules!$B:$B,N2047))</f>
        <v/>
      </c>
      <c r="F2047" s="21" t="str">
        <f aca="false">IF(OR(B2047="",N(N2047)=0,N2047=1000),"",INDEX(Rules!$C:$C,N2047))</f>
        <v/>
      </c>
      <c r="G2047" s="24"/>
      <c r="H2047" s="24"/>
      <c r="I2047" s="20" t="str">
        <f aca="false">IF(B2047="","",IF(G2047&lt;&gt;"",G2047,E2047))</f>
        <v/>
      </c>
      <c r="J2047" s="21" t="str">
        <f aca="false">IF(B2047="","",IF(H2047&lt;&gt;"",H2047,F2047))</f>
        <v/>
      </c>
      <c r="K2047" s="26" t="str">
        <f aca="false">IF(A2047="","",DATE(YEAR(A2047),MONTH(A2047),1))</f>
        <v/>
      </c>
      <c r="L2047" s="21" t="str">
        <f aca="false">IF(J2047="",IF(B2047="","",IF(N(C2047)&gt;=0,"Income","Expense")),IFERROR(INDEX(Lists!$B$2:$B$30,MATCH(J2047,Lists!$A$2:$A$30,0)),""))</f>
        <v/>
      </c>
      <c r="M2047" s="24"/>
      <c r="N2047" s="27" t="str">
        <f aca="false">IF(B2047="","",IFERROR(1000-SUMPRODUCT(MAX(ISNUMBER(SEARCH(Rules!$A$5:$A$204,B2047))*(Rules!$A$5:$A$204&lt;&gt;"")*(1000-ROW(Rules!$A$5:$A$204)))),""))</f>
        <v/>
      </c>
    </row>
    <row r="2048" customFormat="false" ht="15" hidden="false" customHeight="false" outlineLevel="0" collapsed="false">
      <c r="A2048" s="23"/>
      <c r="B2048" s="24"/>
      <c r="C2048" s="25"/>
      <c r="D2048" s="24"/>
      <c r="E2048" s="21" t="str">
        <f aca="false">IF(OR(B2048="",N(N2048)=0,N2048=1000),IF(B2048="","","Check"),INDEX(Rules!$B:$B,N2048))</f>
        <v/>
      </c>
      <c r="F2048" s="21" t="str">
        <f aca="false">IF(OR(B2048="",N(N2048)=0,N2048=1000),"",INDEX(Rules!$C:$C,N2048))</f>
        <v/>
      </c>
      <c r="G2048" s="24"/>
      <c r="H2048" s="24"/>
      <c r="I2048" s="20" t="str">
        <f aca="false">IF(B2048="","",IF(G2048&lt;&gt;"",G2048,E2048))</f>
        <v/>
      </c>
      <c r="J2048" s="21" t="str">
        <f aca="false">IF(B2048="","",IF(H2048&lt;&gt;"",H2048,F2048))</f>
        <v/>
      </c>
      <c r="K2048" s="26" t="str">
        <f aca="false">IF(A2048="","",DATE(YEAR(A2048),MONTH(A2048),1))</f>
        <v/>
      </c>
      <c r="L2048" s="21" t="str">
        <f aca="false">IF(J2048="",IF(B2048="","",IF(N(C2048)&gt;=0,"Income","Expense")),IFERROR(INDEX(Lists!$B$2:$B$30,MATCH(J2048,Lists!$A$2:$A$30,0)),""))</f>
        <v/>
      </c>
      <c r="M2048" s="24"/>
      <c r="N2048" s="27" t="str">
        <f aca="false">IF(B2048="","",IFERROR(1000-SUMPRODUCT(MAX(ISNUMBER(SEARCH(Rules!$A$5:$A$204,B2048))*(Rules!$A$5:$A$204&lt;&gt;"")*(1000-ROW(Rules!$A$5:$A$204)))),""))</f>
        <v/>
      </c>
    </row>
    <row r="2049" customFormat="false" ht="15" hidden="false" customHeight="false" outlineLevel="0" collapsed="false">
      <c r="A2049" s="23"/>
      <c r="B2049" s="24"/>
      <c r="C2049" s="25"/>
      <c r="D2049" s="24"/>
      <c r="E2049" s="21" t="str">
        <f aca="false">IF(OR(B2049="",N(N2049)=0,N2049=1000),IF(B2049="","","Check"),INDEX(Rules!$B:$B,N2049))</f>
        <v/>
      </c>
      <c r="F2049" s="21" t="str">
        <f aca="false">IF(OR(B2049="",N(N2049)=0,N2049=1000),"",INDEX(Rules!$C:$C,N2049))</f>
        <v/>
      </c>
      <c r="G2049" s="24"/>
      <c r="H2049" s="24"/>
      <c r="I2049" s="20" t="str">
        <f aca="false">IF(B2049="","",IF(G2049&lt;&gt;"",G2049,E2049))</f>
        <v/>
      </c>
      <c r="J2049" s="21" t="str">
        <f aca="false">IF(B2049="","",IF(H2049&lt;&gt;"",H2049,F2049))</f>
        <v/>
      </c>
      <c r="K2049" s="26" t="str">
        <f aca="false">IF(A2049="","",DATE(YEAR(A2049),MONTH(A2049),1))</f>
        <v/>
      </c>
      <c r="L2049" s="21" t="str">
        <f aca="false">IF(J2049="",IF(B2049="","",IF(N(C2049)&gt;=0,"Income","Expense")),IFERROR(INDEX(Lists!$B$2:$B$30,MATCH(J2049,Lists!$A$2:$A$30,0)),""))</f>
        <v/>
      </c>
      <c r="M2049" s="24"/>
      <c r="N2049" s="27" t="str">
        <f aca="false">IF(B2049="","",IFERROR(1000-SUMPRODUCT(MAX(ISNUMBER(SEARCH(Rules!$A$5:$A$204,B2049))*(Rules!$A$5:$A$204&lt;&gt;"")*(1000-ROW(Rules!$A$5:$A$204)))),""))</f>
        <v/>
      </c>
    </row>
    <row r="2050" customFormat="false" ht="15" hidden="false" customHeight="false" outlineLevel="0" collapsed="false">
      <c r="A2050" s="23"/>
      <c r="B2050" s="24"/>
      <c r="C2050" s="25"/>
      <c r="D2050" s="24"/>
      <c r="E2050" s="21" t="str">
        <f aca="false">IF(OR(B2050="",N(N2050)=0,N2050=1000),IF(B2050="","","Check"),INDEX(Rules!$B:$B,N2050))</f>
        <v/>
      </c>
      <c r="F2050" s="21" t="str">
        <f aca="false">IF(OR(B2050="",N(N2050)=0,N2050=1000),"",INDEX(Rules!$C:$C,N2050))</f>
        <v/>
      </c>
      <c r="G2050" s="24"/>
      <c r="H2050" s="24"/>
      <c r="I2050" s="20" t="str">
        <f aca="false">IF(B2050="","",IF(G2050&lt;&gt;"",G2050,E2050))</f>
        <v/>
      </c>
      <c r="J2050" s="21" t="str">
        <f aca="false">IF(B2050="","",IF(H2050&lt;&gt;"",H2050,F2050))</f>
        <v/>
      </c>
      <c r="K2050" s="26" t="str">
        <f aca="false">IF(A2050="","",DATE(YEAR(A2050),MONTH(A2050),1))</f>
        <v/>
      </c>
      <c r="L2050" s="21" t="str">
        <f aca="false">IF(J2050="",IF(B2050="","",IF(N(C2050)&gt;=0,"Income","Expense")),IFERROR(INDEX(Lists!$B$2:$B$30,MATCH(J2050,Lists!$A$2:$A$30,0)),""))</f>
        <v/>
      </c>
      <c r="M2050" s="24"/>
      <c r="N2050" s="27" t="str">
        <f aca="false">IF(B2050="","",IFERROR(1000-SUMPRODUCT(MAX(ISNUMBER(SEARCH(Rules!$A$5:$A$204,B2050))*(Rules!$A$5:$A$204&lt;&gt;"")*(1000-ROW(Rules!$A$5:$A$204)))),""))</f>
        <v/>
      </c>
    </row>
    <row r="2051" customFormat="false" ht="15" hidden="false" customHeight="false" outlineLevel="0" collapsed="false">
      <c r="A2051" s="23"/>
      <c r="B2051" s="24"/>
      <c r="C2051" s="25"/>
      <c r="D2051" s="24"/>
      <c r="E2051" s="21" t="str">
        <f aca="false">IF(OR(B2051="",N(N2051)=0,N2051=1000),IF(B2051="","","Check"),INDEX(Rules!$B:$B,N2051))</f>
        <v/>
      </c>
      <c r="F2051" s="21" t="str">
        <f aca="false">IF(OR(B2051="",N(N2051)=0,N2051=1000),"",INDEX(Rules!$C:$C,N2051))</f>
        <v/>
      </c>
      <c r="G2051" s="24"/>
      <c r="H2051" s="24"/>
      <c r="I2051" s="20" t="str">
        <f aca="false">IF(B2051="","",IF(G2051&lt;&gt;"",G2051,E2051))</f>
        <v/>
      </c>
      <c r="J2051" s="21" t="str">
        <f aca="false">IF(B2051="","",IF(H2051&lt;&gt;"",H2051,F2051))</f>
        <v/>
      </c>
      <c r="K2051" s="26" t="str">
        <f aca="false">IF(A2051="","",DATE(YEAR(A2051),MONTH(A2051),1))</f>
        <v/>
      </c>
      <c r="L2051" s="21" t="str">
        <f aca="false">IF(J2051="",IF(B2051="","",IF(N(C2051)&gt;=0,"Income","Expense")),IFERROR(INDEX(Lists!$B$2:$B$30,MATCH(J2051,Lists!$A$2:$A$30,0)),""))</f>
        <v/>
      </c>
      <c r="M2051" s="24"/>
      <c r="N2051" s="27" t="str">
        <f aca="false">IF(B2051="","",IFERROR(1000-SUMPRODUCT(MAX(ISNUMBER(SEARCH(Rules!$A$5:$A$204,B2051))*(Rules!$A$5:$A$204&lt;&gt;"")*(1000-ROW(Rules!$A$5:$A$204)))),""))</f>
        <v/>
      </c>
    </row>
    <row r="2052" customFormat="false" ht="15" hidden="false" customHeight="false" outlineLevel="0" collapsed="false">
      <c r="A2052" s="23"/>
      <c r="B2052" s="24"/>
      <c r="C2052" s="25"/>
      <c r="D2052" s="24"/>
      <c r="E2052" s="21" t="str">
        <f aca="false">IF(OR(B2052="",N(N2052)=0,N2052=1000),IF(B2052="","","Check"),INDEX(Rules!$B:$B,N2052))</f>
        <v/>
      </c>
      <c r="F2052" s="21" t="str">
        <f aca="false">IF(OR(B2052="",N(N2052)=0,N2052=1000),"",INDEX(Rules!$C:$C,N2052))</f>
        <v/>
      </c>
      <c r="G2052" s="24"/>
      <c r="H2052" s="24"/>
      <c r="I2052" s="20" t="str">
        <f aca="false">IF(B2052="","",IF(G2052&lt;&gt;"",G2052,E2052))</f>
        <v/>
      </c>
      <c r="J2052" s="21" t="str">
        <f aca="false">IF(B2052="","",IF(H2052&lt;&gt;"",H2052,F2052))</f>
        <v/>
      </c>
      <c r="K2052" s="26" t="str">
        <f aca="false">IF(A2052="","",DATE(YEAR(A2052),MONTH(A2052),1))</f>
        <v/>
      </c>
      <c r="L2052" s="21" t="str">
        <f aca="false">IF(J2052="",IF(B2052="","",IF(N(C2052)&gt;=0,"Income","Expense")),IFERROR(INDEX(Lists!$B$2:$B$30,MATCH(J2052,Lists!$A$2:$A$30,0)),""))</f>
        <v/>
      </c>
      <c r="M2052" s="24"/>
      <c r="N2052" s="27" t="str">
        <f aca="false">IF(B2052="","",IFERROR(1000-SUMPRODUCT(MAX(ISNUMBER(SEARCH(Rules!$A$5:$A$204,B2052))*(Rules!$A$5:$A$204&lt;&gt;"")*(1000-ROW(Rules!$A$5:$A$204)))),""))</f>
        <v/>
      </c>
    </row>
    <row r="2053" customFormat="false" ht="15" hidden="false" customHeight="false" outlineLevel="0" collapsed="false">
      <c r="A2053" s="23"/>
      <c r="B2053" s="24"/>
      <c r="C2053" s="25"/>
      <c r="D2053" s="24"/>
      <c r="E2053" s="21" t="str">
        <f aca="false">IF(OR(B2053="",N(N2053)=0,N2053=1000),IF(B2053="","","Check"),INDEX(Rules!$B:$B,N2053))</f>
        <v/>
      </c>
      <c r="F2053" s="21" t="str">
        <f aca="false">IF(OR(B2053="",N(N2053)=0,N2053=1000),"",INDEX(Rules!$C:$C,N2053))</f>
        <v/>
      </c>
      <c r="G2053" s="24"/>
      <c r="H2053" s="24"/>
      <c r="I2053" s="20" t="str">
        <f aca="false">IF(B2053="","",IF(G2053&lt;&gt;"",G2053,E2053))</f>
        <v/>
      </c>
      <c r="J2053" s="21" t="str">
        <f aca="false">IF(B2053="","",IF(H2053&lt;&gt;"",H2053,F2053))</f>
        <v/>
      </c>
      <c r="K2053" s="26" t="str">
        <f aca="false">IF(A2053="","",DATE(YEAR(A2053),MONTH(A2053),1))</f>
        <v/>
      </c>
      <c r="L2053" s="21" t="str">
        <f aca="false">IF(J2053="",IF(B2053="","",IF(N(C2053)&gt;=0,"Income","Expense")),IFERROR(INDEX(Lists!$B$2:$B$30,MATCH(J2053,Lists!$A$2:$A$30,0)),""))</f>
        <v/>
      </c>
      <c r="M2053" s="24"/>
      <c r="N2053" s="27" t="str">
        <f aca="false">IF(B2053="","",IFERROR(1000-SUMPRODUCT(MAX(ISNUMBER(SEARCH(Rules!$A$5:$A$204,B2053))*(Rules!$A$5:$A$204&lt;&gt;"")*(1000-ROW(Rules!$A$5:$A$204)))),""))</f>
        <v/>
      </c>
    </row>
    <row r="2054" customFormat="false" ht="15" hidden="false" customHeight="false" outlineLevel="0" collapsed="false">
      <c r="A2054" s="23"/>
      <c r="B2054" s="24"/>
      <c r="C2054" s="25"/>
      <c r="D2054" s="24"/>
      <c r="E2054" s="21" t="str">
        <f aca="false">IF(OR(B2054="",N(N2054)=0,N2054=1000),IF(B2054="","","Check"),INDEX(Rules!$B:$B,N2054))</f>
        <v/>
      </c>
      <c r="F2054" s="21" t="str">
        <f aca="false">IF(OR(B2054="",N(N2054)=0,N2054=1000),"",INDEX(Rules!$C:$C,N2054))</f>
        <v/>
      </c>
      <c r="G2054" s="24"/>
      <c r="H2054" s="24"/>
      <c r="I2054" s="20" t="str">
        <f aca="false">IF(B2054="","",IF(G2054&lt;&gt;"",G2054,E2054))</f>
        <v/>
      </c>
      <c r="J2054" s="21" t="str">
        <f aca="false">IF(B2054="","",IF(H2054&lt;&gt;"",H2054,F2054))</f>
        <v/>
      </c>
      <c r="K2054" s="26" t="str">
        <f aca="false">IF(A2054="","",DATE(YEAR(A2054),MONTH(A2054),1))</f>
        <v/>
      </c>
      <c r="L2054" s="21" t="str">
        <f aca="false">IF(J2054="",IF(B2054="","",IF(N(C2054)&gt;=0,"Income","Expense")),IFERROR(INDEX(Lists!$B$2:$B$30,MATCH(J2054,Lists!$A$2:$A$30,0)),""))</f>
        <v/>
      </c>
      <c r="M2054" s="24"/>
      <c r="N2054" s="27" t="str">
        <f aca="false">IF(B2054="","",IFERROR(1000-SUMPRODUCT(MAX(ISNUMBER(SEARCH(Rules!$A$5:$A$204,B2054))*(Rules!$A$5:$A$204&lt;&gt;"")*(1000-ROW(Rules!$A$5:$A$204)))),""))</f>
        <v/>
      </c>
    </row>
    <row r="2055" customFormat="false" ht="15" hidden="false" customHeight="false" outlineLevel="0" collapsed="false">
      <c r="A2055" s="23"/>
      <c r="B2055" s="24"/>
      <c r="C2055" s="25"/>
      <c r="D2055" s="24"/>
      <c r="E2055" s="21" t="str">
        <f aca="false">IF(OR(B2055="",N(N2055)=0,N2055=1000),IF(B2055="","","Check"),INDEX(Rules!$B:$B,N2055))</f>
        <v/>
      </c>
      <c r="F2055" s="21" t="str">
        <f aca="false">IF(OR(B2055="",N(N2055)=0,N2055=1000),"",INDEX(Rules!$C:$C,N2055))</f>
        <v/>
      </c>
      <c r="G2055" s="24"/>
      <c r="H2055" s="24"/>
      <c r="I2055" s="20" t="str">
        <f aca="false">IF(B2055="","",IF(G2055&lt;&gt;"",G2055,E2055))</f>
        <v/>
      </c>
      <c r="J2055" s="21" t="str">
        <f aca="false">IF(B2055="","",IF(H2055&lt;&gt;"",H2055,F2055))</f>
        <v/>
      </c>
      <c r="K2055" s="26" t="str">
        <f aca="false">IF(A2055="","",DATE(YEAR(A2055),MONTH(A2055),1))</f>
        <v/>
      </c>
      <c r="L2055" s="21" t="str">
        <f aca="false">IF(J2055="",IF(B2055="","",IF(N(C2055)&gt;=0,"Income","Expense")),IFERROR(INDEX(Lists!$B$2:$B$30,MATCH(J2055,Lists!$A$2:$A$30,0)),""))</f>
        <v/>
      </c>
      <c r="M2055" s="24"/>
      <c r="N2055" s="27" t="str">
        <f aca="false">IF(B2055="","",IFERROR(1000-SUMPRODUCT(MAX(ISNUMBER(SEARCH(Rules!$A$5:$A$204,B2055))*(Rules!$A$5:$A$204&lt;&gt;"")*(1000-ROW(Rules!$A$5:$A$204)))),""))</f>
        <v/>
      </c>
    </row>
    <row r="2056" customFormat="false" ht="15" hidden="false" customHeight="false" outlineLevel="0" collapsed="false">
      <c r="A2056" s="23"/>
      <c r="B2056" s="24"/>
      <c r="C2056" s="25"/>
      <c r="D2056" s="24"/>
      <c r="E2056" s="21" t="str">
        <f aca="false">IF(OR(B2056="",N(N2056)=0,N2056=1000),IF(B2056="","","Check"),INDEX(Rules!$B:$B,N2056))</f>
        <v/>
      </c>
      <c r="F2056" s="21" t="str">
        <f aca="false">IF(OR(B2056="",N(N2056)=0,N2056=1000),"",INDEX(Rules!$C:$C,N2056))</f>
        <v/>
      </c>
      <c r="G2056" s="24"/>
      <c r="H2056" s="24"/>
      <c r="I2056" s="20" t="str">
        <f aca="false">IF(B2056="","",IF(G2056&lt;&gt;"",G2056,E2056))</f>
        <v/>
      </c>
      <c r="J2056" s="21" t="str">
        <f aca="false">IF(B2056="","",IF(H2056&lt;&gt;"",H2056,F2056))</f>
        <v/>
      </c>
      <c r="K2056" s="26" t="str">
        <f aca="false">IF(A2056="","",DATE(YEAR(A2056),MONTH(A2056),1))</f>
        <v/>
      </c>
      <c r="L2056" s="21" t="str">
        <f aca="false">IF(J2056="",IF(B2056="","",IF(N(C2056)&gt;=0,"Income","Expense")),IFERROR(INDEX(Lists!$B$2:$B$30,MATCH(J2056,Lists!$A$2:$A$30,0)),""))</f>
        <v/>
      </c>
      <c r="M2056" s="24"/>
      <c r="N2056" s="27" t="str">
        <f aca="false">IF(B2056="","",IFERROR(1000-SUMPRODUCT(MAX(ISNUMBER(SEARCH(Rules!$A$5:$A$204,B2056))*(Rules!$A$5:$A$204&lt;&gt;"")*(1000-ROW(Rules!$A$5:$A$204)))),""))</f>
        <v/>
      </c>
    </row>
    <row r="2057" customFormat="false" ht="15" hidden="false" customHeight="false" outlineLevel="0" collapsed="false">
      <c r="A2057" s="23"/>
      <c r="B2057" s="24"/>
      <c r="C2057" s="25"/>
      <c r="D2057" s="24"/>
      <c r="E2057" s="21" t="str">
        <f aca="false">IF(OR(B2057="",N(N2057)=0,N2057=1000),IF(B2057="","","Check"),INDEX(Rules!$B:$B,N2057))</f>
        <v/>
      </c>
      <c r="F2057" s="21" t="str">
        <f aca="false">IF(OR(B2057="",N(N2057)=0,N2057=1000),"",INDEX(Rules!$C:$C,N2057))</f>
        <v/>
      </c>
      <c r="G2057" s="24"/>
      <c r="H2057" s="24"/>
      <c r="I2057" s="20" t="str">
        <f aca="false">IF(B2057="","",IF(G2057&lt;&gt;"",G2057,E2057))</f>
        <v/>
      </c>
      <c r="J2057" s="21" t="str">
        <f aca="false">IF(B2057="","",IF(H2057&lt;&gt;"",H2057,F2057))</f>
        <v/>
      </c>
      <c r="K2057" s="26" t="str">
        <f aca="false">IF(A2057="","",DATE(YEAR(A2057),MONTH(A2057),1))</f>
        <v/>
      </c>
      <c r="L2057" s="21" t="str">
        <f aca="false">IF(J2057="",IF(B2057="","",IF(N(C2057)&gt;=0,"Income","Expense")),IFERROR(INDEX(Lists!$B$2:$B$30,MATCH(J2057,Lists!$A$2:$A$30,0)),""))</f>
        <v/>
      </c>
      <c r="M2057" s="24"/>
      <c r="N2057" s="27" t="str">
        <f aca="false">IF(B2057="","",IFERROR(1000-SUMPRODUCT(MAX(ISNUMBER(SEARCH(Rules!$A$5:$A$204,B2057))*(Rules!$A$5:$A$204&lt;&gt;"")*(1000-ROW(Rules!$A$5:$A$204)))),""))</f>
        <v/>
      </c>
    </row>
    <row r="2058" customFormat="false" ht="15" hidden="false" customHeight="false" outlineLevel="0" collapsed="false">
      <c r="A2058" s="23"/>
      <c r="B2058" s="24"/>
      <c r="C2058" s="25"/>
      <c r="D2058" s="24"/>
      <c r="E2058" s="21" t="str">
        <f aca="false">IF(OR(B2058="",N(N2058)=0,N2058=1000),IF(B2058="","","Check"),INDEX(Rules!$B:$B,N2058))</f>
        <v/>
      </c>
      <c r="F2058" s="21" t="str">
        <f aca="false">IF(OR(B2058="",N(N2058)=0,N2058=1000),"",INDEX(Rules!$C:$C,N2058))</f>
        <v/>
      </c>
      <c r="G2058" s="24"/>
      <c r="H2058" s="24"/>
      <c r="I2058" s="20" t="str">
        <f aca="false">IF(B2058="","",IF(G2058&lt;&gt;"",G2058,E2058))</f>
        <v/>
      </c>
      <c r="J2058" s="21" t="str">
        <f aca="false">IF(B2058="","",IF(H2058&lt;&gt;"",H2058,F2058))</f>
        <v/>
      </c>
      <c r="K2058" s="26" t="str">
        <f aca="false">IF(A2058="","",DATE(YEAR(A2058),MONTH(A2058),1))</f>
        <v/>
      </c>
      <c r="L2058" s="21" t="str">
        <f aca="false">IF(J2058="",IF(B2058="","",IF(N(C2058)&gt;=0,"Income","Expense")),IFERROR(INDEX(Lists!$B$2:$B$30,MATCH(J2058,Lists!$A$2:$A$30,0)),""))</f>
        <v/>
      </c>
      <c r="M2058" s="24"/>
      <c r="N2058" s="27" t="str">
        <f aca="false">IF(B2058="","",IFERROR(1000-SUMPRODUCT(MAX(ISNUMBER(SEARCH(Rules!$A$5:$A$204,B2058))*(Rules!$A$5:$A$204&lt;&gt;"")*(1000-ROW(Rules!$A$5:$A$204)))),""))</f>
        <v/>
      </c>
    </row>
    <row r="2059" customFormat="false" ht="15" hidden="false" customHeight="false" outlineLevel="0" collapsed="false">
      <c r="A2059" s="23"/>
      <c r="B2059" s="24"/>
      <c r="C2059" s="25"/>
      <c r="D2059" s="24"/>
      <c r="E2059" s="21" t="str">
        <f aca="false">IF(OR(B2059="",N(N2059)=0,N2059=1000),IF(B2059="","","Check"),INDEX(Rules!$B:$B,N2059))</f>
        <v/>
      </c>
      <c r="F2059" s="21" t="str">
        <f aca="false">IF(OR(B2059="",N(N2059)=0,N2059=1000),"",INDEX(Rules!$C:$C,N2059))</f>
        <v/>
      </c>
      <c r="G2059" s="24"/>
      <c r="H2059" s="24"/>
      <c r="I2059" s="20" t="str">
        <f aca="false">IF(B2059="","",IF(G2059&lt;&gt;"",G2059,E2059))</f>
        <v/>
      </c>
      <c r="J2059" s="21" t="str">
        <f aca="false">IF(B2059="","",IF(H2059&lt;&gt;"",H2059,F2059))</f>
        <v/>
      </c>
      <c r="K2059" s="26" t="str">
        <f aca="false">IF(A2059="","",DATE(YEAR(A2059),MONTH(A2059),1))</f>
        <v/>
      </c>
      <c r="L2059" s="21" t="str">
        <f aca="false">IF(J2059="",IF(B2059="","",IF(N(C2059)&gt;=0,"Income","Expense")),IFERROR(INDEX(Lists!$B$2:$B$30,MATCH(J2059,Lists!$A$2:$A$30,0)),""))</f>
        <v/>
      </c>
      <c r="M2059" s="24"/>
      <c r="N2059" s="27" t="str">
        <f aca="false">IF(B2059="","",IFERROR(1000-SUMPRODUCT(MAX(ISNUMBER(SEARCH(Rules!$A$5:$A$204,B2059))*(Rules!$A$5:$A$204&lt;&gt;"")*(1000-ROW(Rules!$A$5:$A$204)))),""))</f>
        <v/>
      </c>
    </row>
    <row r="2060" customFormat="false" ht="15" hidden="false" customHeight="false" outlineLevel="0" collapsed="false">
      <c r="A2060" s="23"/>
      <c r="B2060" s="24"/>
      <c r="C2060" s="25"/>
      <c r="D2060" s="24"/>
      <c r="E2060" s="21" t="str">
        <f aca="false">IF(OR(B2060="",N(N2060)=0,N2060=1000),IF(B2060="","","Check"),INDEX(Rules!$B:$B,N2060))</f>
        <v/>
      </c>
      <c r="F2060" s="21" t="str">
        <f aca="false">IF(OR(B2060="",N(N2060)=0,N2060=1000),"",INDEX(Rules!$C:$C,N2060))</f>
        <v/>
      </c>
      <c r="G2060" s="24"/>
      <c r="H2060" s="24"/>
      <c r="I2060" s="20" t="str">
        <f aca="false">IF(B2060="","",IF(G2060&lt;&gt;"",G2060,E2060))</f>
        <v/>
      </c>
      <c r="J2060" s="21" t="str">
        <f aca="false">IF(B2060="","",IF(H2060&lt;&gt;"",H2060,F2060))</f>
        <v/>
      </c>
      <c r="K2060" s="26" t="str">
        <f aca="false">IF(A2060="","",DATE(YEAR(A2060),MONTH(A2060),1))</f>
        <v/>
      </c>
      <c r="L2060" s="21" t="str">
        <f aca="false">IF(J2060="",IF(B2060="","",IF(N(C2060)&gt;=0,"Income","Expense")),IFERROR(INDEX(Lists!$B$2:$B$30,MATCH(J2060,Lists!$A$2:$A$30,0)),""))</f>
        <v/>
      </c>
      <c r="M2060" s="24"/>
      <c r="N2060" s="27" t="str">
        <f aca="false">IF(B2060="","",IFERROR(1000-SUMPRODUCT(MAX(ISNUMBER(SEARCH(Rules!$A$5:$A$204,B2060))*(Rules!$A$5:$A$204&lt;&gt;"")*(1000-ROW(Rules!$A$5:$A$204)))),""))</f>
        <v/>
      </c>
    </row>
    <row r="2061" customFormat="false" ht="15" hidden="false" customHeight="false" outlineLevel="0" collapsed="false">
      <c r="A2061" s="23"/>
      <c r="B2061" s="24"/>
      <c r="C2061" s="25"/>
      <c r="D2061" s="24"/>
      <c r="E2061" s="21" t="str">
        <f aca="false">IF(OR(B2061="",N(N2061)=0,N2061=1000),IF(B2061="","","Check"),INDEX(Rules!$B:$B,N2061))</f>
        <v/>
      </c>
      <c r="F2061" s="21" t="str">
        <f aca="false">IF(OR(B2061="",N(N2061)=0,N2061=1000),"",INDEX(Rules!$C:$C,N2061))</f>
        <v/>
      </c>
      <c r="G2061" s="24"/>
      <c r="H2061" s="24"/>
      <c r="I2061" s="20" t="str">
        <f aca="false">IF(B2061="","",IF(G2061&lt;&gt;"",G2061,E2061))</f>
        <v/>
      </c>
      <c r="J2061" s="21" t="str">
        <f aca="false">IF(B2061="","",IF(H2061&lt;&gt;"",H2061,F2061))</f>
        <v/>
      </c>
      <c r="K2061" s="26" t="str">
        <f aca="false">IF(A2061="","",DATE(YEAR(A2061),MONTH(A2061),1))</f>
        <v/>
      </c>
      <c r="L2061" s="21" t="str">
        <f aca="false">IF(J2061="",IF(B2061="","",IF(N(C2061)&gt;=0,"Income","Expense")),IFERROR(INDEX(Lists!$B$2:$B$30,MATCH(J2061,Lists!$A$2:$A$30,0)),""))</f>
        <v/>
      </c>
      <c r="M2061" s="24"/>
      <c r="N2061" s="27" t="str">
        <f aca="false">IF(B2061="","",IFERROR(1000-SUMPRODUCT(MAX(ISNUMBER(SEARCH(Rules!$A$5:$A$204,B2061))*(Rules!$A$5:$A$204&lt;&gt;"")*(1000-ROW(Rules!$A$5:$A$204)))),""))</f>
        <v/>
      </c>
    </row>
    <row r="2062" customFormat="false" ht="15" hidden="false" customHeight="false" outlineLevel="0" collapsed="false">
      <c r="A2062" s="23"/>
      <c r="B2062" s="24"/>
      <c r="C2062" s="25"/>
      <c r="D2062" s="24"/>
      <c r="E2062" s="21" t="str">
        <f aca="false">IF(OR(B2062="",N(N2062)=0,N2062=1000),IF(B2062="","","Check"),INDEX(Rules!$B:$B,N2062))</f>
        <v/>
      </c>
      <c r="F2062" s="21" t="str">
        <f aca="false">IF(OR(B2062="",N(N2062)=0,N2062=1000),"",INDEX(Rules!$C:$C,N2062))</f>
        <v/>
      </c>
      <c r="G2062" s="24"/>
      <c r="H2062" s="24"/>
      <c r="I2062" s="20" t="str">
        <f aca="false">IF(B2062="","",IF(G2062&lt;&gt;"",G2062,E2062))</f>
        <v/>
      </c>
      <c r="J2062" s="21" t="str">
        <f aca="false">IF(B2062="","",IF(H2062&lt;&gt;"",H2062,F2062))</f>
        <v/>
      </c>
      <c r="K2062" s="26" t="str">
        <f aca="false">IF(A2062="","",DATE(YEAR(A2062),MONTH(A2062),1))</f>
        <v/>
      </c>
      <c r="L2062" s="21" t="str">
        <f aca="false">IF(J2062="",IF(B2062="","",IF(N(C2062)&gt;=0,"Income","Expense")),IFERROR(INDEX(Lists!$B$2:$B$30,MATCH(J2062,Lists!$A$2:$A$30,0)),""))</f>
        <v/>
      </c>
      <c r="M2062" s="24"/>
      <c r="N2062" s="27" t="str">
        <f aca="false">IF(B2062="","",IFERROR(1000-SUMPRODUCT(MAX(ISNUMBER(SEARCH(Rules!$A$5:$A$204,B2062))*(Rules!$A$5:$A$204&lt;&gt;"")*(1000-ROW(Rules!$A$5:$A$204)))),""))</f>
        <v/>
      </c>
    </row>
    <row r="2063" customFormat="false" ht="15" hidden="false" customHeight="false" outlineLevel="0" collapsed="false">
      <c r="A2063" s="23"/>
      <c r="B2063" s="24"/>
      <c r="C2063" s="25"/>
      <c r="D2063" s="24"/>
      <c r="E2063" s="21" t="str">
        <f aca="false">IF(OR(B2063="",N(N2063)=0,N2063=1000),IF(B2063="","","Check"),INDEX(Rules!$B:$B,N2063))</f>
        <v/>
      </c>
      <c r="F2063" s="21" t="str">
        <f aca="false">IF(OR(B2063="",N(N2063)=0,N2063=1000),"",INDEX(Rules!$C:$C,N2063))</f>
        <v/>
      </c>
      <c r="G2063" s="24"/>
      <c r="H2063" s="24"/>
      <c r="I2063" s="20" t="str">
        <f aca="false">IF(B2063="","",IF(G2063&lt;&gt;"",G2063,E2063))</f>
        <v/>
      </c>
      <c r="J2063" s="21" t="str">
        <f aca="false">IF(B2063="","",IF(H2063&lt;&gt;"",H2063,F2063))</f>
        <v/>
      </c>
      <c r="K2063" s="26" t="str">
        <f aca="false">IF(A2063="","",DATE(YEAR(A2063),MONTH(A2063),1))</f>
        <v/>
      </c>
      <c r="L2063" s="21" t="str">
        <f aca="false">IF(J2063="",IF(B2063="","",IF(N(C2063)&gt;=0,"Income","Expense")),IFERROR(INDEX(Lists!$B$2:$B$30,MATCH(J2063,Lists!$A$2:$A$30,0)),""))</f>
        <v/>
      </c>
      <c r="M2063" s="24"/>
      <c r="N2063" s="27" t="str">
        <f aca="false">IF(B2063="","",IFERROR(1000-SUMPRODUCT(MAX(ISNUMBER(SEARCH(Rules!$A$5:$A$204,B2063))*(Rules!$A$5:$A$204&lt;&gt;"")*(1000-ROW(Rules!$A$5:$A$204)))),""))</f>
        <v/>
      </c>
    </row>
    <row r="2064" customFormat="false" ht="15" hidden="false" customHeight="false" outlineLevel="0" collapsed="false">
      <c r="A2064" s="23"/>
      <c r="B2064" s="24"/>
      <c r="C2064" s="25"/>
      <c r="D2064" s="24"/>
      <c r="E2064" s="21" t="str">
        <f aca="false">IF(OR(B2064="",N(N2064)=0,N2064=1000),IF(B2064="","","Check"),INDEX(Rules!$B:$B,N2064))</f>
        <v/>
      </c>
      <c r="F2064" s="21" t="str">
        <f aca="false">IF(OR(B2064="",N(N2064)=0,N2064=1000),"",INDEX(Rules!$C:$C,N2064))</f>
        <v/>
      </c>
      <c r="G2064" s="24"/>
      <c r="H2064" s="24"/>
      <c r="I2064" s="20" t="str">
        <f aca="false">IF(B2064="","",IF(G2064&lt;&gt;"",G2064,E2064))</f>
        <v/>
      </c>
      <c r="J2064" s="21" t="str">
        <f aca="false">IF(B2064="","",IF(H2064&lt;&gt;"",H2064,F2064))</f>
        <v/>
      </c>
      <c r="K2064" s="26" t="str">
        <f aca="false">IF(A2064="","",DATE(YEAR(A2064),MONTH(A2064),1))</f>
        <v/>
      </c>
      <c r="L2064" s="21" t="str">
        <f aca="false">IF(J2064="",IF(B2064="","",IF(N(C2064)&gt;=0,"Income","Expense")),IFERROR(INDEX(Lists!$B$2:$B$30,MATCH(J2064,Lists!$A$2:$A$30,0)),""))</f>
        <v/>
      </c>
      <c r="M2064" s="24"/>
      <c r="N2064" s="27" t="str">
        <f aca="false">IF(B2064="","",IFERROR(1000-SUMPRODUCT(MAX(ISNUMBER(SEARCH(Rules!$A$5:$A$204,B2064))*(Rules!$A$5:$A$204&lt;&gt;"")*(1000-ROW(Rules!$A$5:$A$204)))),""))</f>
        <v/>
      </c>
    </row>
    <row r="2065" customFormat="false" ht="15" hidden="false" customHeight="false" outlineLevel="0" collapsed="false">
      <c r="A2065" s="23"/>
      <c r="B2065" s="24"/>
      <c r="C2065" s="25"/>
      <c r="D2065" s="24"/>
      <c r="E2065" s="21" t="str">
        <f aca="false">IF(OR(B2065="",N(N2065)=0,N2065=1000),IF(B2065="","","Check"),INDEX(Rules!$B:$B,N2065))</f>
        <v/>
      </c>
      <c r="F2065" s="21" t="str">
        <f aca="false">IF(OR(B2065="",N(N2065)=0,N2065=1000),"",INDEX(Rules!$C:$C,N2065))</f>
        <v/>
      </c>
      <c r="G2065" s="24"/>
      <c r="H2065" s="24"/>
      <c r="I2065" s="20" t="str">
        <f aca="false">IF(B2065="","",IF(G2065&lt;&gt;"",G2065,E2065))</f>
        <v/>
      </c>
      <c r="J2065" s="21" t="str">
        <f aca="false">IF(B2065="","",IF(H2065&lt;&gt;"",H2065,F2065))</f>
        <v/>
      </c>
      <c r="K2065" s="26" t="str">
        <f aca="false">IF(A2065="","",DATE(YEAR(A2065),MONTH(A2065),1))</f>
        <v/>
      </c>
      <c r="L2065" s="21" t="str">
        <f aca="false">IF(J2065="",IF(B2065="","",IF(N(C2065)&gt;=0,"Income","Expense")),IFERROR(INDEX(Lists!$B$2:$B$30,MATCH(J2065,Lists!$A$2:$A$30,0)),""))</f>
        <v/>
      </c>
      <c r="M2065" s="24"/>
      <c r="N2065" s="27" t="str">
        <f aca="false">IF(B2065="","",IFERROR(1000-SUMPRODUCT(MAX(ISNUMBER(SEARCH(Rules!$A$5:$A$204,B2065))*(Rules!$A$5:$A$204&lt;&gt;"")*(1000-ROW(Rules!$A$5:$A$204)))),""))</f>
        <v/>
      </c>
    </row>
    <row r="2066" customFormat="false" ht="15" hidden="false" customHeight="false" outlineLevel="0" collapsed="false">
      <c r="A2066" s="23"/>
      <c r="B2066" s="24"/>
      <c r="C2066" s="25"/>
      <c r="D2066" s="24"/>
      <c r="E2066" s="21" t="str">
        <f aca="false">IF(OR(B2066="",N(N2066)=0,N2066=1000),IF(B2066="","","Check"),INDEX(Rules!$B:$B,N2066))</f>
        <v/>
      </c>
      <c r="F2066" s="21" t="str">
        <f aca="false">IF(OR(B2066="",N(N2066)=0,N2066=1000),"",INDEX(Rules!$C:$C,N2066))</f>
        <v/>
      </c>
      <c r="G2066" s="24"/>
      <c r="H2066" s="24"/>
      <c r="I2066" s="20" t="str">
        <f aca="false">IF(B2066="","",IF(G2066&lt;&gt;"",G2066,E2066))</f>
        <v/>
      </c>
      <c r="J2066" s="21" t="str">
        <f aca="false">IF(B2066="","",IF(H2066&lt;&gt;"",H2066,F2066))</f>
        <v/>
      </c>
      <c r="K2066" s="26" t="str">
        <f aca="false">IF(A2066="","",DATE(YEAR(A2066),MONTH(A2066),1))</f>
        <v/>
      </c>
      <c r="L2066" s="21" t="str">
        <f aca="false">IF(J2066="",IF(B2066="","",IF(N(C2066)&gt;=0,"Income","Expense")),IFERROR(INDEX(Lists!$B$2:$B$30,MATCH(J2066,Lists!$A$2:$A$30,0)),""))</f>
        <v/>
      </c>
      <c r="M2066" s="24"/>
      <c r="N2066" s="27" t="str">
        <f aca="false">IF(B2066="","",IFERROR(1000-SUMPRODUCT(MAX(ISNUMBER(SEARCH(Rules!$A$5:$A$204,B2066))*(Rules!$A$5:$A$204&lt;&gt;"")*(1000-ROW(Rules!$A$5:$A$204)))),""))</f>
        <v/>
      </c>
    </row>
    <row r="2067" customFormat="false" ht="15" hidden="false" customHeight="false" outlineLevel="0" collapsed="false">
      <c r="A2067" s="23"/>
      <c r="B2067" s="24"/>
      <c r="C2067" s="25"/>
      <c r="D2067" s="24"/>
      <c r="E2067" s="21" t="str">
        <f aca="false">IF(OR(B2067="",N(N2067)=0,N2067=1000),IF(B2067="","","Check"),INDEX(Rules!$B:$B,N2067))</f>
        <v/>
      </c>
      <c r="F2067" s="21" t="str">
        <f aca="false">IF(OR(B2067="",N(N2067)=0,N2067=1000),"",INDEX(Rules!$C:$C,N2067))</f>
        <v/>
      </c>
      <c r="G2067" s="24"/>
      <c r="H2067" s="24"/>
      <c r="I2067" s="20" t="str">
        <f aca="false">IF(B2067="","",IF(G2067&lt;&gt;"",G2067,E2067))</f>
        <v/>
      </c>
      <c r="J2067" s="21" t="str">
        <f aca="false">IF(B2067="","",IF(H2067&lt;&gt;"",H2067,F2067))</f>
        <v/>
      </c>
      <c r="K2067" s="26" t="str">
        <f aca="false">IF(A2067="","",DATE(YEAR(A2067),MONTH(A2067),1))</f>
        <v/>
      </c>
      <c r="L2067" s="21" t="str">
        <f aca="false">IF(J2067="",IF(B2067="","",IF(N(C2067)&gt;=0,"Income","Expense")),IFERROR(INDEX(Lists!$B$2:$B$30,MATCH(J2067,Lists!$A$2:$A$30,0)),""))</f>
        <v/>
      </c>
      <c r="M2067" s="24"/>
      <c r="N2067" s="27" t="str">
        <f aca="false">IF(B2067="","",IFERROR(1000-SUMPRODUCT(MAX(ISNUMBER(SEARCH(Rules!$A$5:$A$204,B2067))*(Rules!$A$5:$A$204&lt;&gt;"")*(1000-ROW(Rules!$A$5:$A$204)))),""))</f>
        <v/>
      </c>
    </row>
    <row r="2068" customFormat="false" ht="15" hidden="false" customHeight="false" outlineLevel="0" collapsed="false">
      <c r="A2068" s="23"/>
      <c r="B2068" s="24"/>
      <c r="C2068" s="25"/>
      <c r="D2068" s="24"/>
      <c r="E2068" s="21" t="str">
        <f aca="false">IF(OR(B2068="",N(N2068)=0,N2068=1000),IF(B2068="","","Check"),INDEX(Rules!$B:$B,N2068))</f>
        <v/>
      </c>
      <c r="F2068" s="21" t="str">
        <f aca="false">IF(OR(B2068="",N(N2068)=0,N2068=1000),"",INDEX(Rules!$C:$C,N2068))</f>
        <v/>
      </c>
      <c r="G2068" s="24"/>
      <c r="H2068" s="24"/>
      <c r="I2068" s="20" t="str">
        <f aca="false">IF(B2068="","",IF(G2068&lt;&gt;"",G2068,E2068))</f>
        <v/>
      </c>
      <c r="J2068" s="21" t="str">
        <f aca="false">IF(B2068="","",IF(H2068&lt;&gt;"",H2068,F2068))</f>
        <v/>
      </c>
      <c r="K2068" s="26" t="str">
        <f aca="false">IF(A2068="","",DATE(YEAR(A2068),MONTH(A2068),1))</f>
        <v/>
      </c>
      <c r="L2068" s="21" t="str">
        <f aca="false">IF(J2068="",IF(B2068="","",IF(N(C2068)&gt;=0,"Income","Expense")),IFERROR(INDEX(Lists!$B$2:$B$30,MATCH(J2068,Lists!$A$2:$A$30,0)),""))</f>
        <v/>
      </c>
      <c r="M2068" s="24"/>
      <c r="N2068" s="27" t="str">
        <f aca="false">IF(B2068="","",IFERROR(1000-SUMPRODUCT(MAX(ISNUMBER(SEARCH(Rules!$A$5:$A$204,B2068))*(Rules!$A$5:$A$204&lt;&gt;"")*(1000-ROW(Rules!$A$5:$A$204)))),""))</f>
        <v/>
      </c>
    </row>
    <row r="2069" customFormat="false" ht="15" hidden="false" customHeight="false" outlineLevel="0" collapsed="false">
      <c r="A2069" s="23"/>
      <c r="B2069" s="24"/>
      <c r="C2069" s="25"/>
      <c r="D2069" s="24"/>
      <c r="E2069" s="21" t="str">
        <f aca="false">IF(OR(B2069="",N(N2069)=0,N2069=1000),IF(B2069="","","Check"),INDEX(Rules!$B:$B,N2069))</f>
        <v/>
      </c>
      <c r="F2069" s="21" t="str">
        <f aca="false">IF(OR(B2069="",N(N2069)=0,N2069=1000),"",INDEX(Rules!$C:$C,N2069))</f>
        <v/>
      </c>
      <c r="G2069" s="24"/>
      <c r="H2069" s="24"/>
      <c r="I2069" s="20" t="str">
        <f aca="false">IF(B2069="","",IF(G2069&lt;&gt;"",G2069,E2069))</f>
        <v/>
      </c>
      <c r="J2069" s="21" t="str">
        <f aca="false">IF(B2069="","",IF(H2069&lt;&gt;"",H2069,F2069))</f>
        <v/>
      </c>
      <c r="K2069" s="26" t="str">
        <f aca="false">IF(A2069="","",DATE(YEAR(A2069),MONTH(A2069),1))</f>
        <v/>
      </c>
      <c r="L2069" s="21" t="str">
        <f aca="false">IF(J2069="",IF(B2069="","",IF(N(C2069)&gt;=0,"Income","Expense")),IFERROR(INDEX(Lists!$B$2:$B$30,MATCH(J2069,Lists!$A$2:$A$30,0)),""))</f>
        <v/>
      </c>
      <c r="M2069" s="24"/>
      <c r="N2069" s="27" t="str">
        <f aca="false">IF(B2069="","",IFERROR(1000-SUMPRODUCT(MAX(ISNUMBER(SEARCH(Rules!$A$5:$A$204,B2069))*(Rules!$A$5:$A$204&lt;&gt;"")*(1000-ROW(Rules!$A$5:$A$204)))),""))</f>
        <v/>
      </c>
    </row>
    <row r="2070" customFormat="false" ht="15" hidden="false" customHeight="false" outlineLevel="0" collapsed="false">
      <c r="A2070" s="23"/>
      <c r="B2070" s="24"/>
      <c r="C2070" s="25"/>
      <c r="D2070" s="24"/>
      <c r="E2070" s="21" t="str">
        <f aca="false">IF(OR(B2070="",N(N2070)=0,N2070=1000),IF(B2070="","","Check"),INDEX(Rules!$B:$B,N2070))</f>
        <v/>
      </c>
      <c r="F2070" s="21" t="str">
        <f aca="false">IF(OR(B2070="",N(N2070)=0,N2070=1000),"",INDEX(Rules!$C:$C,N2070))</f>
        <v/>
      </c>
      <c r="G2070" s="24"/>
      <c r="H2070" s="24"/>
      <c r="I2070" s="20" t="str">
        <f aca="false">IF(B2070="","",IF(G2070&lt;&gt;"",G2070,E2070))</f>
        <v/>
      </c>
      <c r="J2070" s="21" t="str">
        <f aca="false">IF(B2070="","",IF(H2070&lt;&gt;"",H2070,F2070))</f>
        <v/>
      </c>
      <c r="K2070" s="26" t="str">
        <f aca="false">IF(A2070="","",DATE(YEAR(A2070),MONTH(A2070),1))</f>
        <v/>
      </c>
      <c r="L2070" s="21" t="str">
        <f aca="false">IF(J2070="",IF(B2070="","",IF(N(C2070)&gt;=0,"Income","Expense")),IFERROR(INDEX(Lists!$B$2:$B$30,MATCH(J2070,Lists!$A$2:$A$30,0)),""))</f>
        <v/>
      </c>
      <c r="M2070" s="24"/>
      <c r="N2070" s="27" t="str">
        <f aca="false">IF(B2070="","",IFERROR(1000-SUMPRODUCT(MAX(ISNUMBER(SEARCH(Rules!$A$5:$A$204,B2070))*(Rules!$A$5:$A$204&lt;&gt;"")*(1000-ROW(Rules!$A$5:$A$204)))),""))</f>
        <v/>
      </c>
    </row>
    <row r="2071" customFormat="false" ht="15" hidden="false" customHeight="false" outlineLevel="0" collapsed="false">
      <c r="A2071" s="23"/>
      <c r="B2071" s="24"/>
      <c r="C2071" s="25"/>
      <c r="D2071" s="24"/>
      <c r="E2071" s="21" t="str">
        <f aca="false">IF(OR(B2071="",N(N2071)=0,N2071=1000),IF(B2071="","","Check"),INDEX(Rules!$B:$B,N2071))</f>
        <v/>
      </c>
      <c r="F2071" s="21" t="str">
        <f aca="false">IF(OR(B2071="",N(N2071)=0,N2071=1000),"",INDEX(Rules!$C:$C,N2071))</f>
        <v/>
      </c>
      <c r="G2071" s="24"/>
      <c r="H2071" s="24"/>
      <c r="I2071" s="20" t="str">
        <f aca="false">IF(B2071="","",IF(G2071&lt;&gt;"",G2071,E2071))</f>
        <v/>
      </c>
      <c r="J2071" s="21" t="str">
        <f aca="false">IF(B2071="","",IF(H2071&lt;&gt;"",H2071,F2071))</f>
        <v/>
      </c>
      <c r="K2071" s="26" t="str">
        <f aca="false">IF(A2071="","",DATE(YEAR(A2071),MONTH(A2071),1))</f>
        <v/>
      </c>
      <c r="L2071" s="21" t="str">
        <f aca="false">IF(J2071="",IF(B2071="","",IF(N(C2071)&gt;=0,"Income","Expense")),IFERROR(INDEX(Lists!$B$2:$B$30,MATCH(J2071,Lists!$A$2:$A$30,0)),""))</f>
        <v/>
      </c>
      <c r="M2071" s="24"/>
      <c r="N2071" s="27" t="str">
        <f aca="false">IF(B2071="","",IFERROR(1000-SUMPRODUCT(MAX(ISNUMBER(SEARCH(Rules!$A$5:$A$204,B2071))*(Rules!$A$5:$A$204&lt;&gt;"")*(1000-ROW(Rules!$A$5:$A$204)))),""))</f>
        <v/>
      </c>
    </row>
    <row r="2072" customFormat="false" ht="15" hidden="false" customHeight="false" outlineLevel="0" collapsed="false">
      <c r="A2072" s="23"/>
      <c r="B2072" s="24"/>
      <c r="C2072" s="25"/>
      <c r="D2072" s="24"/>
      <c r="E2072" s="21" t="str">
        <f aca="false">IF(OR(B2072="",N(N2072)=0,N2072=1000),IF(B2072="","","Check"),INDEX(Rules!$B:$B,N2072))</f>
        <v/>
      </c>
      <c r="F2072" s="21" t="str">
        <f aca="false">IF(OR(B2072="",N(N2072)=0,N2072=1000),"",INDEX(Rules!$C:$C,N2072))</f>
        <v/>
      </c>
      <c r="G2072" s="24"/>
      <c r="H2072" s="24"/>
      <c r="I2072" s="20" t="str">
        <f aca="false">IF(B2072="","",IF(G2072&lt;&gt;"",G2072,E2072))</f>
        <v/>
      </c>
      <c r="J2072" s="21" t="str">
        <f aca="false">IF(B2072="","",IF(H2072&lt;&gt;"",H2072,F2072))</f>
        <v/>
      </c>
      <c r="K2072" s="26" t="str">
        <f aca="false">IF(A2072="","",DATE(YEAR(A2072),MONTH(A2072),1))</f>
        <v/>
      </c>
      <c r="L2072" s="21" t="str">
        <f aca="false">IF(J2072="",IF(B2072="","",IF(N(C2072)&gt;=0,"Income","Expense")),IFERROR(INDEX(Lists!$B$2:$B$30,MATCH(J2072,Lists!$A$2:$A$30,0)),""))</f>
        <v/>
      </c>
      <c r="M2072" s="24"/>
      <c r="N2072" s="27" t="str">
        <f aca="false">IF(B2072="","",IFERROR(1000-SUMPRODUCT(MAX(ISNUMBER(SEARCH(Rules!$A$5:$A$204,B2072))*(Rules!$A$5:$A$204&lt;&gt;"")*(1000-ROW(Rules!$A$5:$A$204)))),""))</f>
        <v/>
      </c>
    </row>
    <row r="2073" customFormat="false" ht="15" hidden="false" customHeight="false" outlineLevel="0" collapsed="false">
      <c r="A2073" s="23"/>
      <c r="B2073" s="24"/>
      <c r="C2073" s="25"/>
      <c r="D2073" s="24"/>
      <c r="E2073" s="21" t="str">
        <f aca="false">IF(OR(B2073="",N(N2073)=0,N2073=1000),IF(B2073="","","Check"),INDEX(Rules!$B:$B,N2073))</f>
        <v/>
      </c>
      <c r="F2073" s="21" t="str">
        <f aca="false">IF(OR(B2073="",N(N2073)=0,N2073=1000),"",INDEX(Rules!$C:$C,N2073))</f>
        <v/>
      </c>
      <c r="G2073" s="24"/>
      <c r="H2073" s="24"/>
      <c r="I2073" s="20" t="str">
        <f aca="false">IF(B2073="","",IF(G2073&lt;&gt;"",G2073,E2073))</f>
        <v/>
      </c>
      <c r="J2073" s="21" t="str">
        <f aca="false">IF(B2073="","",IF(H2073&lt;&gt;"",H2073,F2073))</f>
        <v/>
      </c>
      <c r="K2073" s="26" t="str">
        <f aca="false">IF(A2073="","",DATE(YEAR(A2073),MONTH(A2073),1))</f>
        <v/>
      </c>
      <c r="L2073" s="21" t="str">
        <f aca="false">IF(J2073="",IF(B2073="","",IF(N(C2073)&gt;=0,"Income","Expense")),IFERROR(INDEX(Lists!$B$2:$B$30,MATCH(J2073,Lists!$A$2:$A$30,0)),""))</f>
        <v/>
      </c>
      <c r="M2073" s="24"/>
      <c r="N2073" s="27" t="str">
        <f aca="false">IF(B2073="","",IFERROR(1000-SUMPRODUCT(MAX(ISNUMBER(SEARCH(Rules!$A$5:$A$204,B2073))*(Rules!$A$5:$A$204&lt;&gt;"")*(1000-ROW(Rules!$A$5:$A$204)))),""))</f>
        <v/>
      </c>
    </row>
    <row r="2074" customFormat="false" ht="15" hidden="false" customHeight="false" outlineLevel="0" collapsed="false">
      <c r="A2074" s="23"/>
      <c r="B2074" s="24"/>
      <c r="C2074" s="25"/>
      <c r="D2074" s="24"/>
      <c r="E2074" s="21" t="str">
        <f aca="false">IF(OR(B2074="",N(N2074)=0,N2074=1000),IF(B2074="","","Check"),INDEX(Rules!$B:$B,N2074))</f>
        <v/>
      </c>
      <c r="F2074" s="21" t="str">
        <f aca="false">IF(OR(B2074="",N(N2074)=0,N2074=1000),"",INDEX(Rules!$C:$C,N2074))</f>
        <v/>
      </c>
      <c r="G2074" s="24"/>
      <c r="H2074" s="24"/>
      <c r="I2074" s="20" t="str">
        <f aca="false">IF(B2074="","",IF(G2074&lt;&gt;"",G2074,E2074))</f>
        <v/>
      </c>
      <c r="J2074" s="21" t="str">
        <f aca="false">IF(B2074="","",IF(H2074&lt;&gt;"",H2074,F2074))</f>
        <v/>
      </c>
      <c r="K2074" s="26" t="str">
        <f aca="false">IF(A2074="","",DATE(YEAR(A2074),MONTH(A2074),1))</f>
        <v/>
      </c>
      <c r="L2074" s="21" t="str">
        <f aca="false">IF(J2074="",IF(B2074="","",IF(N(C2074)&gt;=0,"Income","Expense")),IFERROR(INDEX(Lists!$B$2:$B$30,MATCH(J2074,Lists!$A$2:$A$30,0)),""))</f>
        <v/>
      </c>
      <c r="M2074" s="24"/>
      <c r="N2074" s="27" t="str">
        <f aca="false">IF(B2074="","",IFERROR(1000-SUMPRODUCT(MAX(ISNUMBER(SEARCH(Rules!$A$5:$A$204,B2074))*(Rules!$A$5:$A$204&lt;&gt;"")*(1000-ROW(Rules!$A$5:$A$204)))),""))</f>
        <v/>
      </c>
    </row>
    <row r="2075" customFormat="false" ht="15" hidden="false" customHeight="false" outlineLevel="0" collapsed="false">
      <c r="A2075" s="23"/>
      <c r="B2075" s="24"/>
      <c r="C2075" s="25"/>
      <c r="D2075" s="24"/>
      <c r="E2075" s="21" t="str">
        <f aca="false">IF(OR(B2075="",N(N2075)=0,N2075=1000),IF(B2075="","","Check"),INDEX(Rules!$B:$B,N2075))</f>
        <v/>
      </c>
      <c r="F2075" s="21" t="str">
        <f aca="false">IF(OR(B2075="",N(N2075)=0,N2075=1000),"",INDEX(Rules!$C:$C,N2075))</f>
        <v/>
      </c>
      <c r="G2075" s="24"/>
      <c r="H2075" s="24"/>
      <c r="I2075" s="20" t="str">
        <f aca="false">IF(B2075="","",IF(G2075&lt;&gt;"",G2075,E2075))</f>
        <v/>
      </c>
      <c r="J2075" s="21" t="str">
        <f aca="false">IF(B2075="","",IF(H2075&lt;&gt;"",H2075,F2075))</f>
        <v/>
      </c>
      <c r="K2075" s="26" t="str">
        <f aca="false">IF(A2075="","",DATE(YEAR(A2075),MONTH(A2075),1))</f>
        <v/>
      </c>
      <c r="L2075" s="21" t="str">
        <f aca="false">IF(J2075="",IF(B2075="","",IF(N(C2075)&gt;=0,"Income","Expense")),IFERROR(INDEX(Lists!$B$2:$B$30,MATCH(J2075,Lists!$A$2:$A$30,0)),""))</f>
        <v/>
      </c>
      <c r="M2075" s="24"/>
      <c r="N2075" s="27" t="str">
        <f aca="false">IF(B2075="","",IFERROR(1000-SUMPRODUCT(MAX(ISNUMBER(SEARCH(Rules!$A$5:$A$204,B2075))*(Rules!$A$5:$A$204&lt;&gt;"")*(1000-ROW(Rules!$A$5:$A$204)))),""))</f>
        <v/>
      </c>
    </row>
    <row r="2076" customFormat="false" ht="15" hidden="false" customHeight="false" outlineLevel="0" collapsed="false">
      <c r="A2076" s="23"/>
      <c r="B2076" s="24"/>
      <c r="C2076" s="25"/>
      <c r="D2076" s="24"/>
      <c r="E2076" s="21" t="str">
        <f aca="false">IF(OR(B2076="",N(N2076)=0,N2076=1000),IF(B2076="","","Check"),INDEX(Rules!$B:$B,N2076))</f>
        <v/>
      </c>
      <c r="F2076" s="21" t="str">
        <f aca="false">IF(OR(B2076="",N(N2076)=0,N2076=1000),"",INDEX(Rules!$C:$C,N2076))</f>
        <v/>
      </c>
      <c r="G2076" s="24"/>
      <c r="H2076" s="24"/>
      <c r="I2076" s="20" t="str">
        <f aca="false">IF(B2076="","",IF(G2076&lt;&gt;"",G2076,E2076))</f>
        <v/>
      </c>
      <c r="J2076" s="21" t="str">
        <f aca="false">IF(B2076="","",IF(H2076&lt;&gt;"",H2076,F2076))</f>
        <v/>
      </c>
      <c r="K2076" s="26" t="str">
        <f aca="false">IF(A2076="","",DATE(YEAR(A2076),MONTH(A2076),1))</f>
        <v/>
      </c>
      <c r="L2076" s="21" t="str">
        <f aca="false">IF(J2076="",IF(B2076="","",IF(N(C2076)&gt;=0,"Income","Expense")),IFERROR(INDEX(Lists!$B$2:$B$30,MATCH(J2076,Lists!$A$2:$A$30,0)),""))</f>
        <v/>
      </c>
      <c r="M2076" s="24"/>
      <c r="N2076" s="27" t="str">
        <f aca="false">IF(B2076="","",IFERROR(1000-SUMPRODUCT(MAX(ISNUMBER(SEARCH(Rules!$A$5:$A$204,B2076))*(Rules!$A$5:$A$204&lt;&gt;"")*(1000-ROW(Rules!$A$5:$A$204)))),""))</f>
        <v/>
      </c>
    </row>
    <row r="2077" customFormat="false" ht="15" hidden="false" customHeight="false" outlineLevel="0" collapsed="false">
      <c r="A2077" s="23"/>
      <c r="B2077" s="24"/>
      <c r="C2077" s="25"/>
      <c r="D2077" s="24"/>
      <c r="E2077" s="21" t="str">
        <f aca="false">IF(OR(B2077="",N(N2077)=0,N2077=1000),IF(B2077="","","Check"),INDEX(Rules!$B:$B,N2077))</f>
        <v/>
      </c>
      <c r="F2077" s="21" t="str">
        <f aca="false">IF(OR(B2077="",N(N2077)=0,N2077=1000),"",INDEX(Rules!$C:$C,N2077))</f>
        <v/>
      </c>
      <c r="G2077" s="24"/>
      <c r="H2077" s="24"/>
      <c r="I2077" s="20" t="str">
        <f aca="false">IF(B2077="","",IF(G2077&lt;&gt;"",G2077,E2077))</f>
        <v/>
      </c>
      <c r="J2077" s="21" t="str">
        <f aca="false">IF(B2077="","",IF(H2077&lt;&gt;"",H2077,F2077))</f>
        <v/>
      </c>
      <c r="K2077" s="26" t="str">
        <f aca="false">IF(A2077="","",DATE(YEAR(A2077),MONTH(A2077),1))</f>
        <v/>
      </c>
      <c r="L2077" s="21" t="str">
        <f aca="false">IF(J2077="",IF(B2077="","",IF(N(C2077)&gt;=0,"Income","Expense")),IFERROR(INDEX(Lists!$B$2:$B$30,MATCH(J2077,Lists!$A$2:$A$30,0)),""))</f>
        <v/>
      </c>
      <c r="M2077" s="24"/>
      <c r="N2077" s="27" t="str">
        <f aca="false">IF(B2077="","",IFERROR(1000-SUMPRODUCT(MAX(ISNUMBER(SEARCH(Rules!$A$5:$A$204,B2077))*(Rules!$A$5:$A$204&lt;&gt;"")*(1000-ROW(Rules!$A$5:$A$204)))),""))</f>
        <v/>
      </c>
    </row>
    <row r="2078" customFormat="false" ht="15" hidden="false" customHeight="false" outlineLevel="0" collapsed="false">
      <c r="A2078" s="23"/>
      <c r="B2078" s="24"/>
      <c r="C2078" s="25"/>
      <c r="D2078" s="24"/>
      <c r="E2078" s="21" t="str">
        <f aca="false">IF(OR(B2078="",N(N2078)=0,N2078=1000),IF(B2078="","","Check"),INDEX(Rules!$B:$B,N2078))</f>
        <v/>
      </c>
      <c r="F2078" s="21" t="str">
        <f aca="false">IF(OR(B2078="",N(N2078)=0,N2078=1000),"",INDEX(Rules!$C:$C,N2078))</f>
        <v/>
      </c>
      <c r="G2078" s="24"/>
      <c r="H2078" s="24"/>
      <c r="I2078" s="20" t="str">
        <f aca="false">IF(B2078="","",IF(G2078&lt;&gt;"",G2078,E2078))</f>
        <v/>
      </c>
      <c r="J2078" s="21" t="str">
        <f aca="false">IF(B2078="","",IF(H2078&lt;&gt;"",H2078,F2078))</f>
        <v/>
      </c>
      <c r="K2078" s="26" t="str">
        <f aca="false">IF(A2078="","",DATE(YEAR(A2078),MONTH(A2078),1))</f>
        <v/>
      </c>
      <c r="L2078" s="21" t="str">
        <f aca="false">IF(J2078="",IF(B2078="","",IF(N(C2078)&gt;=0,"Income","Expense")),IFERROR(INDEX(Lists!$B$2:$B$30,MATCH(J2078,Lists!$A$2:$A$30,0)),""))</f>
        <v/>
      </c>
      <c r="M2078" s="24"/>
      <c r="N2078" s="27" t="str">
        <f aca="false">IF(B2078="","",IFERROR(1000-SUMPRODUCT(MAX(ISNUMBER(SEARCH(Rules!$A$5:$A$204,B2078))*(Rules!$A$5:$A$204&lt;&gt;"")*(1000-ROW(Rules!$A$5:$A$204)))),""))</f>
        <v/>
      </c>
    </row>
    <row r="2079" customFormat="false" ht="15" hidden="false" customHeight="false" outlineLevel="0" collapsed="false">
      <c r="A2079" s="23"/>
      <c r="B2079" s="24"/>
      <c r="C2079" s="25"/>
      <c r="D2079" s="24"/>
      <c r="E2079" s="21" t="str">
        <f aca="false">IF(OR(B2079="",N(N2079)=0,N2079=1000),IF(B2079="","","Check"),INDEX(Rules!$B:$B,N2079))</f>
        <v/>
      </c>
      <c r="F2079" s="21" t="str">
        <f aca="false">IF(OR(B2079="",N(N2079)=0,N2079=1000),"",INDEX(Rules!$C:$C,N2079))</f>
        <v/>
      </c>
      <c r="G2079" s="24"/>
      <c r="H2079" s="24"/>
      <c r="I2079" s="20" t="str">
        <f aca="false">IF(B2079="","",IF(G2079&lt;&gt;"",G2079,E2079))</f>
        <v/>
      </c>
      <c r="J2079" s="21" t="str">
        <f aca="false">IF(B2079="","",IF(H2079&lt;&gt;"",H2079,F2079))</f>
        <v/>
      </c>
      <c r="K2079" s="26" t="str">
        <f aca="false">IF(A2079="","",DATE(YEAR(A2079),MONTH(A2079),1))</f>
        <v/>
      </c>
      <c r="L2079" s="21" t="str">
        <f aca="false">IF(J2079="",IF(B2079="","",IF(N(C2079)&gt;=0,"Income","Expense")),IFERROR(INDEX(Lists!$B$2:$B$30,MATCH(J2079,Lists!$A$2:$A$30,0)),""))</f>
        <v/>
      </c>
      <c r="M2079" s="24"/>
      <c r="N2079" s="27" t="str">
        <f aca="false">IF(B2079="","",IFERROR(1000-SUMPRODUCT(MAX(ISNUMBER(SEARCH(Rules!$A$5:$A$204,B2079))*(Rules!$A$5:$A$204&lt;&gt;"")*(1000-ROW(Rules!$A$5:$A$204)))),""))</f>
        <v/>
      </c>
    </row>
    <row r="2080" customFormat="false" ht="15" hidden="false" customHeight="false" outlineLevel="0" collapsed="false">
      <c r="A2080" s="23"/>
      <c r="B2080" s="24"/>
      <c r="C2080" s="25"/>
      <c r="D2080" s="24"/>
      <c r="E2080" s="21" t="str">
        <f aca="false">IF(OR(B2080="",N(N2080)=0,N2080=1000),IF(B2080="","","Check"),INDEX(Rules!$B:$B,N2080))</f>
        <v/>
      </c>
      <c r="F2080" s="21" t="str">
        <f aca="false">IF(OR(B2080="",N(N2080)=0,N2080=1000),"",INDEX(Rules!$C:$C,N2080))</f>
        <v/>
      </c>
      <c r="G2080" s="24"/>
      <c r="H2080" s="24"/>
      <c r="I2080" s="20" t="str">
        <f aca="false">IF(B2080="","",IF(G2080&lt;&gt;"",G2080,E2080))</f>
        <v/>
      </c>
      <c r="J2080" s="21" t="str">
        <f aca="false">IF(B2080="","",IF(H2080&lt;&gt;"",H2080,F2080))</f>
        <v/>
      </c>
      <c r="K2080" s="26" t="str">
        <f aca="false">IF(A2080="","",DATE(YEAR(A2080),MONTH(A2080),1))</f>
        <v/>
      </c>
      <c r="L2080" s="21" t="str">
        <f aca="false">IF(J2080="",IF(B2080="","",IF(N(C2080)&gt;=0,"Income","Expense")),IFERROR(INDEX(Lists!$B$2:$B$30,MATCH(J2080,Lists!$A$2:$A$30,0)),""))</f>
        <v/>
      </c>
      <c r="M2080" s="24"/>
      <c r="N2080" s="27" t="str">
        <f aca="false">IF(B2080="","",IFERROR(1000-SUMPRODUCT(MAX(ISNUMBER(SEARCH(Rules!$A$5:$A$204,B2080))*(Rules!$A$5:$A$204&lt;&gt;"")*(1000-ROW(Rules!$A$5:$A$204)))),""))</f>
        <v/>
      </c>
    </row>
    <row r="2081" customFormat="false" ht="15" hidden="false" customHeight="false" outlineLevel="0" collapsed="false">
      <c r="A2081" s="23"/>
      <c r="B2081" s="24"/>
      <c r="C2081" s="25"/>
      <c r="D2081" s="24"/>
      <c r="E2081" s="21" t="str">
        <f aca="false">IF(OR(B2081="",N(N2081)=0,N2081=1000),IF(B2081="","","Check"),INDEX(Rules!$B:$B,N2081))</f>
        <v/>
      </c>
      <c r="F2081" s="21" t="str">
        <f aca="false">IF(OR(B2081="",N(N2081)=0,N2081=1000),"",INDEX(Rules!$C:$C,N2081))</f>
        <v/>
      </c>
      <c r="G2081" s="24"/>
      <c r="H2081" s="24"/>
      <c r="I2081" s="20" t="str">
        <f aca="false">IF(B2081="","",IF(G2081&lt;&gt;"",G2081,E2081))</f>
        <v/>
      </c>
      <c r="J2081" s="21" t="str">
        <f aca="false">IF(B2081="","",IF(H2081&lt;&gt;"",H2081,F2081))</f>
        <v/>
      </c>
      <c r="K2081" s="26" t="str">
        <f aca="false">IF(A2081="","",DATE(YEAR(A2081),MONTH(A2081),1))</f>
        <v/>
      </c>
      <c r="L2081" s="21" t="str">
        <f aca="false">IF(J2081="",IF(B2081="","",IF(N(C2081)&gt;=0,"Income","Expense")),IFERROR(INDEX(Lists!$B$2:$B$30,MATCH(J2081,Lists!$A$2:$A$30,0)),""))</f>
        <v/>
      </c>
      <c r="M2081" s="24"/>
      <c r="N2081" s="27" t="str">
        <f aca="false">IF(B2081="","",IFERROR(1000-SUMPRODUCT(MAX(ISNUMBER(SEARCH(Rules!$A$5:$A$204,B2081))*(Rules!$A$5:$A$204&lt;&gt;"")*(1000-ROW(Rules!$A$5:$A$204)))),""))</f>
        <v/>
      </c>
    </row>
    <row r="2082" customFormat="false" ht="15" hidden="false" customHeight="false" outlineLevel="0" collapsed="false">
      <c r="A2082" s="23"/>
      <c r="B2082" s="24"/>
      <c r="C2082" s="25"/>
      <c r="D2082" s="24"/>
      <c r="E2082" s="21" t="str">
        <f aca="false">IF(OR(B2082="",N(N2082)=0,N2082=1000),IF(B2082="","","Check"),INDEX(Rules!$B:$B,N2082))</f>
        <v/>
      </c>
      <c r="F2082" s="21" t="str">
        <f aca="false">IF(OR(B2082="",N(N2082)=0,N2082=1000),"",INDEX(Rules!$C:$C,N2082))</f>
        <v/>
      </c>
      <c r="G2082" s="24"/>
      <c r="H2082" s="24"/>
      <c r="I2082" s="20" t="str">
        <f aca="false">IF(B2082="","",IF(G2082&lt;&gt;"",G2082,E2082))</f>
        <v/>
      </c>
      <c r="J2082" s="21" t="str">
        <f aca="false">IF(B2082="","",IF(H2082&lt;&gt;"",H2082,F2082))</f>
        <v/>
      </c>
      <c r="K2082" s="26" t="str">
        <f aca="false">IF(A2082="","",DATE(YEAR(A2082),MONTH(A2082),1))</f>
        <v/>
      </c>
      <c r="L2082" s="21" t="str">
        <f aca="false">IF(J2082="",IF(B2082="","",IF(N(C2082)&gt;=0,"Income","Expense")),IFERROR(INDEX(Lists!$B$2:$B$30,MATCH(J2082,Lists!$A$2:$A$30,0)),""))</f>
        <v/>
      </c>
      <c r="M2082" s="24"/>
      <c r="N2082" s="27" t="str">
        <f aca="false">IF(B2082="","",IFERROR(1000-SUMPRODUCT(MAX(ISNUMBER(SEARCH(Rules!$A$5:$A$204,B2082))*(Rules!$A$5:$A$204&lt;&gt;"")*(1000-ROW(Rules!$A$5:$A$204)))),""))</f>
        <v/>
      </c>
    </row>
    <row r="2083" customFormat="false" ht="15" hidden="false" customHeight="false" outlineLevel="0" collapsed="false">
      <c r="A2083" s="23"/>
      <c r="B2083" s="24"/>
      <c r="C2083" s="25"/>
      <c r="D2083" s="24"/>
      <c r="E2083" s="21" t="str">
        <f aca="false">IF(OR(B2083="",N(N2083)=0,N2083=1000),IF(B2083="","","Check"),INDEX(Rules!$B:$B,N2083))</f>
        <v/>
      </c>
      <c r="F2083" s="21" t="str">
        <f aca="false">IF(OR(B2083="",N(N2083)=0,N2083=1000),"",INDEX(Rules!$C:$C,N2083))</f>
        <v/>
      </c>
      <c r="G2083" s="24"/>
      <c r="H2083" s="24"/>
      <c r="I2083" s="20" t="str">
        <f aca="false">IF(B2083="","",IF(G2083&lt;&gt;"",G2083,E2083))</f>
        <v/>
      </c>
      <c r="J2083" s="21" t="str">
        <f aca="false">IF(B2083="","",IF(H2083&lt;&gt;"",H2083,F2083))</f>
        <v/>
      </c>
      <c r="K2083" s="26" t="str">
        <f aca="false">IF(A2083="","",DATE(YEAR(A2083),MONTH(A2083),1))</f>
        <v/>
      </c>
      <c r="L2083" s="21" t="str">
        <f aca="false">IF(J2083="",IF(B2083="","",IF(N(C2083)&gt;=0,"Income","Expense")),IFERROR(INDEX(Lists!$B$2:$B$30,MATCH(J2083,Lists!$A$2:$A$30,0)),""))</f>
        <v/>
      </c>
      <c r="M2083" s="24"/>
      <c r="N2083" s="27" t="str">
        <f aca="false">IF(B2083="","",IFERROR(1000-SUMPRODUCT(MAX(ISNUMBER(SEARCH(Rules!$A$5:$A$204,B2083))*(Rules!$A$5:$A$204&lt;&gt;"")*(1000-ROW(Rules!$A$5:$A$204)))),""))</f>
        <v/>
      </c>
    </row>
    <row r="2084" customFormat="false" ht="15" hidden="false" customHeight="false" outlineLevel="0" collapsed="false">
      <c r="A2084" s="23"/>
      <c r="B2084" s="24"/>
      <c r="C2084" s="25"/>
      <c r="D2084" s="24"/>
      <c r="E2084" s="21" t="str">
        <f aca="false">IF(OR(B2084="",N(N2084)=0,N2084=1000),IF(B2084="","","Check"),INDEX(Rules!$B:$B,N2084))</f>
        <v/>
      </c>
      <c r="F2084" s="21" t="str">
        <f aca="false">IF(OR(B2084="",N(N2084)=0,N2084=1000),"",INDEX(Rules!$C:$C,N2084))</f>
        <v/>
      </c>
      <c r="G2084" s="24"/>
      <c r="H2084" s="24"/>
      <c r="I2084" s="20" t="str">
        <f aca="false">IF(B2084="","",IF(G2084&lt;&gt;"",G2084,E2084))</f>
        <v/>
      </c>
      <c r="J2084" s="21" t="str">
        <f aca="false">IF(B2084="","",IF(H2084&lt;&gt;"",H2084,F2084))</f>
        <v/>
      </c>
      <c r="K2084" s="26" t="str">
        <f aca="false">IF(A2084="","",DATE(YEAR(A2084),MONTH(A2084),1))</f>
        <v/>
      </c>
      <c r="L2084" s="21" t="str">
        <f aca="false">IF(J2084="",IF(B2084="","",IF(N(C2084)&gt;=0,"Income","Expense")),IFERROR(INDEX(Lists!$B$2:$B$30,MATCH(J2084,Lists!$A$2:$A$30,0)),""))</f>
        <v/>
      </c>
      <c r="M2084" s="24"/>
      <c r="N2084" s="27" t="str">
        <f aca="false">IF(B2084="","",IFERROR(1000-SUMPRODUCT(MAX(ISNUMBER(SEARCH(Rules!$A$5:$A$204,B2084))*(Rules!$A$5:$A$204&lt;&gt;"")*(1000-ROW(Rules!$A$5:$A$204)))),""))</f>
        <v/>
      </c>
    </row>
    <row r="2085" customFormat="false" ht="15" hidden="false" customHeight="false" outlineLevel="0" collapsed="false">
      <c r="A2085" s="23"/>
      <c r="B2085" s="24"/>
      <c r="C2085" s="25"/>
      <c r="D2085" s="24"/>
      <c r="E2085" s="21" t="str">
        <f aca="false">IF(OR(B2085="",N(N2085)=0,N2085=1000),IF(B2085="","","Check"),INDEX(Rules!$B:$B,N2085))</f>
        <v/>
      </c>
      <c r="F2085" s="21" t="str">
        <f aca="false">IF(OR(B2085="",N(N2085)=0,N2085=1000),"",INDEX(Rules!$C:$C,N2085))</f>
        <v/>
      </c>
      <c r="G2085" s="24"/>
      <c r="H2085" s="24"/>
      <c r="I2085" s="20" t="str">
        <f aca="false">IF(B2085="","",IF(G2085&lt;&gt;"",G2085,E2085))</f>
        <v/>
      </c>
      <c r="J2085" s="21" t="str">
        <f aca="false">IF(B2085="","",IF(H2085&lt;&gt;"",H2085,F2085))</f>
        <v/>
      </c>
      <c r="K2085" s="26" t="str">
        <f aca="false">IF(A2085="","",DATE(YEAR(A2085),MONTH(A2085),1))</f>
        <v/>
      </c>
      <c r="L2085" s="21" t="str">
        <f aca="false">IF(J2085="",IF(B2085="","",IF(N(C2085)&gt;=0,"Income","Expense")),IFERROR(INDEX(Lists!$B$2:$B$30,MATCH(J2085,Lists!$A$2:$A$30,0)),""))</f>
        <v/>
      </c>
      <c r="M2085" s="24"/>
      <c r="N2085" s="27" t="str">
        <f aca="false">IF(B2085="","",IFERROR(1000-SUMPRODUCT(MAX(ISNUMBER(SEARCH(Rules!$A$5:$A$204,B2085))*(Rules!$A$5:$A$204&lt;&gt;"")*(1000-ROW(Rules!$A$5:$A$204)))),""))</f>
        <v/>
      </c>
    </row>
    <row r="2086" customFormat="false" ht="15" hidden="false" customHeight="false" outlineLevel="0" collapsed="false">
      <c r="A2086" s="23"/>
      <c r="B2086" s="24"/>
      <c r="C2086" s="25"/>
      <c r="D2086" s="24"/>
      <c r="E2086" s="21" t="str">
        <f aca="false">IF(OR(B2086="",N(N2086)=0,N2086=1000),IF(B2086="","","Check"),INDEX(Rules!$B:$B,N2086))</f>
        <v/>
      </c>
      <c r="F2086" s="21" t="str">
        <f aca="false">IF(OR(B2086="",N(N2086)=0,N2086=1000),"",INDEX(Rules!$C:$C,N2086))</f>
        <v/>
      </c>
      <c r="G2086" s="24"/>
      <c r="H2086" s="24"/>
      <c r="I2086" s="20" t="str">
        <f aca="false">IF(B2086="","",IF(G2086&lt;&gt;"",G2086,E2086))</f>
        <v/>
      </c>
      <c r="J2086" s="21" t="str">
        <f aca="false">IF(B2086="","",IF(H2086&lt;&gt;"",H2086,F2086))</f>
        <v/>
      </c>
      <c r="K2086" s="26" t="str">
        <f aca="false">IF(A2086="","",DATE(YEAR(A2086),MONTH(A2086),1))</f>
        <v/>
      </c>
      <c r="L2086" s="21" t="str">
        <f aca="false">IF(J2086="",IF(B2086="","",IF(N(C2086)&gt;=0,"Income","Expense")),IFERROR(INDEX(Lists!$B$2:$B$30,MATCH(J2086,Lists!$A$2:$A$30,0)),""))</f>
        <v/>
      </c>
      <c r="M2086" s="24"/>
      <c r="N2086" s="27" t="str">
        <f aca="false">IF(B2086="","",IFERROR(1000-SUMPRODUCT(MAX(ISNUMBER(SEARCH(Rules!$A$5:$A$204,B2086))*(Rules!$A$5:$A$204&lt;&gt;"")*(1000-ROW(Rules!$A$5:$A$204)))),""))</f>
        <v/>
      </c>
    </row>
    <row r="2087" customFormat="false" ht="15" hidden="false" customHeight="false" outlineLevel="0" collapsed="false">
      <c r="A2087" s="23"/>
      <c r="B2087" s="24"/>
      <c r="C2087" s="25"/>
      <c r="D2087" s="24"/>
      <c r="E2087" s="21" t="str">
        <f aca="false">IF(OR(B2087="",N(N2087)=0,N2087=1000),IF(B2087="","","Check"),INDEX(Rules!$B:$B,N2087))</f>
        <v/>
      </c>
      <c r="F2087" s="21" t="str">
        <f aca="false">IF(OR(B2087="",N(N2087)=0,N2087=1000),"",INDEX(Rules!$C:$C,N2087))</f>
        <v/>
      </c>
      <c r="G2087" s="24"/>
      <c r="H2087" s="24"/>
      <c r="I2087" s="20" t="str">
        <f aca="false">IF(B2087="","",IF(G2087&lt;&gt;"",G2087,E2087))</f>
        <v/>
      </c>
      <c r="J2087" s="21" t="str">
        <f aca="false">IF(B2087="","",IF(H2087&lt;&gt;"",H2087,F2087))</f>
        <v/>
      </c>
      <c r="K2087" s="26" t="str">
        <f aca="false">IF(A2087="","",DATE(YEAR(A2087),MONTH(A2087),1))</f>
        <v/>
      </c>
      <c r="L2087" s="21" t="str">
        <f aca="false">IF(J2087="",IF(B2087="","",IF(N(C2087)&gt;=0,"Income","Expense")),IFERROR(INDEX(Lists!$B$2:$B$30,MATCH(J2087,Lists!$A$2:$A$30,0)),""))</f>
        <v/>
      </c>
      <c r="M2087" s="24"/>
      <c r="N2087" s="27" t="str">
        <f aca="false">IF(B2087="","",IFERROR(1000-SUMPRODUCT(MAX(ISNUMBER(SEARCH(Rules!$A$5:$A$204,B2087))*(Rules!$A$5:$A$204&lt;&gt;"")*(1000-ROW(Rules!$A$5:$A$204)))),""))</f>
        <v/>
      </c>
    </row>
    <row r="2088" customFormat="false" ht="15" hidden="false" customHeight="false" outlineLevel="0" collapsed="false">
      <c r="A2088" s="23"/>
      <c r="B2088" s="24"/>
      <c r="C2088" s="25"/>
      <c r="D2088" s="24"/>
      <c r="E2088" s="21" t="str">
        <f aca="false">IF(OR(B2088="",N(N2088)=0,N2088=1000),IF(B2088="","","Check"),INDEX(Rules!$B:$B,N2088))</f>
        <v/>
      </c>
      <c r="F2088" s="21" t="str">
        <f aca="false">IF(OR(B2088="",N(N2088)=0,N2088=1000),"",INDEX(Rules!$C:$C,N2088))</f>
        <v/>
      </c>
      <c r="G2088" s="24"/>
      <c r="H2088" s="24"/>
      <c r="I2088" s="20" t="str">
        <f aca="false">IF(B2088="","",IF(G2088&lt;&gt;"",G2088,E2088))</f>
        <v/>
      </c>
      <c r="J2088" s="21" t="str">
        <f aca="false">IF(B2088="","",IF(H2088&lt;&gt;"",H2088,F2088))</f>
        <v/>
      </c>
      <c r="K2088" s="26" t="str">
        <f aca="false">IF(A2088="","",DATE(YEAR(A2088),MONTH(A2088),1))</f>
        <v/>
      </c>
      <c r="L2088" s="21" t="str">
        <f aca="false">IF(J2088="",IF(B2088="","",IF(N(C2088)&gt;=0,"Income","Expense")),IFERROR(INDEX(Lists!$B$2:$B$30,MATCH(J2088,Lists!$A$2:$A$30,0)),""))</f>
        <v/>
      </c>
      <c r="M2088" s="24"/>
      <c r="N2088" s="27" t="str">
        <f aca="false">IF(B2088="","",IFERROR(1000-SUMPRODUCT(MAX(ISNUMBER(SEARCH(Rules!$A$5:$A$204,B2088))*(Rules!$A$5:$A$204&lt;&gt;"")*(1000-ROW(Rules!$A$5:$A$204)))),""))</f>
        <v/>
      </c>
    </row>
    <row r="2089" customFormat="false" ht="15" hidden="false" customHeight="false" outlineLevel="0" collapsed="false">
      <c r="A2089" s="23"/>
      <c r="B2089" s="24"/>
      <c r="C2089" s="25"/>
      <c r="D2089" s="24"/>
      <c r="E2089" s="21" t="str">
        <f aca="false">IF(OR(B2089="",N(N2089)=0,N2089=1000),IF(B2089="","","Check"),INDEX(Rules!$B:$B,N2089))</f>
        <v/>
      </c>
      <c r="F2089" s="21" t="str">
        <f aca="false">IF(OR(B2089="",N(N2089)=0,N2089=1000),"",INDEX(Rules!$C:$C,N2089))</f>
        <v/>
      </c>
      <c r="G2089" s="24"/>
      <c r="H2089" s="24"/>
      <c r="I2089" s="20" t="str">
        <f aca="false">IF(B2089="","",IF(G2089&lt;&gt;"",G2089,E2089))</f>
        <v/>
      </c>
      <c r="J2089" s="21" t="str">
        <f aca="false">IF(B2089="","",IF(H2089&lt;&gt;"",H2089,F2089))</f>
        <v/>
      </c>
      <c r="K2089" s="26" t="str">
        <f aca="false">IF(A2089="","",DATE(YEAR(A2089),MONTH(A2089),1))</f>
        <v/>
      </c>
      <c r="L2089" s="21" t="str">
        <f aca="false">IF(J2089="",IF(B2089="","",IF(N(C2089)&gt;=0,"Income","Expense")),IFERROR(INDEX(Lists!$B$2:$B$30,MATCH(J2089,Lists!$A$2:$A$30,0)),""))</f>
        <v/>
      </c>
      <c r="M2089" s="24"/>
      <c r="N2089" s="27" t="str">
        <f aca="false">IF(B2089="","",IFERROR(1000-SUMPRODUCT(MAX(ISNUMBER(SEARCH(Rules!$A$5:$A$204,B2089))*(Rules!$A$5:$A$204&lt;&gt;"")*(1000-ROW(Rules!$A$5:$A$204)))),""))</f>
        <v/>
      </c>
    </row>
    <row r="2090" customFormat="false" ht="15" hidden="false" customHeight="false" outlineLevel="0" collapsed="false">
      <c r="A2090" s="23"/>
      <c r="B2090" s="24"/>
      <c r="C2090" s="25"/>
      <c r="D2090" s="24"/>
      <c r="E2090" s="21" t="str">
        <f aca="false">IF(OR(B2090="",N(N2090)=0,N2090=1000),IF(B2090="","","Check"),INDEX(Rules!$B:$B,N2090))</f>
        <v/>
      </c>
      <c r="F2090" s="21" t="str">
        <f aca="false">IF(OR(B2090="",N(N2090)=0,N2090=1000),"",INDEX(Rules!$C:$C,N2090))</f>
        <v/>
      </c>
      <c r="G2090" s="24"/>
      <c r="H2090" s="24"/>
      <c r="I2090" s="20" t="str">
        <f aca="false">IF(B2090="","",IF(G2090&lt;&gt;"",G2090,E2090))</f>
        <v/>
      </c>
      <c r="J2090" s="21" t="str">
        <f aca="false">IF(B2090="","",IF(H2090&lt;&gt;"",H2090,F2090))</f>
        <v/>
      </c>
      <c r="K2090" s="26" t="str">
        <f aca="false">IF(A2090="","",DATE(YEAR(A2090),MONTH(A2090),1))</f>
        <v/>
      </c>
      <c r="L2090" s="21" t="str">
        <f aca="false">IF(J2090="",IF(B2090="","",IF(N(C2090)&gt;=0,"Income","Expense")),IFERROR(INDEX(Lists!$B$2:$B$30,MATCH(J2090,Lists!$A$2:$A$30,0)),""))</f>
        <v/>
      </c>
      <c r="M2090" s="24"/>
      <c r="N2090" s="27" t="str">
        <f aca="false">IF(B2090="","",IFERROR(1000-SUMPRODUCT(MAX(ISNUMBER(SEARCH(Rules!$A$5:$A$204,B2090))*(Rules!$A$5:$A$204&lt;&gt;"")*(1000-ROW(Rules!$A$5:$A$204)))),""))</f>
        <v/>
      </c>
    </row>
    <row r="2091" customFormat="false" ht="15" hidden="false" customHeight="false" outlineLevel="0" collapsed="false">
      <c r="A2091" s="23"/>
      <c r="B2091" s="24"/>
      <c r="C2091" s="25"/>
      <c r="D2091" s="24"/>
      <c r="E2091" s="21" t="str">
        <f aca="false">IF(OR(B2091="",N(N2091)=0,N2091=1000),IF(B2091="","","Check"),INDEX(Rules!$B:$B,N2091))</f>
        <v/>
      </c>
      <c r="F2091" s="21" t="str">
        <f aca="false">IF(OR(B2091="",N(N2091)=0,N2091=1000),"",INDEX(Rules!$C:$C,N2091))</f>
        <v/>
      </c>
      <c r="G2091" s="24"/>
      <c r="H2091" s="24"/>
      <c r="I2091" s="20" t="str">
        <f aca="false">IF(B2091="","",IF(G2091&lt;&gt;"",G2091,E2091))</f>
        <v/>
      </c>
      <c r="J2091" s="21" t="str">
        <f aca="false">IF(B2091="","",IF(H2091&lt;&gt;"",H2091,F2091))</f>
        <v/>
      </c>
      <c r="K2091" s="26" t="str">
        <f aca="false">IF(A2091="","",DATE(YEAR(A2091),MONTH(A2091),1))</f>
        <v/>
      </c>
      <c r="L2091" s="21" t="str">
        <f aca="false">IF(J2091="",IF(B2091="","",IF(N(C2091)&gt;=0,"Income","Expense")),IFERROR(INDEX(Lists!$B$2:$B$30,MATCH(J2091,Lists!$A$2:$A$30,0)),""))</f>
        <v/>
      </c>
      <c r="M2091" s="24"/>
      <c r="N2091" s="27" t="str">
        <f aca="false">IF(B2091="","",IFERROR(1000-SUMPRODUCT(MAX(ISNUMBER(SEARCH(Rules!$A$5:$A$204,B2091))*(Rules!$A$5:$A$204&lt;&gt;"")*(1000-ROW(Rules!$A$5:$A$204)))),""))</f>
        <v/>
      </c>
    </row>
    <row r="2092" customFormat="false" ht="15" hidden="false" customHeight="false" outlineLevel="0" collapsed="false">
      <c r="A2092" s="23"/>
      <c r="B2092" s="24"/>
      <c r="C2092" s="25"/>
      <c r="D2092" s="24"/>
      <c r="E2092" s="21" t="str">
        <f aca="false">IF(OR(B2092="",N(N2092)=0,N2092=1000),IF(B2092="","","Check"),INDEX(Rules!$B:$B,N2092))</f>
        <v/>
      </c>
      <c r="F2092" s="21" t="str">
        <f aca="false">IF(OR(B2092="",N(N2092)=0,N2092=1000),"",INDEX(Rules!$C:$C,N2092))</f>
        <v/>
      </c>
      <c r="G2092" s="24"/>
      <c r="H2092" s="24"/>
      <c r="I2092" s="20" t="str">
        <f aca="false">IF(B2092="","",IF(G2092&lt;&gt;"",G2092,E2092))</f>
        <v/>
      </c>
      <c r="J2092" s="21" t="str">
        <f aca="false">IF(B2092="","",IF(H2092&lt;&gt;"",H2092,F2092))</f>
        <v/>
      </c>
      <c r="K2092" s="26" t="str">
        <f aca="false">IF(A2092="","",DATE(YEAR(A2092),MONTH(A2092),1))</f>
        <v/>
      </c>
      <c r="L2092" s="21" t="str">
        <f aca="false">IF(J2092="",IF(B2092="","",IF(N(C2092)&gt;=0,"Income","Expense")),IFERROR(INDEX(Lists!$B$2:$B$30,MATCH(J2092,Lists!$A$2:$A$30,0)),""))</f>
        <v/>
      </c>
      <c r="M2092" s="24"/>
      <c r="N2092" s="27" t="str">
        <f aca="false">IF(B2092="","",IFERROR(1000-SUMPRODUCT(MAX(ISNUMBER(SEARCH(Rules!$A$5:$A$204,B2092))*(Rules!$A$5:$A$204&lt;&gt;"")*(1000-ROW(Rules!$A$5:$A$204)))),""))</f>
        <v/>
      </c>
    </row>
    <row r="2093" customFormat="false" ht="15" hidden="false" customHeight="false" outlineLevel="0" collapsed="false">
      <c r="A2093" s="23"/>
      <c r="B2093" s="24"/>
      <c r="C2093" s="25"/>
      <c r="D2093" s="24"/>
      <c r="E2093" s="21" t="str">
        <f aca="false">IF(OR(B2093="",N(N2093)=0,N2093=1000),IF(B2093="","","Check"),INDEX(Rules!$B:$B,N2093))</f>
        <v/>
      </c>
      <c r="F2093" s="21" t="str">
        <f aca="false">IF(OR(B2093="",N(N2093)=0,N2093=1000),"",INDEX(Rules!$C:$C,N2093))</f>
        <v/>
      </c>
      <c r="G2093" s="24"/>
      <c r="H2093" s="24"/>
      <c r="I2093" s="20" t="str">
        <f aca="false">IF(B2093="","",IF(G2093&lt;&gt;"",G2093,E2093))</f>
        <v/>
      </c>
      <c r="J2093" s="21" t="str">
        <f aca="false">IF(B2093="","",IF(H2093&lt;&gt;"",H2093,F2093))</f>
        <v/>
      </c>
      <c r="K2093" s="26" t="str">
        <f aca="false">IF(A2093="","",DATE(YEAR(A2093),MONTH(A2093),1))</f>
        <v/>
      </c>
      <c r="L2093" s="21" t="str">
        <f aca="false">IF(J2093="",IF(B2093="","",IF(N(C2093)&gt;=0,"Income","Expense")),IFERROR(INDEX(Lists!$B$2:$B$30,MATCH(J2093,Lists!$A$2:$A$30,0)),""))</f>
        <v/>
      </c>
      <c r="M2093" s="24"/>
      <c r="N2093" s="27" t="str">
        <f aca="false">IF(B2093="","",IFERROR(1000-SUMPRODUCT(MAX(ISNUMBER(SEARCH(Rules!$A$5:$A$204,B2093))*(Rules!$A$5:$A$204&lt;&gt;"")*(1000-ROW(Rules!$A$5:$A$204)))),""))</f>
        <v/>
      </c>
    </row>
    <row r="2094" customFormat="false" ht="15" hidden="false" customHeight="false" outlineLevel="0" collapsed="false">
      <c r="A2094" s="23"/>
      <c r="B2094" s="24"/>
      <c r="C2094" s="25"/>
      <c r="D2094" s="24"/>
      <c r="E2094" s="21" t="str">
        <f aca="false">IF(OR(B2094="",N(N2094)=0,N2094=1000),IF(B2094="","","Check"),INDEX(Rules!$B:$B,N2094))</f>
        <v/>
      </c>
      <c r="F2094" s="21" t="str">
        <f aca="false">IF(OR(B2094="",N(N2094)=0,N2094=1000),"",INDEX(Rules!$C:$C,N2094))</f>
        <v/>
      </c>
      <c r="G2094" s="24"/>
      <c r="H2094" s="24"/>
      <c r="I2094" s="20" t="str">
        <f aca="false">IF(B2094="","",IF(G2094&lt;&gt;"",G2094,E2094))</f>
        <v/>
      </c>
      <c r="J2094" s="21" t="str">
        <f aca="false">IF(B2094="","",IF(H2094&lt;&gt;"",H2094,F2094))</f>
        <v/>
      </c>
      <c r="K2094" s="26" t="str">
        <f aca="false">IF(A2094="","",DATE(YEAR(A2094),MONTH(A2094),1))</f>
        <v/>
      </c>
      <c r="L2094" s="21" t="str">
        <f aca="false">IF(J2094="",IF(B2094="","",IF(N(C2094)&gt;=0,"Income","Expense")),IFERROR(INDEX(Lists!$B$2:$B$30,MATCH(J2094,Lists!$A$2:$A$30,0)),""))</f>
        <v/>
      </c>
      <c r="M2094" s="24"/>
      <c r="N2094" s="27" t="str">
        <f aca="false">IF(B2094="","",IFERROR(1000-SUMPRODUCT(MAX(ISNUMBER(SEARCH(Rules!$A$5:$A$204,B2094))*(Rules!$A$5:$A$204&lt;&gt;"")*(1000-ROW(Rules!$A$5:$A$204)))),""))</f>
        <v/>
      </c>
    </row>
    <row r="2095" customFormat="false" ht="15" hidden="false" customHeight="false" outlineLevel="0" collapsed="false">
      <c r="A2095" s="23"/>
      <c r="B2095" s="24"/>
      <c r="C2095" s="25"/>
      <c r="D2095" s="24"/>
      <c r="E2095" s="21" t="str">
        <f aca="false">IF(OR(B2095="",N(N2095)=0,N2095=1000),IF(B2095="","","Check"),INDEX(Rules!$B:$B,N2095))</f>
        <v/>
      </c>
      <c r="F2095" s="21" t="str">
        <f aca="false">IF(OR(B2095="",N(N2095)=0,N2095=1000),"",INDEX(Rules!$C:$C,N2095))</f>
        <v/>
      </c>
      <c r="G2095" s="24"/>
      <c r="H2095" s="24"/>
      <c r="I2095" s="20" t="str">
        <f aca="false">IF(B2095="","",IF(G2095&lt;&gt;"",G2095,E2095))</f>
        <v/>
      </c>
      <c r="J2095" s="21" t="str">
        <f aca="false">IF(B2095="","",IF(H2095&lt;&gt;"",H2095,F2095))</f>
        <v/>
      </c>
      <c r="K2095" s="26" t="str">
        <f aca="false">IF(A2095="","",DATE(YEAR(A2095),MONTH(A2095),1))</f>
        <v/>
      </c>
      <c r="L2095" s="21" t="str">
        <f aca="false">IF(J2095="",IF(B2095="","",IF(N(C2095)&gt;=0,"Income","Expense")),IFERROR(INDEX(Lists!$B$2:$B$30,MATCH(J2095,Lists!$A$2:$A$30,0)),""))</f>
        <v/>
      </c>
      <c r="M2095" s="24"/>
      <c r="N2095" s="27" t="str">
        <f aca="false">IF(B2095="","",IFERROR(1000-SUMPRODUCT(MAX(ISNUMBER(SEARCH(Rules!$A$5:$A$204,B2095))*(Rules!$A$5:$A$204&lt;&gt;"")*(1000-ROW(Rules!$A$5:$A$204)))),""))</f>
        <v/>
      </c>
    </row>
    <row r="2096" customFormat="false" ht="15" hidden="false" customHeight="false" outlineLevel="0" collapsed="false">
      <c r="A2096" s="23"/>
      <c r="B2096" s="24"/>
      <c r="C2096" s="25"/>
      <c r="D2096" s="24"/>
      <c r="E2096" s="21" t="str">
        <f aca="false">IF(OR(B2096="",N(N2096)=0,N2096=1000),IF(B2096="","","Check"),INDEX(Rules!$B:$B,N2096))</f>
        <v/>
      </c>
      <c r="F2096" s="21" t="str">
        <f aca="false">IF(OR(B2096="",N(N2096)=0,N2096=1000),"",INDEX(Rules!$C:$C,N2096))</f>
        <v/>
      </c>
      <c r="G2096" s="24"/>
      <c r="H2096" s="24"/>
      <c r="I2096" s="20" t="str">
        <f aca="false">IF(B2096="","",IF(G2096&lt;&gt;"",G2096,E2096))</f>
        <v/>
      </c>
      <c r="J2096" s="21" t="str">
        <f aca="false">IF(B2096="","",IF(H2096&lt;&gt;"",H2096,F2096))</f>
        <v/>
      </c>
      <c r="K2096" s="26" t="str">
        <f aca="false">IF(A2096="","",DATE(YEAR(A2096),MONTH(A2096),1))</f>
        <v/>
      </c>
      <c r="L2096" s="21" t="str">
        <f aca="false">IF(J2096="",IF(B2096="","",IF(N(C2096)&gt;=0,"Income","Expense")),IFERROR(INDEX(Lists!$B$2:$B$30,MATCH(J2096,Lists!$A$2:$A$30,0)),""))</f>
        <v/>
      </c>
      <c r="M2096" s="24"/>
      <c r="N2096" s="27" t="str">
        <f aca="false">IF(B2096="","",IFERROR(1000-SUMPRODUCT(MAX(ISNUMBER(SEARCH(Rules!$A$5:$A$204,B2096))*(Rules!$A$5:$A$204&lt;&gt;"")*(1000-ROW(Rules!$A$5:$A$204)))),""))</f>
        <v/>
      </c>
    </row>
    <row r="2097" customFormat="false" ht="15" hidden="false" customHeight="false" outlineLevel="0" collapsed="false">
      <c r="A2097" s="23"/>
      <c r="B2097" s="24"/>
      <c r="C2097" s="25"/>
      <c r="D2097" s="24"/>
      <c r="E2097" s="21" t="str">
        <f aca="false">IF(OR(B2097="",N(N2097)=0,N2097=1000),IF(B2097="","","Check"),INDEX(Rules!$B:$B,N2097))</f>
        <v/>
      </c>
      <c r="F2097" s="21" t="str">
        <f aca="false">IF(OR(B2097="",N(N2097)=0,N2097=1000),"",INDEX(Rules!$C:$C,N2097))</f>
        <v/>
      </c>
      <c r="G2097" s="24"/>
      <c r="H2097" s="24"/>
      <c r="I2097" s="20" t="str">
        <f aca="false">IF(B2097="","",IF(G2097&lt;&gt;"",G2097,E2097))</f>
        <v/>
      </c>
      <c r="J2097" s="21" t="str">
        <f aca="false">IF(B2097="","",IF(H2097&lt;&gt;"",H2097,F2097))</f>
        <v/>
      </c>
      <c r="K2097" s="26" t="str">
        <f aca="false">IF(A2097="","",DATE(YEAR(A2097),MONTH(A2097),1))</f>
        <v/>
      </c>
      <c r="L2097" s="21" t="str">
        <f aca="false">IF(J2097="",IF(B2097="","",IF(N(C2097)&gt;=0,"Income","Expense")),IFERROR(INDEX(Lists!$B$2:$B$30,MATCH(J2097,Lists!$A$2:$A$30,0)),""))</f>
        <v/>
      </c>
      <c r="M2097" s="24"/>
      <c r="N2097" s="27" t="str">
        <f aca="false">IF(B2097="","",IFERROR(1000-SUMPRODUCT(MAX(ISNUMBER(SEARCH(Rules!$A$5:$A$204,B2097))*(Rules!$A$5:$A$204&lt;&gt;"")*(1000-ROW(Rules!$A$5:$A$204)))),""))</f>
        <v/>
      </c>
    </row>
    <row r="2098" customFormat="false" ht="15" hidden="false" customHeight="false" outlineLevel="0" collapsed="false">
      <c r="A2098" s="23"/>
      <c r="B2098" s="24"/>
      <c r="C2098" s="25"/>
      <c r="D2098" s="24"/>
      <c r="E2098" s="21" t="str">
        <f aca="false">IF(OR(B2098="",N(N2098)=0,N2098=1000),IF(B2098="","","Check"),INDEX(Rules!$B:$B,N2098))</f>
        <v/>
      </c>
      <c r="F2098" s="21" t="str">
        <f aca="false">IF(OR(B2098="",N(N2098)=0,N2098=1000),"",INDEX(Rules!$C:$C,N2098))</f>
        <v/>
      </c>
      <c r="G2098" s="24"/>
      <c r="H2098" s="24"/>
      <c r="I2098" s="20" t="str">
        <f aca="false">IF(B2098="","",IF(G2098&lt;&gt;"",G2098,E2098))</f>
        <v/>
      </c>
      <c r="J2098" s="21" t="str">
        <f aca="false">IF(B2098="","",IF(H2098&lt;&gt;"",H2098,F2098))</f>
        <v/>
      </c>
      <c r="K2098" s="26" t="str">
        <f aca="false">IF(A2098="","",DATE(YEAR(A2098),MONTH(A2098),1))</f>
        <v/>
      </c>
      <c r="L2098" s="21" t="str">
        <f aca="false">IF(J2098="",IF(B2098="","",IF(N(C2098)&gt;=0,"Income","Expense")),IFERROR(INDEX(Lists!$B$2:$B$30,MATCH(J2098,Lists!$A$2:$A$30,0)),""))</f>
        <v/>
      </c>
      <c r="M2098" s="24"/>
      <c r="N2098" s="27" t="str">
        <f aca="false">IF(B2098="","",IFERROR(1000-SUMPRODUCT(MAX(ISNUMBER(SEARCH(Rules!$A$5:$A$204,B2098))*(Rules!$A$5:$A$204&lt;&gt;"")*(1000-ROW(Rules!$A$5:$A$204)))),""))</f>
        <v/>
      </c>
    </row>
    <row r="2099" customFormat="false" ht="15" hidden="false" customHeight="false" outlineLevel="0" collapsed="false">
      <c r="A2099" s="23"/>
      <c r="B2099" s="24"/>
      <c r="C2099" s="25"/>
      <c r="D2099" s="24"/>
      <c r="E2099" s="21" t="str">
        <f aca="false">IF(OR(B2099="",N(N2099)=0,N2099=1000),IF(B2099="","","Check"),INDEX(Rules!$B:$B,N2099))</f>
        <v/>
      </c>
      <c r="F2099" s="21" t="str">
        <f aca="false">IF(OR(B2099="",N(N2099)=0,N2099=1000),"",INDEX(Rules!$C:$C,N2099))</f>
        <v/>
      </c>
      <c r="G2099" s="24"/>
      <c r="H2099" s="24"/>
      <c r="I2099" s="20" t="str">
        <f aca="false">IF(B2099="","",IF(G2099&lt;&gt;"",G2099,E2099))</f>
        <v/>
      </c>
      <c r="J2099" s="21" t="str">
        <f aca="false">IF(B2099="","",IF(H2099&lt;&gt;"",H2099,F2099))</f>
        <v/>
      </c>
      <c r="K2099" s="26" t="str">
        <f aca="false">IF(A2099="","",DATE(YEAR(A2099),MONTH(A2099),1))</f>
        <v/>
      </c>
      <c r="L2099" s="21" t="str">
        <f aca="false">IF(J2099="",IF(B2099="","",IF(N(C2099)&gt;=0,"Income","Expense")),IFERROR(INDEX(Lists!$B$2:$B$30,MATCH(J2099,Lists!$A$2:$A$30,0)),""))</f>
        <v/>
      </c>
      <c r="M2099" s="24"/>
      <c r="N2099" s="27" t="str">
        <f aca="false">IF(B2099="","",IFERROR(1000-SUMPRODUCT(MAX(ISNUMBER(SEARCH(Rules!$A$5:$A$204,B2099))*(Rules!$A$5:$A$204&lt;&gt;"")*(1000-ROW(Rules!$A$5:$A$204)))),""))</f>
        <v/>
      </c>
    </row>
    <row r="2100" customFormat="false" ht="15" hidden="false" customHeight="false" outlineLevel="0" collapsed="false">
      <c r="A2100" s="23"/>
      <c r="B2100" s="24"/>
      <c r="C2100" s="25"/>
      <c r="D2100" s="24"/>
      <c r="E2100" s="21" t="str">
        <f aca="false">IF(OR(B2100="",N(N2100)=0,N2100=1000),IF(B2100="","","Check"),INDEX(Rules!$B:$B,N2100))</f>
        <v/>
      </c>
      <c r="F2100" s="21" t="str">
        <f aca="false">IF(OR(B2100="",N(N2100)=0,N2100=1000),"",INDEX(Rules!$C:$C,N2100))</f>
        <v/>
      </c>
      <c r="G2100" s="24"/>
      <c r="H2100" s="24"/>
      <c r="I2100" s="20" t="str">
        <f aca="false">IF(B2100="","",IF(G2100&lt;&gt;"",G2100,E2100))</f>
        <v/>
      </c>
      <c r="J2100" s="21" t="str">
        <f aca="false">IF(B2100="","",IF(H2100&lt;&gt;"",H2100,F2100))</f>
        <v/>
      </c>
      <c r="K2100" s="26" t="str">
        <f aca="false">IF(A2100="","",DATE(YEAR(A2100),MONTH(A2100),1))</f>
        <v/>
      </c>
      <c r="L2100" s="21" t="str">
        <f aca="false">IF(J2100="",IF(B2100="","",IF(N(C2100)&gt;=0,"Income","Expense")),IFERROR(INDEX(Lists!$B$2:$B$30,MATCH(J2100,Lists!$A$2:$A$30,0)),""))</f>
        <v/>
      </c>
      <c r="M2100" s="24"/>
      <c r="N2100" s="27" t="str">
        <f aca="false">IF(B2100="","",IFERROR(1000-SUMPRODUCT(MAX(ISNUMBER(SEARCH(Rules!$A$5:$A$204,B2100))*(Rules!$A$5:$A$204&lt;&gt;"")*(1000-ROW(Rules!$A$5:$A$204)))),""))</f>
        <v/>
      </c>
    </row>
    <row r="2101" customFormat="false" ht="15" hidden="false" customHeight="false" outlineLevel="0" collapsed="false">
      <c r="A2101" s="23"/>
      <c r="B2101" s="24"/>
      <c r="C2101" s="25"/>
      <c r="D2101" s="24"/>
      <c r="E2101" s="21" t="str">
        <f aca="false">IF(OR(B2101="",N(N2101)=0,N2101=1000),IF(B2101="","","Check"),INDEX(Rules!$B:$B,N2101))</f>
        <v/>
      </c>
      <c r="F2101" s="21" t="str">
        <f aca="false">IF(OR(B2101="",N(N2101)=0,N2101=1000),"",INDEX(Rules!$C:$C,N2101))</f>
        <v/>
      </c>
      <c r="G2101" s="24"/>
      <c r="H2101" s="24"/>
      <c r="I2101" s="20" t="str">
        <f aca="false">IF(B2101="","",IF(G2101&lt;&gt;"",G2101,E2101))</f>
        <v/>
      </c>
      <c r="J2101" s="21" t="str">
        <f aca="false">IF(B2101="","",IF(H2101&lt;&gt;"",H2101,F2101))</f>
        <v/>
      </c>
      <c r="K2101" s="26" t="str">
        <f aca="false">IF(A2101="","",DATE(YEAR(A2101),MONTH(A2101),1))</f>
        <v/>
      </c>
      <c r="L2101" s="21" t="str">
        <f aca="false">IF(J2101="",IF(B2101="","",IF(N(C2101)&gt;=0,"Income","Expense")),IFERROR(INDEX(Lists!$B$2:$B$30,MATCH(J2101,Lists!$A$2:$A$30,0)),""))</f>
        <v/>
      </c>
      <c r="M2101" s="24"/>
      <c r="N2101" s="27" t="str">
        <f aca="false">IF(B2101="","",IFERROR(1000-SUMPRODUCT(MAX(ISNUMBER(SEARCH(Rules!$A$5:$A$204,B2101))*(Rules!$A$5:$A$204&lt;&gt;"")*(1000-ROW(Rules!$A$5:$A$204)))),""))</f>
        <v/>
      </c>
    </row>
    <row r="2102" customFormat="false" ht="15" hidden="false" customHeight="false" outlineLevel="0" collapsed="false">
      <c r="A2102" s="23"/>
      <c r="B2102" s="24"/>
      <c r="C2102" s="25"/>
      <c r="D2102" s="24"/>
      <c r="E2102" s="21" t="str">
        <f aca="false">IF(OR(B2102="",N(N2102)=0,N2102=1000),IF(B2102="","","Check"),INDEX(Rules!$B:$B,N2102))</f>
        <v/>
      </c>
      <c r="F2102" s="21" t="str">
        <f aca="false">IF(OR(B2102="",N(N2102)=0,N2102=1000),"",INDEX(Rules!$C:$C,N2102))</f>
        <v/>
      </c>
      <c r="G2102" s="24"/>
      <c r="H2102" s="24"/>
      <c r="I2102" s="20" t="str">
        <f aca="false">IF(B2102="","",IF(G2102&lt;&gt;"",G2102,E2102))</f>
        <v/>
      </c>
      <c r="J2102" s="21" t="str">
        <f aca="false">IF(B2102="","",IF(H2102&lt;&gt;"",H2102,F2102))</f>
        <v/>
      </c>
      <c r="K2102" s="26" t="str">
        <f aca="false">IF(A2102="","",DATE(YEAR(A2102),MONTH(A2102),1))</f>
        <v/>
      </c>
      <c r="L2102" s="21" t="str">
        <f aca="false">IF(J2102="",IF(B2102="","",IF(N(C2102)&gt;=0,"Income","Expense")),IFERROR(INDEX(Lists!$B$2:$B$30,MATCH(J2102,Lists!$A$2:$A$30,0)),""))</f>
        <v/>
      </c>
      <c r="M2102" s="24"/>
      <c r="N2102" s="27" t="str">
        <f aca="false">IF(B2102="","",IFERROR(1000-SUMPRODUCT(MAX(ISNUMBER(SEARCH(Rules!$A$5:$A$204,B2102))*(Rules!$A$5:$A$204&lt;&gt;"")*(1000-ROW(Rules!$A$5:$A$204)))),""))</f>
        <v/>
      </c>
    </row>
    <row r="2103" customFormat="false" ht="15" hidden="false" customHeight="false" outlineLevel="0" collapsed="false">
      <c r="A2103" s="23"/>
      <c r="B2103" s="24"/>
      <c r="C2103" s="25"/>
      <c r="D2103" s="24"/>
      <c r="E2103" s="21" t="str">
        <f aca="false">IF(OR(B2103="",N(N2103)=0,N2103=1000),IF(B2103="","","Check"),INDEX(Rules!$B:$B,N2103))</f>
        <v/>
      </c>
      <c r="F2103" s="21" t="str">
        <f aca="false">IF(OR(B2103="",N(N2103)=0,N2103=1000),"",INDEX(Rules!$C:$C,N2103))</f>
        <v/>
      </c>
      <c r="G2103" s="24"/>
      <c r="H2103" s="24"/>
      <c r="I2103" s="20" t="str">
        <f aca="false">IF(B2103="","",IF(G2103&lt;&gt;"",G2103,E2103))</f>
        <v/>
      </c>
      <c r="J2103" s="21" t="str">
        <f aca="false">IF(B2103="","",IF(H2103&lt;&gt;"",H2103,F2103))</f>
        <v/>
      </c>
      <c r="K2103" s="26" t="str">
        <f aca="false">IF(A2103="","",DATE(YEAR(A2103),MONTH(A2103),1))</f>
        <v/>
      </c>
      <c r="L2103" s="21" t="str">
        <f aca="false">IF(J2103="",IF(B2103="","",IF(N(C2103)&gt;=0,"Income","Expense")),IFERROR(INDEX(Lists!$B$2:$B$30,MATCH(J2103,Lists!$A$2:$A$30,0)),""))</f>
        <v/>
      </c>
      <c r="M2103" s="24"/>
      <c r="N2103" s="27" t="str">
        <f aca="false">IF(B2103="","",IFERROR(1000-SUMPRODUCT(MAX(ISNUMBER(SEARCH(Rules!$A$5:$A$204,B2103))*(Rules!$A$5:$A$204&lt;&gt;"")*(1000-ROW(Rules!$A$5:$A$204)))),""))</f>
        <v/>
      </c>
    </row>
    <row r="2104" customFormat="false" ht="15" hidden="false" customHeight="false" outlineLevel="0" collapsed="false">
      <c r="A2104" s="23"/>
      <c r="B2104" s="24"/>
      <c r="C2104" s="25"/>
      <c r="D2104" s="24"/>
      <c r="E2104" s="21" t="str">
        <f aca="false">IF(OR(B2104="",N(N2104)=0,N2104=1000),IF(B2104="","","Check"),INDEX(Rules!$B:$B,N2104))</f>
        <v/>
      </c>
      <c r="F2104" s="21" t="str">
        <f aca="false">IF(OR(B2104="",N(N2104)=0,N2104=1000),"",INDEX(Rules!$C:$C,N2104))</f>
        <v/>
      </c>
      <c r="G2104" s="24"/>
      <c r="H2104" s="24"/>
      <c r="I2104" s="20" t="str">
        <f aca="false">IF(B2104="","",IF(G2104&lt;&gt;"",G2104,E2104))</f>
        <v/>
      </c>
      <c r="J2104" s="21" t="str">
        <f aca="false">IF(B2104="","",IF(H2104&lt;&gt;"",H2104,F2104))</f>
        <v/>
      </c>
      <c r="K2104" s="26" t="str">
        <f aca="false">IF(A2104="","",DATE(YEAR(A2104),MONTH(A2104),1))</f>
        <v/>
      </c>
      <c r="L2104" s="21" t="str">
        <f aca="false">IF(J2104="",IF(B2104="","",IF(N(C2104)&gt;=0,"Income","Expense")),IFERROR(INDEX(Lists!$B$2:$B$30,MATCH(J2104,Lists!$A$2:$A$30,0)),""))</f>
        <v/>
      </c>
      <c r="M2104" s="24"/>
      <c r="N2104" s="27" t="str">
        <f aca="false">IF(B2104="","",IFERROR(1000-SUMPRODUCT(MAX(ISNUMBER(SEARCH(Rules!$A$5:$A$204,B2104))*(Rules!$A$5:$A$204&lt;&gt;"")*(1000-ROW(Rules!$A$5:$A$204)))),""))</f>
        <v/>
      </c>
    </row>
    <row r="2105" customFormat="false" ht="15" hidden="false" customHeight="false" outlineLevel="0" collapsed="false">
      <c r="A2105" s="23"/>
      <c r="B2105" s="24"/>
      <c r="C2105" s="25"/>
      <c r="D2105" s="24"/>
      <c r="E2105" s="21" t="str">
        <f aca="false">IF(OR(B2105="",N(N2105)=0,N2105=1000),IF(B2105="","","Check"),INDEX(Rules!$B:$B,N2105))</f>
        <v/>
      </c>
      <c r="F2105" s="21" t="str">
        <f aca="false">IF(OR(B2105="",N(N2105)=0,N2105=1000),"",INDEX(Rules!$C:$C,N2105))</f>
        <v/>
      </c>
      <c r="G2105" s="24"/>
      <c r="H2105" s="24"/>
      <c r="I2105" s="20" t="str">
        <f aca="false">IF(B2105="","",IF(G2105&lt;&gt;"",G2105,E2105))</f>
        <v/>
      </c>
      <c r="J2105" s="21" t="str">
        <f aca="false">IF(B2105="","",IF(H2105&lt;&gt;"",H2105,F2105))</f>
        <v/>
      </c>
      <c r="K2105" s="26" t="str">
        <f aca="false">IF(A2105="","",DATE(YEAR(A2105),MONTH(A2105),1))</f>
        <v/>
      </c>
      <c r="L2105" s="21" t="str">
        <f aca="false">IF(J2105="",IF(B2105="","",IF(N(C2105)&gt;=0,"Income","Expense")),IFERROR(INDEX(Lists!$B$2:$B$30,MATCH(J2105,Lists!$A$2:$A$30,0)),""))</f>
        <v/>
      </c>
      <c r="M2105" s="24"/>
      <c r="N2105" s="27" t="str">
        <f aca="false">IF(B2105="","",IFERROR(1000-SUMPRODUCT(MAX(ISNUMBER(SEARCH(Rules!$A$5:$A$204,B2105))*(Rules!$A$5:$A$204&lt;&gt;"")*(1000-ROW(Rules!$A$5:$A$204)))),""))</f>
        <v/>
      </c>
    </row>
    <row r="2106" customFormat="false" ht="15" hidden="false" customHeight="false" outlineLevel="0" collapsed="false">
      <c r="A2106" s="23"/>
      <c r="B2106" s="24"/>
      <c r="C2106" s="25"/>
      <c r="D2106" s="24"/>
      <c r="E2106" s="21" t="str">
        <f aca="false">IF(OR(B2106="",N(N2106)=0,N2106=1000),IF(B2106="","","Check"),INDEX(Rules!$B:$B,N2106))</f>
        <v/>
      </c>
      <c r="F2106" s="21" t="str">
        <f aca="false">IF(OR(B2106="",N(N2106)=0,N2106=1000),"",INDEX(Rules!$C:$C,N2106))</f>
        <v/>
      </c>
      <c r="G2106" s="24"/>
      <c r="H2106" s="24"/>
      <c r="I2106" s="20" t="str">
        <f aca="false">IF(B2106="","",IF(G2106&lt;&gt;"",G2106,E2106))</f>
        <v/>
      </c>
      <c r="J2106" s="21" t="str">
        <f aca="false">IF(B2106="","",IF(H2106&lt;&gt;"",H2106,F2106))</f>
        <v/>
      </c>
      <c r="K2106" s="26" t="str">
        <f aca="false">IF(A2106="","",DATE(YEAR(A2106),MONTH(A2106),1))</f>
        <v/>
      </c>
      <c r="L2106" s="21" t="str">
        <f aca="false">IF(J2106="",IF(B2106="","",IF(N(C2106)&gt;=0,"Income","Expense")),IFERROR(INDEX(Lists!$B$2:$B$30,MATCH(J2106,Lists!$A$2:$A$30,0)),""))</f>
        <v/>
      </c>
      <c r="M2106" s="24"/>
      <c r="N2106" s="27" t="str">
        <f aca="false">IF(B2106="","",IFERROR(1000-SUMPRODUCT(MAX(ISNUMBER(SEARCH(Rules!$A$5:$A$204,B2106))*(Rules!$A$5:$A$204&lt;&gt;"")*(1000-ROW(Rules!$A$5:$A$204)))),""))</f>
        <v/>
      </c>
    </row>
    <row r="2107" customFormat="false" ht="15" hidden="false" customHeight="false" outlineLevel="0" collapsed="false">
      <c r="A2107" s="23"/>
      <c r="B2107" s="24"/>
      <c r="C2107" s="25"/>
      <c r="D2107" s="24"/>
      <c r="E2107" s="21" t="str">
        <f aca="false">IF(OR(B2107="",N(N2107)=0,N2107=1000),IF(B2107="","","Check"),INDEX(Rules!$B:$B,N2107))</f>
        <v/>
      </c>
      <c r="F2107" s="21" t="str">
        <f aca="false">IF(OR(B2107="",N(N2107)=0,N2107=1000),"",INDEX(Rules!$C:$C,N2107))</f>
        <v/>
      </c>
      <c r="G2107" s="24"/>
      <c r="H2107" s="24"/>
      <c r="I2107" s="20" t="str">
        <f aca="false">IF(B2107="","",IF(G2107&lt;&gt;"",G2107,E2107))</f>
        <v/>
      </c>
      <c r="J2107" s="21" t="str">
        <f aca="false">IF(B2107="","",IF(H2107&lt;&gt;"",H2107,F2107))</f>
        <v/>
      </c>
      <c r="K2107" s="26" t="str">
        <f aca="false">IF(A2107="","",DATE(YEAR(A2107),MONTH(A2107),1))</f>
        <v/>
      </c>
      <c r="L2107" s="21" t="str">
        <f aca="false">IF(J2107="",IF(B2107="","",IF(N(C2107)&gt;=0,"Income","Expense")),IFERROR(INDEX(Lists!$B$2:$B$30,MATCH(J2107,Lists!$A$2:$A$30,0)),""))</f>
        <v/>
      </c>
      <c r="M2107" s="24"/>
      <c r="N2107" s="27" t="str">
        <f aca="false">IF(B2107="","",IFERROR(1000-SUMPRODUCT(MAX(ISNUMBER(SEARCH(Rules!$A$5:$A$204,B2107))*(Rules!$A$5:$A$204&lt;&gt;"")*(1000-ROW(Rules!$A$5:$A$204)))),""))</f>
        <v/>
      </c>
    </row>
    <row r="2108" customFormat="false" ht="15" hidden="false" customHeight="false" outlineLevel="0" collapsed="false">
      <c r="A2108" s="23"/>
      <c r="B2108" s="24"/>
      <c r="C2108" s="25"/>
      <c r="D2108" s="24"/>
      <c r="E2108" s="21" t="str">
        <f aca="false">IF(OR(B2108="",N(N2108)=0,N2108=1000),IF(B2108="","","Check"),INDEX(Rules!$B:$B,N2108))</f>
        <v/>
      </c>
      <c r="F2108" s="21" t="str">
        <f aca="false">IF(OR(B2108="",N(N2108)=0,N2108=1000),"",INDEX(Rules!$C:$C,N2108))</f>
        <v/>
      </c>
      <c r="G2108" s="24"/>
      <c r="H2108" s="24"/>
      <c r="I2108" s="20" t="str">
        <f aca="false">IF(B2108="","",IF(G2108&lt;&gt;"",G2108,E2108))</f>
        <v/>
      </c>
      <c r="J2108" s="21" t="str">
        <f aca="false">IF(B2108="","",IF(H2108&lt;&gt;"",H2108,F2108))</f>
        <v/>
      </c>
      <c r="K2108" s="26" t="str">
        <f aca="false">IF(A2108="","",DATE(YEAR(A2108),MONTH(A2108),1))</f>
        <v/>
      </c>
      <c r="L2108" s="21" t="str">
        <f aca="false">IF(J2108="",IF(B2108="","",IF(N(C2108)&gt;=0,"Income","Expense")),IFERROR(INDEX(Lists!$B$2:$B$30,MATCH(J2108,Lists!$A$2:$A$30,0)),""))</f>
        <v/>
      </c>
      <c r="M2108" s="24"/>
      <c r="N2108" s="27" t="str">
        <f aca="false">IF(B2108="","",IFERROR(1000-SUMPRODUCT(MAX(ISNUMBER(SEARCH(Rules!$A$5:$A$204,B2108))*(Rules!$A$5:$A$204&lt;&gt;"")*(1000-ROW(Rules!$A$5:$A$204)))),""))</f>
        <v/>
      </c>
    </row>
    <row r="2109" customFormat="false" ht="15" hidden="false" customHeight="false" outlineLevel="0" collapsed="false">
      <c r="A2109" s="23"/>
      <c r="B2109" s="24"/>
      <c r="C2109" s="25"/>
      <c r="D2109" s="24"/>
      <c r="E2109" s="21" t="str">
        <f aca="false">IF(OR(B2109="",N(N2109)=0,N2109=1000),IF(B2109="","","Check"),INDEX(Rules!$B:$B,N2109))</f>
        <v/>
      </c>
      <c r="F2109" s="21" t="str">
        <f aca="false">IF(OR(B2109="",N(N2109)=0,N2109=1000),"",INDEX(Rules!$C:$C,N2109))</f>
        <v/>
      </c>
      <c r="G2109" s="24"/>
      <c r="H2109" s="24"/>
      <c r="I2109" s="20" t="str">
        <f aca="false">IF(B2109="","",IF(G2109&lt;&gt;"",G2109,E2109))</f>
        <v/>
      </c>
      <c r="J2109" s="21" t="str">
        <f aca="false">IF(B2109="","",IF(H2109&lt;&gt;"",H2109,F2109))</f>
        <v/>
      </c>
      <c r="K2109" s="26" t="str">
        <f aca="false">IF(A2109="","",DATE(YEAR(A2109),MONTH(A2109),1))</f>
        <v/>
      </c>
      <c r="L2109" s="21" t="str">
        <f aca="false">IF(J2109="",IF(B2109="","",IF(N(C2109)&gt;=0,"Income","Expense")),IFERROR(INDEX(Lists!$B$2:$B$30,MATCH(J2109,Lists!$A$2:$A$30,0)),""))</f>
        <v/>
      </c>
      <c r="M2109" s="24"/>
      <c r="N2109" s="27" t="str">
        <f aca="false">IF(B2109="","",IFERROR(1000-SUMPRODUCT(MAX(ISNUMBER(SEARCH(Rules!$A$5:$A$204,B2109))*(Rules!$A$5:$A$204&lt;&gt;"")*(1000-ROW(Rules!$A$5:$A$204)))),""))</f>
        <v/>
      </c>
    </row>
    <row r="2110" customFormat="false" ht="15" hidden="false" customHeight="false" outlineLevel="0" collapsed="false">
      <c r="A2110" s="23"/>
      <c r="B2110" s="24"/>
      <c r="C2110" s="25"/>
      <c r="D2110" s="24"/>
      <c r="E2110" s="21" t="str">
        <f aca="false">IF(OR(B2110="",N(N2110)=0,N2110=1000),IF(B2110="","","Check"),INDEX(Rules!$B:$B,N2110))</f>
        <v/>
      </c>
      <c r="F2110" s="21" t="str">
        <f aca="false">IF(OR(B2110="",N(N2110)=0,N2110=1000),"",INDEX(Rules!$C:$C,N2110))</f>
        <v/>
      </c>
      <c r="G2110" s="24"/>
      <c r="H2110" s="24"/>
      <c r="I2110" s="20" t="str">
        <f aca="false">IF(B2110="","",IF(G2110&lt;&gt;"",G2110,E2110))</f>
        <v/>
      </c>
      <c r="J2110" s="21" t="str">
        <f aca="false">IF(B2110="","",IF(H2110&lt;&gt;"",H2110,F2110))</f>
        <v/>
      </c>
      <c r="K2110" s="26" t="str">
        <f aca="false">IF(A2110="","",DATE(YEAR(A2110),MONTH(A2110),1))</f>
        <v/>
      </c>
      <c r="L2110" s="21" t="str">
        <f aca="false">IF(J2110="",IF(B2110="","",IF(N(C2110)&gt;=0,"Income","Expense")),IFERROR(INDEX(Lists!$B$2:$B$30,MATCH(J2110,Lists!$A$2:$A$30,0)),""))</f>
        <v/>
      </c>
      <c r="M2110" s="24"/>
      <c r="N2110" s="27" t="str">
        <f aca="false">IF(B2110="","",IFERROR(1000-SUMPRODUCT(MAX(ISNUMBER(SEARCH(Rules!$A$5:$A$204,B2110))*(Rules!$A$5:$A$204&lt;&gt;"")*(1000-ROW(Rules!$A$5:$A$204)))),""))</f>
        <v/>
      </c>
    </row>
    <row r="2111" customFormat="false" ht="15" hidden="false" customHeight="false" outlineLevel="0" collapsed="false">
      <c r="A2111" s="23"/>
      <c r="B2111" s="24"/>
      <c r="C2111" s="25"/>
      <c r="D2111" s="24"/>
      <c r="E2111" s="21" t="str">
        <f aca="false">IF(OR(B2111="",N(N2111)=0,N2111=1000),IF(B2111="","","Check"),INDEX(Rules!$B:$B,N2111))</f>
        <v/>
      </c>
      <c r="F2111" s="21" t="str">
        <f aca="false">IF(OR(B2111="",N(N2111)=0,N2111=1000),"",INDEX(Rules!$C:$C,N2111))</f>
        <v/>
      </c>
      <c r="G2111" s="24"/>
      <c r="H2111" s="24"/>
      <c r="I2111" s="20" t="str">
        <f aca="false">IF(B2111="","",IF(G2111&lt;&gt;"",G2111,E2111))</f>
        <v/>
      </c>
      <c r="J2111" s="21" t="str">
        <f aca="false">IF(B2111="","",IF(H2111&lt;&gt;"",H2111,F2111))</f>
        <v/>
      </c>
      <c r="K2111" s="26" t="str">
        <f aca="false">IF(A2111="","",DATE(YEAR(A2111),MONTH(A2111),1))</f>
        <v/>
      </c>
      <c r="L2111" s="21" t="str">
        <f aca="false">IF(J2111="",IF(B2111="","",IF(N(C2111)&gt;=0,"Income","Expense")),IFERROR(INDEX(Lists!$B$2:$B$30,MATCH(J2111,Lists!$A$2:$A$30,0)),""))</f>
        <v/>
      </c>
      <c r="M2111" s="24"/>
      <c r="N2111" s="27" t="str">
        <f aca="false">IF(B2111="","",IFERROR(1000-SUMPRODUCT(MAX(ISNUMBER(SEARCH(Rules!$A$5:$A$204,B2111))*(Rules!$A$5:$A$204&lt;&gt;"")*(1000-ROW(Rules!$A$5:$A$204)))),""))</f>
        <v/>
      </c>
    </row>
    <row r="2112" customFormat="false" ht="15" hidden="false" customHeight="false" outlineLevel="0" collapsed="false">
      <c r="A2112" s="23"/>
      <c r="B2112" s="24"/>
      <c r="C2112" s="25"/>
      <c r="D2112" s="24"/>
      <c r="E2112" s="21" t="str">
        <f aca="false">IF(OR(B2112="",N(N2112)=0,N2112=1000),IF(B2112="","","Check"),INDEX(Rules!$B:$B,N2112))</f>
        <v/>
      </c>
      <c r="F2112" s="21" t="str">
        <f aca="false">IF(OR(B2112="",N(N2112)=0,N2112=1000),"",INDEX(Rules!$C:$C,N2112))</f>
        <v/>
      </c>
      <c r="G2112" s="24"/>
      <c r="H2112" s="24"/>
      <c r="I2112" s="20" t="str">
        <f aca="false">IF(B2112="","",IF(G2112&lt;&gt;"",G2112,E2112))</f>
        <v/>
      </c>
      <c r="J2112" s="21" t="str">
        <f aca="false">IF(B2112="","",IF(H2112&lt;&gt;"",H2112,F2112))</f>
        <v/>
      </c>
      <c r="K2112" s="26" t="str">
        <f aca="false">IF(A2112="","",DATE(YEAR(A2112),MONTH(A2112),1))</f>
        <v/>
      </c>
      <c r="L2112" s="21" t="str">
        <f aca="false">IF(J2112="",IF(B2112="","",IF(N(C2112)&gt;=0,"Income","Expense")),IFERROR(INDEX(Lists!$B$2:$B$30,MATCH(J2112,Lists!$A$2:$A$30,0)),""))</f>
        <v/>
      </c>
      <c r="M2112" s="24"/>
      <c r="N2112" s="27" t="str">
        <f aca="false">IF(B2112="","",IFERROR(1000-SUMPRODUCT(MAX(ISNUMBER(SEARCH(Rules!$A$5:$A$204,B2112))*(Rules!$A$5:$A$204&lt;&gt;"")*(1000-ROW(Rules!$A$5:$A$204)))),""))</f>
        <v/>
      </c>
    </row>
    <row r="2113" customFormat="false" ht="15" hidden="false" customHeight="false" outlineLevel="0" collapsed="false">
      <c r="A2113" s="23"/>
      <c r="B2113" s="24"/>
      <c r="C2113" s="25"/>
      <c r="D2113" s="24"/>
      <c r="E2113" s="21" t="str">
        <f aca="false">IF(OR(B2113="",N(N2113)=0,N2113=1000),IF(B2113="","","Check"),INDEX(Rules!$B:$B,N2113))</f>
        <v/>
      </c>
      <c r="F2113" s="21" t="str">
        <f aca="false">IF(OR(B2113="",N(N2113)=0,N2113=1000),"",INDEX(Rules!$C:$C,N2113))</f>
        <v/>
      </c>
      <c r="G2113" s="24"/>
      <c r="H2113" s="24"/>
      <c r="I2113" s="20" t="str">
        <f aca="false">IF(B2113="","",IF(G2113&lt;&gt;"",G2113,E2113))</f>
        <v/>
      </c>
      <c r="J2113" s="21" t="str">
        <f aca="false">IF(B2113="","",IF(H2113&lt;&gt;"",H2113,F2113))</f>
        <v/>
      </c>
      <c r="K2113" s="26" t="str">
        <f aca="false">IF(A2113="","",DATE(YEAR(A2113),MONTH(A2113),1))</f>
        <v/>
      </c>
      <c r="L2113" s="21" t="str">
        <f aca="false">IF(J2113="",IF(B2113="","",IF(N(C2113)&gt;=0,"Income","Expense")),IFERROR(INDEX(Lists!$B$2:$B$30,MATCH(J2113,Lists!$A$2:$A$30,0)),""))</f>
        <v/>
      </c>
      <c r="M2113" s="24"/>
      <c r="N2113" s="27" t="str">
        <f aca="false">IF(B2113="","",IFERROR(1000-SUMPRODUCT(MAX(ISNUMBER(SEARCH(Rules!$A$5:$A$204,B2113))*(Rules!$A$5:$A$204&lt;&gt;"")*(1000-ROW(Rules!$A$5:$A$204)))),""))</f>
        <v/>
      </c>
    </row>
    <row r="2114" customFormat="false" ht="15" hidden="false" customHeight="false" outlineLevel="0" collapsed="false">
      <c r="A2114" s="23"/>
      <c r="B2114" s="24"/>
      <c r="C2114" s="25"/>
      <c r="D2114" s="24"/>
      <c r="E2114" s="21" t="str">
        <f aca="false">IF(OR(B2114="",N(N2114)=0,N2114=1000),IF(B2114="","","Check"),INDEX(Rules!$B:$B,N2114))</f>
        <v/>
      </c>
      <c r="F2114" s="21" t="str">
        <f aca="false">IF(OR(B2114="",N(N2114)=0,N2114=1000),"",INDEX(Rules!$C:$C,N2114))</f>
        <v/>
      </c>
      <c r="G2114" s="24"/>
      <c r="H2114" s="24"/>
      <c r="I2114" s="20" t="str">
        <f aca="false">IF(B2114="","",IF(G2114&lt;&gt;"",G2114,E2114))</f>
        <v/>
      </c>
      <c r="J2114" s="21" t="str">
        <f aca="false">IF(B2114="","",IF(H2114&lt;&gt;"",H2114,F2114))</f>
        <v/>
      </c>
      <c r="K2114" s="26" t="str">
        <f aca="false">IF(A2114="","",DATE(YEAR(A2114),MONTH(A2114),1))</f>
        <v/>
      </c>
      <c r="L2114" s="21" t="str">
        <f aca="false">IF(J2114="",IF(B2114="","",IF(N(C2114)&gt;=0,"Income","Expense")),IFERROR(INDEX(Lists!$B$2:$B$30,MATCH(J2114,Lists!$A$2:$A$30,0)),""))</f>
        <v/>
      </c>
      <c r="M2114" s="24"/>
      <c r="N2114" s="27" t="str">
        <f aca="false">IF(B2114="","",IFERROR(1000-SUMPRODUCT(MAX(ISNUMBER(SEARCH(Rules!$A$5:$A$204,B2114))*(Rules!$A$5:$A$204&lt;&gt;"")*(1000-ROW(Rules!$A$5:$A$204)))),""))</f>
        <v/>
      </c>
    </row>
    <row r="2115" customFormat="false" ht="15" hidden="false" customHeight="false" outlineLevel="0" collapsed="false">
      <c r="A2115" s="23"/>
      <c r="B2115" s="24"/>
      <c r="C2115" s="25"/>
      <c r="D2115" s="24"/>
      <c r="E2115" s="21" t="str">
        <f aca="false">IF(OR(B2115="",N(N2115)=0,N2115=1000),IF(B2115="","","Check"),INDEX(Rules!$B:$B,N2115))</f>
        <v/>
      </c>
      <c r="F2115" s="21" t="str">
        <f aca="false">IF(OR(B2115="",N(N2115)=0,N2115=1000),"",INDEX(Rules!$C:$C,N2115))</f>
        <v/>
      </c>
      <c r="G2115" s="24"/>
      <c r="H2115" s="24"/>
      <c r="I2115" s="20" t="str">
        <f aca="false">IF(B2115="","",IF(G2115&lt;&gt;"",G2115,E2115))</f>
        <v/>
      </c>
      <c r="J2115" s="21" t="str">
        <f aca="false">IF(B2115="","",IF(H2115&lt;&gt;"",H2115,F2115))</f>
        <v/>
      </c>
      <c r="K2115" s="26" t="str">
        <f aca="false">IF(A2115="","",DATE(YEAR(A2115),MONTH(A2115),1))</f>
        <v/>
      </c>
      <c r="L2115" s="21" t="str">
        <f aca="false">IF(J2115="",IF(B2115="","",IF(N(C2115)&gt;=0,"Income","Expense")),IFERROR(INDEX(Lists!$B$2:$B$30,MATCH(J2115,Lists!$A$2:$A$30,0)),""))</f>
        <v/>
      </c>
      <c r="M2115" s="24"/>
      <c r="N2115" s="27" t="str">
        <f aca="false">IF(B2115="","",IFERROR(1000-SUMPRODUCT(MAX(ISNUMBER(SEARCH(Rules!$A$5:$A$204,B2115))*(Rules!$A$5:$A$204&lt;&gt;"")*(1000-ROW(Rules!$A$5:$A$204)))),""))</f>
        <v/>
      </c>
    </row>
    <row r="2116" customFormat="false" ht="15" hidden="false" customHeight="false" outlineLevel="0" collapsed="false">
      <c r="A2116" s="23"/>
      <c r="B2116" s="24"/>
      <c r="C2116" s="25"/>
      <c r="D2116" s="24"/>
      <c r="E2116" s="21" t="str">
        <f aca="false">IF(OR(B2116="",N(N2116)=0,N2116=1000),IF(B2116="","","Check"),INDEX(Rules!$B:$B,N2116))</f>
        <v/>
      </c>
      <c r="F2116" s="21" t="str">
        <f aca="false">IF(OR(B2116="",N(N2116)=0,N2116=1000),"",INDEX(Rules!$C:$C,N2116))</f>
        <v/>
      </c>
      <c r="G2116" s="24"/>
      <c r="H2116" s="24"/>
      <c r="I2116" s="20" t="str">
        <f aca="false">IF(B2116="","",IF(G2116&lt;&gt;"",G2116,E2116))</f>
        <v/>
      </c>
      <c r="J2116" s="21" t="str">
        <f aca="false">IF(B2116="","",IF(H2116&lt;&gt;"",H2116,F2116))</f>
        <v/>
      </c>
      <c r="K2116" s="26" t="str">
        <f aca="false">IF(A2116="","",DATE(YEAR(A2116),MONTH(A2116),1))</f>
        <v/>
      </c>
      <c r="L2116" s="21" t="str">
        <f aca="false">IF(J2116="",IF(B2116="","",IF(N(C2116)&gt;=0,"Income","Expense")),IFERROR(INDEX(Lists!$B$2:$B$30,MATCH(J2116,Lists!$A$2:$A$30,0)),""))</f>
        <v/>
      </c>
      <c r="M2116" s="24"/>
      <c r="N2116" s="27" t="str">
        <f aca="false">IF(B2116="","",IFERROR(1000-SUMPRODUCT(MAX(ISNUMBER(SEARCH(Rules!$A$5:$A$204,B2116))*(Rules!$A$5:$A$204&lt;&gt;"")*(1000-ROW(Rules!$A$5:$A$204)))),""))</f>
        <v/>
      </c>
    </row>
    <row r="2117" customFormat="false" ht="15" hidden="false" customHeight="false" outlineLevel="0" collapsed="false">
      <c r="A2117" s="23"/>
      <c r="B2117" s="24"/>
      <c r="C2117" s="25"/>
      <c r="D2117" s="24"/>
      <c r="E2117" s="21" t="str">
        <f aca="false">IF(OR(B2117="",N(N2117)=0,N2117=1000),IF(B2117="","","Check"),INDEX(Rules!$B:$B,N2117))</f>
        <v/>
      </c>
      <c r="F2117" s="21" t="str">
        <f aca="false">IF(OR(B2117="",N(N2117)=0,N2117=1000),"",INDEX(Rules!$C:$C,N2117))</f>
        <v/>
      </c>
      <c r="G2117" s="24"/>
      <c r="H2117" s="24"/>
      <c r="I2117" s="20" t="str">
        <f aca="false">IF(B2117="","",IF(G2117&lt;&gt;"",G2117,E2117))</f>
        <v/>
      </c>
      <c r="J2117" s="21" t="str">
        <f aca="false">IF(B2117="","",IF(H2117&lt;&gt;"",H2117,F2117))</f>
        <v/>
      </c>
      <c r="K2117" s="26" t="str">
        <f aca="false">IF(A2117="","",DATE(YEAR(A2117),MONTH(A2117),1))</f>
        <v/>
      </c>
      <c r="L2117" s="21" t="str">
        <f aca="false">IF(J2117="",IF(B2117="","",IF(N(C2117)&gt;=0,"Income","Expense")),IFERROR(INDEX(Lists!$B$2:$B$30,MATCH(J2117,Lists!$A$2:$A$30,0)),""))</f>
        <v/>
      </c>
      <c r="M2117" s="24"/>
      <c r="N2117" s="27" t="str">
        <f aca="false">IF(B2117="","",IFERROR(1000-SUMPRODUCT(MAX(ISNUMBER(SEARCH(Rules!$A$5:$A$204,B2117))*(Rules!$A$5:$A$204&lt;&gt;"")*(1000-ROW(Rules!$A$5:$A$204)))),""))</f>
        <v/>
      </c>
    </row>
    <row r="2118" customFormat="false" ht="15" hidden="false" customHeight="false" outlineLevel="0" collapsed="false">
      <c r="A2118" s="23"/>
      <c r="B2118" s="24"/>
      <c r="C2118" s="25"/>
      <c r="D2118" s="24"/>
      <c r="E2118" s="21" t="str">
        <f aca="false">IF(OR(B2118="",N(N2118)=0,N2118=1000),IF(B2118="","","Check"),INDEX(Rules!$B:$B,N2118))</f>
        <v/>
      </c>
      <c r="F2118" s="21" t="str">
        <f aca="false">IF(OR(B2118="",N(N2118)=0,N2118=1000),"",INDEX(Rules!$C:$C,N2118))</f>
        <v/>
      </c>
      <c r="G2118" s="24"/>
      <c r="H2118" s="24"/>
      <c r="I2118" s="20" t="str">
        <f aca="false">IF(B2118="","",IF(G2118&lt;&gt;"",G2118,E2118))</f>
        <v/>
      </c>
      <c r="J2118" s="21" t="str">
        <f aca="false">IF(B2118="","",IF(H2118&lt;&gt;"",H2118,F2118))</f>
        <v/>
      </c>
      <c r="K2118" s="26" t="str">
        <f aca="false">IF(A2118="","",DATE(YEAR(A2118),MONTH(A2118),1))</f>
        <v/>
      </c>
      <c r="L2118" s="21" t="str">
        <f aca="false">IF(J2118="",IF(B2118="","",IF(N(C2118)&gt;=0,"Income","Expense")),IFERROR(INDEX(Lists!$B$2:$B$30,MATCH(J2118,Lists!$A$2:$A$30,0)),""))</f>
        <v/>
      </c>
      <c r="M2118" s="24"/>
      <c r="N2118" s="27" t="str">
        <f aca="false">IF(B2118="","",IFERROR(1000-SUMPRODUCT(MAX(ISNUMBER(SEARCH(Rules!$A$5:$A$204,B2118))*(Rules!$A$5:$A$204&lt;&gt;"")*(1000-ROW(Rules!$A$5:$A$204)))),""))</f>
        <v/>
      </c>
    </row>
    <row r="2119" customFormat="false" ht="15" hidden="false" customHeight="false" outlineLevel="0" collapsed="false">
      <c r="A2119" s="23"/>
      <c r="B2119" s="24"/>
      <c r="C2119" s="25"/>
      <c r="D2119" s="24"/>
      <c r="E2119" s="21" t="str">
        <f aca="false">IF(OR(B2119="",N(N2119)=0,N2119=1000),IF(B2119="","","Check"),INDEX(Rules!$B:$B,N2119))</f>
        <v/>
      </c>
      <c r="F2119" s="21" t="str">
        <f aca="false">IF(OR(B2119="",N(N2119)=0,N2119=1000),"",INDEX(Rules!$C:$C,N2119))</f>
        <v/>
      </c>
      <c r="G2119" s="24"/>
      <c r="H2119" s="24"/>
      <c r="I2119" s="20" t="str">
        <f aca="false">IF(B2119="","",IF(G2119&lt;&gt;"",G2119,E2119))</f>
        <v/>
      </c>
      <c r="J2119" s="21" t="str">
        <f aca="false">IF(B2119="","",IF(H2119&lt;&gt;"",H2119,F2119))</f>
        <v/>
      </c>
      <c r="K2119" s="26" t="str">
        <f aca="false">IF(A2119="","",DATE(YEAR(A2119),MONTH(A2119),1))</f>
        <v/>
      </c>
      <c r="L2119" s="21" t="str">
        <f aca="false">IF(J2119="",IF(B2119="","",IF(N(C2119)&gt;=0,"Income","Expense")),IFERROR(INDEX(Lists!$B$2:$B$30,MATCH(J2119,Lists!$A$2:$A$30,0)),""))</f>
        <v/>
      </c>
      <c r="M2119" s="24"/>
      <c r="N2119" s="27" t="str">
        <f aca="false">IF(B2119="","",IFERROR(1000-SUMPRODUCT(MAX(ISNUMBER(SEARCH(Rules!$A$5:$A$204,B2119))*(Rules!$A$5:$A$204&lt;&gt;"")*(1000-ROW(Rules!$A$5:$A$204)))),""))</f>
        <v/>
      </c>
    </row>
    <row r="2120" customFormat="false" ht="15" hidden="false" customHeight="false" outlineLevel="0" collapsed="false">
      <c r="A2120" s="23"/>
      <c r="B2120" s="24"/>
      <c r="C2120" s="25"/>
      <c r="D2120" s="24"/>
      <c r="E2120" s="21" t="str">
        <f aca="false">IF(OR(B2120="",N(N2120)=0,N2120=1000),IF(B2120="","","Check"),INDEX(Rules!$B:$B,N2120))</f>
        <v/>
      </c>
      <c r="F2120" s="21" t="str">
        <f aca="false">IF(OR(B2120="",N(N2120)=0,N2120=1000),"",INDEX(Rules!$C:$C,N2120))</f>
        <v/>
      </c>
      <c r="G2120" s="24"/>
      <c r="H2120" s="24"/>
      <c r="I2120" s="20" t="str">
        <f aca="false">IF(B2120="","",IF(G2120&lt;&gt;"",G2120,E2120))</f>
        <v/>
      </c>
      <c r="J2120" s="21" t="str">
        <f aca="false">IF(B2120="","",IF(H2120&lt;&gt;"",H2120,F2120))</f>
        <v/>
      </c>
      <c r="K2120" s="26" t="str">
        <f aca="false">IF(A2120="","",DATE(YEAR(A2120),MONTH(A2120),1))</f>
        <v/>
      </c>
      <c r="L2120" s="21" t="str">
        <f aca="false">IF(J2120="",IF(B2120="","",IF(N(C2120)&gt;=0,"Income","Expense")),IFERROR(INDEX(Lists!$B$2:$B$30,MATCH(J2120,Lists!$A$2:$A$30,0)),""))</f>
        <v/>
      </c>
      <c r="M2120" s="24"/>
      <c r="N2120" s="27" t="str">
        <f aca="false">IF(B2120="","",IFERROR(1000-SUMPRODUCT(MAX(ISNUMBER(SEARCH(Rules!$A$5:$A$204,B2120))*(Rules!$A$5:$A$204&lt;&gt;"")*(1000-ROW(Rules!$A$5:$A$204)))),""))</f>
        <v/>
      </c>
    </row>
    <row r="2121" customFormat="false" ht="15" hidden="false" customHeight="false" outlineLevel="0" collapsed="false">
      <c r="A2121" s="23"/>
      <c r="B2121" s="24"/>
      <c r="C2121" s="25"/>
      <c r="D2121" s="24"/>
      <c r="E2121" s="21" t="str">
        <f aca="false">IF(OR(B2121="",N(N2121)=0,N2121=1000),IF(B2121="","","Check"),INDEX(Rules!$B:$B,N2121))</f>
        <v/>
      </c>
      <c r="F2121" s="21" t="str">
        <f aca="false">IF(OR(B2121="",N(N2121)=0,N2121=1000),"",INDEX(Rules!$C:$C,N2121))</f>
        <v/>
      </c>
      <c r="G2121" s="24"/>
      <c r="H2121" s="24"/>
      <c r="I2121" s="20" t="str">
        <f aca="false">IF(B2121="","",IF(G2121&lt;&gt;"",G2121,E2121))</f>
        <v/>
      </c>
      <c r="J2121" s="21" t="str">
        <f aca="false">IF(B2121="","",IF(H2121&lt;&gt;"",H2121,F2121))</f>
        <v/>
      </c>
      <c r="K2121" s="26" t="str">
        <f aca="false">IF(A2121="","",DATE(YEAR(A2121),MONTH(A2121),1))</f>
        <v/>
      </c>
      <c r="L2121" s="21" t="str">
        <f aca="false">IF(J2121="",IF(B2121="","",IF(N(C2121)&gt;=0,"Income","Expense")),IFERROR(INDEX(Lists!$B$2:$B$30,MATCH(J2121,Lists!$A$2:$A$30,0)),""))</f>
        <v/>
      </c>
      <c r="M2121" s="24"/>
      <c r="N2121" s="27" t="str">
        <f aca="false">IF(B2121="","",IFERROR(1000-SUMPRODUCT(MAX(ISNUMBER(SEARCH(Rules!$A$5:$A$204,B2121))*(Rules!$A$5:$A$204&lt;&gt;"")*(1000-ROW(Rules!$A$5:$A$204)))),""))</f>
        <v/>
      </c>
    </row>
    <row r="2122" customFormat="false" ht="15" hidden="false" customHeight="false" outlineLevel="0" collapsed="false">
      <c r="A2122" s="23"/>
      <c r="B2122" s="24"/>
      <c r="C2122" s="25"/>
      <c r="D2122" s="24"/>
      <c r="E2122" s="21" t="str">
        <f aca="false">IF(OR(B2122="",N(N2122)=0,N2122=1000),IF(B2122="","","Check"),INDEX(Rules!$B:$B,N2122))</f>
        <v/>
      </c>
      <c r="F2122" s="21" t="str">
        <f aca="false">IF(OR(B2122="",N(N2122)=0,N2122=1000),"",INDEX(Rules!$C:$C,N2122))</f>
        <v/>
      </c>
      <c r="G2122" s="24"/>
      <c r="H2122" s="24"/>
      <c r="I2122" s="20" t="str">
        <f aca="false">IF(B2122="","",IF(G2122&lt;&gt;"",G2122,E2122))</f>
        <v/>
      </c>
      <c r="J2122" s="21" t="str">
        <f aca="false">IF(B2122="","",IF(H2122&lt;&gt;"",H2122,F2122))</f>
        <v/>
      </c>
      <c r="K2122" s="26" t="str">
        <f aca="false">IF(A2122="","",DATE(YEAR(A2122),MONTH(A2122),1))</f>
        <v/>
      </c>
      <c r="L2122" s="21" t="str">
        <f aca="false">IF(J2122="",IF(B2122="","",IF(N(C2122)&gt;=0,"Income","Expense")),IFERROR(INDEX(Lists!$B$2:$B$30,MATCH(J2122,Lists!$A$2:$A$30,0)),""))</f>
        <v/>
      </c>
      <c r="M2122" s="24"/>
      <c r="N2122" s="27" t="str">
        <f aca="false">IF(B2122="","",IFERROR(1000-SUMPRODUCT(MAX(ISNUMBER(SEARCH(Rules!$A$5:$A$204,B2122))*(Rules!$A$5:$A$204&lt;&gt;"")*(1000-ROW(Rules!$A$5:$A$204)))),""))</f>
        <v/>
      </c>
    </row>
    <row r="2123" customFormat="false" ht="15" hidden="false" customHeight="false" outlineLevel="0" collapsed="false">
      <c r="A2123" s="23"/>
      <c r="B2123" s="24"/>
      <c r="C2123" s="25"/>
      <c r="D2123" s="24"/>
      <c r="E2123" s="21" t="str">
        <f aca="false">IF(OR(B2123="",N(N2123)=0,N2123=1000),IF(B2123="","","Check"),INDEX(Rules!$B:$B,N2123))</f>
        <v/>
      </c>
      <c r="F2123" s="21" t="str">
        <f aca="false">IF(OR(B2123="",N(N2123)=0,N2123=1000),"",INDEX(Rules!$C:$C,N2123))</f>
        <v/>
      </c>
      <c r="G2123" s="24"/>
      <c r="H2123" s="24"/>
      <c r="I2123" s="20" t="str">
        <f aca="false">IF(B2123="","",IF(G2123&lt;&gt;"",G2123,E2123))</f>
        <v/>
      </c>
      <c r="J2123" s="21" t="str">
        <f aca="false">IF(B2123="","",IF(H2123&lt;&gt;"",H2123,F2123))</f>
        <v/>
      </c>
      <c r="K2123" s="26" t="str">
        <f aca="false">IF(A2123="","",DATE(YEAR(A2123),MONTH(A2123),1))</f>
        <v/>
      </c>
      <c r="L2123" s="21" t="str">
        <f aca="false">IF(J2123="",IF(B2123="","",IF(N(C2123)&gt;=0,"Income","Expense")),IFERROR(INDEX(Lists!$B$2:$B$30,MATCH(J2123,Lists!$A$2:$A$30,0)),""))</f>
        <v/>
      </c>
      <c r="M2123" s="24"/>
      <c r="N2123" s="27" t="str">
        <f aca="false">IF(B2123="","",IFERROR(1000-SUMPRODUCT(MAX(ISNUMBER(SEARCH(Rules!$A$5:$A$204,B2123))*(Rules!$A$5:$A$204&lt;&gt;"")*(1000-ROW(Rules!$A$5:$A$204)))),""))</f>
        <v/>
      </c>
    </row>
    <row r="2124" customFormat="false" ht="15" hidden="false" customHeight="false" outlineLevel="0" collapsed="false">
      <c r="A2124" s="23"/>
      <c r="B2124" s="24"/>
      <c r="C2124" s="25"/>
      <c r="D2124" s="24"/>
      <c r="E2124" s="21" t="str">
        <f aca="false">IF(OR(B2124="",N(N2124)=0,N2124=1000),IF(B2124="","","Check"),INDEX(Rules!$B:$B,N2124))</f>
        <v/>
      </c>
      <c r="F2124" s="21" t="str">
        <f aca="false">IF(OR(B2124="",N(N2124)=0,N2124=1000),"",INDEX(Rules!$C:$C,N2124))</f>
        <v/>
      </c>
      <c r="G2124" s="24"/>
      <c r="H2124" s="24"/>
      <c r="I2124" s="20" t="str">
        <f aca="false">IF(B2124="","",IF(G2124&lt;&gt;"",G2124,E2124))</f>
        <v/>
      </c>
      <c r="J2124" s="21" t="str">
        <f aca="false">IF(B2124="","",IF(H2124&lt;&gt;"",H2124,F2124))</f>
        <v/>
      </c>
      <c r="K2124" s="26" t="str">
        <f aca="false">IF(A2124="","",DATE(YEAR(A2124),MONTH(A2124),1))</f>
        <v/>
      </c>
      <c r="L2124" s="21" t="str">
        <f aca="false">IF(J2124="",IF(B2124="","",IF(N(C2124)&gt;=0,"Income","Expense")),IFERROR(INDEX(Lists!$B$2:$B$30,MATCH(J2124,Lists!$A$2:$A$30,0)),""))</f>
        <v/>
      </c>
      <c r="M2124" s="24"/>
      <c r="N2124" s="27" t="str">
        <f aca="false">IF(B2124="","",IFERROR(1000-SUMPRODUCT(MAX(ISNUMBER(SEARCH(Rules!$A$5:$A$204,B2124))*(Rules!$A$5:$A$204&lt;&gt;"")*(1000-ROW(Rules!$A$5:$A$204)))),""))</f>
        <v/>
      </c>
    </row>
    <row r="2125" customFormat="false" ht="15" hidden="false" customHeight="false" outlineLevel="0" collapsed="false">
      <c r="A2125" s="23"/>
      <c r="B2125" s="24"/>
      <c r="C2125" s="25"/>
      <c r="D2125" s="24"/>
      <c r="E2125" s="21" t="str">
        <f aca="false">IF(OR(B2125="",N(N2125)=0,N2125=1000),IF(B2125="","","Check"),INDEX(Rules!$B:$B,N2125))</f>
        <v/>
      </c>
      <c r="F2125" s="21" t="str">
        <f aca="false">IF(OR(B2125="",N(N2125)=0,N2125=1000),"",INDEX(Rules!$C:$C,N2125))</f>
        <v/>
      </c>
      <c r="G2125" s="24"/>
      <c r="H2125" s="24"/>
      <c r="I2125" s="20" t="str">
        <f aca="false">IF(B2125="","",IF(G2125&lt;&gt;"",G2125,E2125))</f>
        <v/>
      </c>
      <c r="J2125" s="21" t="str">
        <f aca="false">IF(B2125="","",IF(H2125&lt;&gt;"",H2125,F2125))</f>
        <v/>
      </c>
      <c r="K2125" s="26" t="str">
        <f aca="false">IF(A2125="","",DATE(YEAR(A2125),MONTH(A2125),1))</f>
        <v/>
      </c>
      <c r="L2125" s="21" t="str">
        <f aca="false">IF(J2125="",IF(B2125="","",IF(N(C2125)&gt;=0,"Income","Expense")),IFERROR(INDEX(Lists!$B$2:$B$30,MATCH(J2125,Lists!$A$2:$A$30,0)),""))</f>
        <v/>
      </c>
      <c r="M2125" s="24"/>
      <c r="N2125" s="27" t="str">
        <f aca="false">IF(B2125="","",IFERROR(1000-SUMPRODUCT(MAX(ISNUMBER(SEARCH(Rules!$A$5:$A$204,B2125))*(Rules!$A$5:$A$204&lt;&gt;"")*(1000-ROW(Rules!$A$5:$A$204)))),""))</f>
        <v/>
      </c>
    </row>
    <row r="2126" customFormat="false" ht="15" hidden="false" customHeight="false" outlineLevel="0" collapsed="false">
      <c r="A2126" s="23"/>
      <c r="B2126" s="24"/>
      <c r="C2126" s="25"/>
      <c r="D2126" s="24"/>
      <c r="E2126" s="21" t="str">
        <f aca="false">IF(OR(B2126="",N(N2126)=0,N2126=1000),IF(B2126="","","Check"),INDEX(Rules!$B:$B,N2126))</f>
        <v/>
      </c>
      <c r="F2126" s="21" t="str">
        <f aca="false">IF(OR(B2126="",N(N2126)=0,N2126=1000),"",INDEX(Rules!$C:$C,N2126))</f>
        <v/>
      </c>
      <c r="G2126" s="24"/>
      <c r="H2126" s="24"/>
      <c r="I2126" s="20" t="str">
        <f aca="false">IF(B2126="","",IF(G2126&lt;&gt;"",G2126,E2126))</f>
        <v/>
      </c>
      <c r="J2126" s="21" t="str">
        <f aca="false">IF(B2126="","",IF(H2126&lt;&gt;"",H2126,F2126))</f>
        <v/>
      </c>
      <c r="K2126" s="26" t="str">
        <f aca="false">IF(A2126="","",DATE(YEAR(A2126),MONTH(A2126),1))</f>
        <v/>
      </c>
      <c r="L2126" s="21" t="str">
        <f aca="false">IF(J2126="",IF(B2126="","",IF(N(C2126)&gt;=0,"Income","Expense")),IFERROR(INDEX(Lists!$B$2:$B$30,MATCH(J2126,Lists!$A$2:$A$30,0)),""))</f>
        <v/>
      </c>
      <c r="M2126" s="24"/>
      <c r="N2126" s="27" t="str">
        <f aca="false">IF(B2126="","",IFERROR(1000-SUMPRODUCT(MAX(ISNUMBER(SEARCH(Rules!$A$5:$A$204,B2126))*(Rules!$A$5:$A$204&lt;&gt;"")*(1000-ROW(Rules!$A$5:$A$204)))),""))</f>
        <v/>
      </c>
    </row>
    <row r="2127" customFormat="false" ht="15" hidden="false" customHeight="false" outlineLevel="0" collapsed="false">
      <c r="A2127" s="23"/>
      <c r="B2127" s="24"/>
      <c r="C2127" s="25"/>
      <c r="D2127" s="24"/>
      <c r="E2127" s="21" t="str">
        <f aca="false">IF(OR(B2127="",N(N2127)=0,N2127=1000),IF(B2127="","","Check"),INDEX(Rules!$B:$B,N2127))</f>
        <v/>
      </c>
      <c r="F2127" s="21" t="str">
        <f aca="false">IF(OR(B2127="",N(N2127)=0,N2127=1000),"",INDEX(Rules!$C:$C,N2127))</f>
        <v/>
      </c>
      <c r="G2127" s="24"/>
      <c r="H2127" s="24"/>
      <c r="I2127" s="20" t="str">
        <f aca="false">IF(B2127="","",IF(G2127&lt;&gt;"",G2127,E2127))</f>
        <v/>
      </c>
      <c r="J2127" s="21" t="str">
        <f aca="false">IF(B2127="","",IF(H2127&lt;&gt;"",H2127,F2127))</f>
        <v/>
      </c>
      <c r="K2127" s="26" t="str">
        <f aca="false">IF(A2127="","",DATE(YEAR(A2127),MONTH(A2127),1))</f>
        <v/>
      </c>
      <c r="L2127" s="21" t="str">
        <f aca="false">IF(J2127="",IF(B2127="","",IF(N(C2127)&gt;=0,"Income","Expense")),IFERROR(INDEX(Lists!$B$2:$B$30,MATCH(J2127,Lists!$A$2:$A$30,0)),""))</f>
        <v/>
      </c>
      <c r="M2127" s="24"/>
      <c r="N2127" s="27" t="str">
        <f aca="false">IF(B2127="","",IFERROR(1000-SUMPRODUCT(MAX(ISNUMBER(SEARCH(Rules!$A$5:$A$204,B2127))*(Rules!$A$5:$A$204&lt;&gt;"")*(1000-ROW(Rules!$A$5:$A$204)))),""))</f>
        <v/>
      </c>
    </row>
    <row r="2128" customFormat="false" ht="15" hidden="false" customHeight="false" outlineLevel="0" collapsed="false">
      <c r="A2128" s="23"/>
      <c r="B2128" s="24"/>
      <c r="C2128" s="25"/>
      <c r="D2128" s="24"/>
      <c r="E2128" s="21" t="str">
        <f aca="false">IF(OR(B2128="",N(N2128)=0,N2128=1000),IF(B2128="","","Check"),INDEX(Rules!$B:$B,N2128))</f>
        <v/>
      </c>
      <c r="F2128" s="21" t="str">
        <f aca="false">IF(OR(B2128="",N(N2128)=0,N2128=1000),"",INDEX(Rules!$C:$C,N2128))</f>
        <v/>
      </c>
      <c r="G2128" s="24"/>
      <c r="H2128" s="24"/>
      <c r="I2128" s="20" t="str">
        <f aca="false">IF(B2128="","",IF(G2128&lt;&gt;"",G2128,E2128))</f>
        <v/>
      </c>
      <c r="J2128" s="21" t="str">
        <f aca="false">IF(B2128="","",IF(H2128&lt;&gt;"",H2128,F2128))</f>
        <v/>
      </c>
      <c r="K2128" s="26" t="str">
        <f aca="false">IF(A2128="","",DATE(YEAR(A2128),MONTH(A2128),1))</f>
        <v/>
      </c>
      <c r="L2128" s="21" t="str">
        <f aca="false">IF(J2128="",IF(B2128="","",IF(N(C2128)&gt;=0,"Income","Expense")),IFERROR(INDEX(Lists!$B$2:$B$30,MATCH(J2128,Lists!$A$2:$A$30,0)),""))</f>
        <v/>
      </c>
      <c r="M2128" s="24"/>
      <c r="N2128" s="27" t="str">
        <f aca="false">IF(B2128="","",IFERROR(1000-SUMPRODUCT(MAX(ISNUMBER(SEARCH(Rules!$A$5:$A$204,B2128))*(Rules!$A$5:$A$204&lt;&gt;"")*(1000-ROW(Rules!$A$5:$A$204)))),""))</f>
        <v/>
      </c>
    </row>
    <row r="2129" customFormat="false" ht="15" hidden="false" customHeight="false" outlineLevel="0" collapsed="false">
      <c r="A2129" s="23"/>
      <c r="B2129" s="24"/>
      <c r="C2129" s="25"/>
      <c r="D2129" s="24"/>
      <c r="E2129" s="21" t="str">
        <f aca="false">IF(OR(B2129="",N(N2129)=0,N2129=1000),IF(B2129="","","Check"),INDEX(Rules!$B:$B,N2129))</f>
        <v/>
      </c>
      <c r="F2129" s="21" t="str">
        <f aca="false">IF(OR(B2129="",N(N2129)=0,N2129=1000),"",INDEX(Rules!$C:$C,N2129))</f>
        <v/>
      </c>
      <c r="G2129" s="24"/>
      <c r="H2129" s="24"/>
      <c r="I2129" s="20" t="str">
        <f aca="false">IF(B2129="","",IF(G2129&lt;&gt;"",G2129,E2129))</f>
        <v/>
      </c>
      <c r="J2129" s="21" t="str">
        <f aca="false">IF(B2129="","",IF(H2129&lt;&gt;"",H2129,F2129))</f>
        <v/>
      </c>
      <c r="K2129" s="26" t="str">
        <f aca="false">IF(A2129="","",DATE(YEAR(A2129),MONTH(A2129),1))</f>
        <v/>
      </c>
      <c r="L2129" s="21" t="str">
        <f aca="false">IF(J2129="",IF(B2129="","",IF(N(C2129)&gt;=0,"Income","Expense")),IFERROR(INDEX(Lists!$B$2:$B$30,MATCH(J2129,Lists!$A$2:$A$30,0)),""))</f>
        <v/>
      </c>
      <c r="M2129" s="24"/>
      <c r="N2129" s="27" t="str">
        <f aca="false">IF(B2129="","",IFERROR(1000-SUMPRODUCT(MAX(ISNUMBER(SEARCH(Rules!$A$5:$A$204,B2129))*(Rules!$A$5:$A$204&lt;&gt;"")*(1000-ROW(Rules!$A$5:$A$204)))),""))</f>
        <v/>
      </c>
    </row>
    <row r="2130" customFormat="false" ht="15" hidden="false" customHeight="false" outlineLevel="0" collapsed="false">
      <c r="A2130" s="23"/>
      <c r="B2130" s="24"/>
      <c r="C2130" s="25"/>
      <c r="D2130" s="24"/>
      <c r="E2130" s="21" t="str">
        <f aca="false">IF(OR(B2130="",N(N2130)=0,N2130=1000),IF(B2130="","","Check"),INDEX(Rules!$B:$B,N2130))</f>
        <v/>
      </c>
      <c r="F2130" s="21" t="str">
        <f aca="false">IF(OR(B2130="",N(N2130)=0,N2130=1000),"",INDEX(Rules!$C:$C,N2130))</f>
        <v/>
      </c>
      <c r="G2130" s="24"/>
      <c r="H2130" s="24"/>
      <c r="I2130" s="20" t="str">
        <f aca="false">IF(B2130="","",IF(G2130&lt;&gt;"",G2130,E2130))</f>
        <v/>
      </c>
      <c r="J2130" s="21" t="str">
        <f aca="false">IF(B2130="","",IF(H2130&lt;&gt;"",H2130,F2130))</f>
        <v/>
      </c>
      <c r="K2130" s="26" t="str">
        <f aca="false">IF(A2130="","",DATE(YEAR(A2130),MONTH(A2130),1))</f>
        <v/>
      </c>
      <c r="L2130" s="21" t="str">
        <f aca="false">IF(J2130="",IF(B2130="","",IF(N(C2130)&gt;=0,"Income","Expense")),IFERROR(INDEX(Lists!$B$2:$B$30,MATCH(J2130,Lists!$A$2:$A$30,0)),""))</f>
        <v/>
      </c>
      <c r="M2130" s="24"/>
      <c r="N2130" s="27" t="str">
        <f aca="false">IF(B2130="","",IFERROR(1000-SUMPRODUCT(MAX(ISNUMBER(SEARCH(Rules!$A$5:$A$204,B2130))*(Rules!$A$5:$A$204&lt;&gt;"")*(1000-ROW(Rules!$A$5:$A$204)))),""))</f>
        <v/>
      </c>
    </row>
    <row r="2131" customFormat="false" ht="15" hidden="false" customHeight="false" outlineLevel="0" collapsed="false">
      <c r="A2131" s="23"/>
      <c r="B2131" s="24"/>
      <c r="C2131" s="25"/>
      <c r="D2131" s="24"/>
      <c r="E2131" s="21" t="str">
        <f aca="false">IF(OR(B2131="",N(N2131)=0,N2131=1000),IF(B2131="","","Check"),INDEX(Rules!$B:$B,N2131))</f>
        <v/>
      </c>
      <c r="F2131" s="21" t="str">
        <f aca="false">IF(OR(B2131="",N(N2131)=0,N2131=1000),"",INDEX(Rules!$C:$C,N2131))</f>
        <v/>
      </c>
      <c r="G2131" s="24"/>
      <c r="H2131" s="24"/>
      <c r="I2131" s="20" t="str">
        <f aca="false">IF(B2131="","",IF(G2131&lt;&gt;"",G2131,E2131))</f>
        <v/>
      </c>
      <c r="J2131" s="21" t="str">
        <f aca="false">IF(B2131="","",IF(H2131&lt;&gt;"",H2131,F2131))</f>
        <v/>
      </c>
      <c r="K2131" s="26" t="str">
        <f aca="false">IF(A2131="","",DATE(YEAR(A2131),MONTH(A2131),1))</f>
        <v/>
      </c>
      <c r="L2131" s="21" t="str">
        <f aca="false">IF(J2131="",IF(B2131="","",IF(N(C2131)&gt;=0,"Income","Expense")),IFERROR(INDEX(Lists!$B$2:$B$30,MATCH(J2131,Lists!$A$2:$A$30,0)),""))</f>
        <v/>
      </c>
      <c r="M2131" s="24"/>
      <c r="N2131" s="27" t="str">
        <f aca="false">IF(B2131="","",IFERROR(1000-SUMPRODUCT(MAX(ISNUMBER(SEARCH(Rules!$A$5:$A$204,B2131))*(Rules!$A$5:$A$204&lt;&gt;"")*(1000-ROW(Rules!$A$5:$A$204)))),""))</f>
        <v/>
      </c>
    </row>
    <row r="2132" customFormat="false" ht="15" hidden="false" customHeight="false" outlineLevel="0" collapsed="false">
      <c r="A2132" s="23"/>
      <c r="B2132" s="24"/>
      <c r="C2132" s="25"/>
      <c r="D2132" s="24"/>
      <c r="E2132" s="21" t="str">
        <f aca="false">IF(OR(B2132="",N(N2132)=0,N2132=1000),IF(B2132="","","Check"),INDEX(Rules!$B:$B,N2132))</f>
        <v/>
      </c>
      <c r="F2132" s="21" t="str">
        <f aca="false">IF(OR(B2132="",N(N2132)=0,N2132=1000),"",INDEX(Rules!$C:$C,N2132))</f>
        <v/>
      </c>
      <c r="G2132" s="24"/>
      <c r="H2132" s="24"/>
      <c r="I2132" s="20" t="str">
        <f aca="false">IF(B2132="","",IF(G2132&lt;&gt;"",G2132,E2132))</f>
        <v/>
      </c>
      <c r="J2132" s="21" t="str">
        <f aca="false">IF(B2132="","",IF(H2132&lt;&gt;"",H2132,F2132))</f>
        <v/>
      </c>
      <c r="K2132" s="26" t="str">
        <f aca="false">IF(A2132="","",DATE(YEAR(A2132),MONTH(A2132),1))</f>
        <v/>
      </c>
      <c r="L2132" s="21" t="str">
        <f aca="false">IF(J2132="",IF(B2132="","",IF(N(C2132)&gt;=0,"Income","Expense")),IFERROR(INDEX(Lists!$B$2:$B$30,MATCH(J2132,Lists!$A$2:$A$30,0)),""))</f>
        <v/>
      </c>
      <c r="M2132" s="24"/>
      <c r="N2132" s="27" t="str">
        <f aca="false">IF(B2132="","",IFERROR(1000-SUMPRODUCT(MAX(ISNUMBER(SEARCH(Rules!$A$5:$A$204,B2132))*(Rules!$A$5:$A$204&lt;&gt;"")*(1000-ROW(Rules!$A$5:$A$204)))),""))</f>
        <v/>
      </c>
    </row>
    <row r="2133" customFormat="false" ht="15" hidden="false" customHeight="false" outlineLevel="0" collapsed="false">
      <c r="A2133" s="23"/>
      <c r="B2133" s="24"/>
      <c r="C2133" s="25"/>
      <c r="D2133" s="24"/>
      <c r="E2133" s="21" t="str">
        <f aca="false">IF(OR(B2133="",N(N2133)=0,N2133=1000),IF(B2133="","","Check"),INDEX(Rules!$B:$B,N2133))</f>
        <v/>
      </c>
      <c r="F2133" s="21" t="str">
        <f aca="false">IF(OR(B2133="",N(N2133)=0,N2133=1000),"",INDEX(Rules!$C:$C,N2133))</f>
        <v/>
      </c>
      <c r="G2133" s="24"/>
      <c r="H2133" s="24"/>
      <c r="I2133" s="20" t="str">
        <f aca="false">IF(B2133="","",IF(G2133&lt;&gt;"",G2133,E2133))</f>
        <v/>
      </c>
      <c r="J2133" s="21" t="str">
        <f aca="false">IF(B2133="","",IF(H2133&lt;&gt;"",H2133,F2133))</f>
        <v/>
      </c>
      <c r="K2133" s="26" t="str">
        <f aca="false">IF(A2133="","",DATE(YEAR(A2133),MONTH(A2133),1))</f>
        <v/>
      </c>
      <c r="L2133" s="21" t="str">
        <f aca="false">IF(J2133="",IF(B2133="","",IF(N(C2133)&gt;=0,"Income","Expense")),IFERROR(INDEX(Lists!$B$2:$B$30,MATCH(J2133,Lists!$A$2:$A$30,0)),""))</f>
        <v/>
      </c>
      <c r="M2133" s="24"/>
      <c r="N2133" s="27" t="str">
        <f aca="false">IF(B2133="","",IFERROR(1000-SUMPRODUCT(MAX(ISNUMBER(SEARCH(Rules!$A$5:$A$204,B2133))*(Rules!$A$5:$A$204&lt;&gt;"")*(1000-ROW(Rules!$A$5:$A$204)))),""))</f>
        <v/>
      </c>
    </row>
    <row r="2134" customFormat="false" ht="15" hidden="false" customHeight="false" outlineLevel="0" collapsed="false">
      <c r="A2134" s="23"/>
      <c r="B2134" s="24"/>
      <c r="C2134" s="25"/>
      <c r="D2134" s="24"/>
      <c r="E2134" s="21" t="str">
        <f aca="false">IF(OR(B2134="",N(N2134)=0,N2134=1000),IF(B2134="","","Check"),INDEX(Rules!$B:$B,N2134))</f>
        <v/>
      </c>
      <c r="F2134" s="21" t="str">
        <f aca="false">IF(OR(B2134="",N(N2134)=0,N2134=1000),"",INDEX(Rules!$C:$C,N2134))</f>
        <v/>
      </c>
      <c r="G2134" s="24"/>
      <c r="H2134" s="24"/>
      <c r="I2134" s="20" t="str">
        <f aca="false">IF(B2134="","",IF(G2134&lt;&gt;"",G2134,E2134))</f>
        <v/>
      </c>
      <c r="J2134" s="21" t="str">
        <f aca="false">IF(B2134="","",IF(H2134&lt;&gt;"",H2134,F2134))</f>
        <v/>
      </c>
      <c r="K2134" s="26" t="str">
        <f aca="false">IF(A2134="","",DATE(YEAR(A2134),MONTH(A2134),1))</f>
        <v/>
      </c>
      <c r="L2134" s="21" t="str">
        <f aca="false">IF(J2134="",IF(B2134="","",IF(N(C2134)&gt;=0,"Income","Expense")),IFERROR(INDEX(Lists!$B$2:$B$30,MATCH(J2134,Lists!$A$2:$A$30,0)),""))</f>
        <v/>
      </c>
      <c r="M2134" s="24"/>
      <c r="N2134" s="27" t="str">
        <f aca="false">IF(B2134="","",IFERROR(1000-SUMPRODUCT(MAX(ISNUMBER(SEARCH(Rules!$A$5:$A$204,B2134))*(Rules!$A$5:$A$204&lt;&gt;"")*(1000-ROW(Rules!$A$5:$A$204)))),""))</f>
        <v/>
      </c>
    </row>
    <row r="2135" customFormat="false" ht="15" hidden="false" customHeight="false" outlineLevel="0" collapsed="false">
      <c r="A2135" s="23"/>
      <c r="B2135" s="24"/>
      <c r="C2135" s="25"/>
      <c r="D2135" s="24"/>
      <c r="E2135" s="21" t="str">
        <f aca="false">IF(OR(B2135="",N(N2135)=0,N2135=1000),IF(B2135="","","Check"),INDEX(Rules!$B:$B,N2135))</f>
        <v/>
      </c>
      <c r="F2135" s="21" t="str">
        <f aca="false">IF(OR(B2135="",N(N2135)=0,N2135=1000),"",INDEX(Rules!$C:$C,N2135))</f>
        <v/>
      </c>
      <c r="G2135" s="24"/>
      <c r="H2135" s="24"/>
      <c r="I2135" s="20" t="str">
        <f aca="false">IF(B2135="","",IF(G2135&lt;&gt;"",G2135,E2135))</f>
        <v/>
      </c>
      <c r="J2135" s="21" t="str">
        <f aca="false">IF(B2135="","",IF(H2135&lt;&gt;"",H2135,F2135))</f>
        <v/>
      </c>
      <c r="K2135" s="26" t="str">
        <f aca="false">IF(A2135="","",DATE(YEAR(A2135),MONTH(A2135),1))</f>
        <v/>
      </c>
      <c r="L2135" s="21" t="str">
        <f aca="false">IF(J2135="",IF(B2135="","",IF(N(C2135)&gt;=0,"Income","Expense")),IFERROR(INDEX(Lists!$B$2:$B$30,MATCH(J2135,Lists!$A$2:$A$30,0)),""))</f>
        <v/>
      </c>
      <c r="M2135" s="24"/>
      <c r="N2135" s="27" t="str">
        <f aca="false">IF(B2135="","",IFERROR(1000-SUMPRODUCT(MAX(ISNUMBER(SEARCH(Rules!$A$5:$A$204,B2135))*(Rules!$A$5:$A$204&lt;&gt;"")*(1000-ROW(Rules!$A$5:$A$204)))),""))</f>
        <v/>
      </c>
    </row>
    <row r="2136" customFormat="false" ht="15" hidden="false" customHeight="false" outlineLevel="0" collapsed="false">
      <c r="A2136" s="23"/>
      <c r="B2136" s="24"/>
      <c r="C2136" s="25"/>
      <c r="D2136" s="24"/>
      <c r="E2136" s="21" t="str">
        <f aca="false">IF(OR(B2136="",N(N2136)=0,N2136=1000),IF(B2136="","","Check"),INDEX(Rules!$B:$B,N2136))</f>
        <v/>
      </c>
      <c r="F2136" s="21" t="str">
        <f aca="false">IF(OR(B2136="",N(N2136)=0,N2136=1000),"",INDEX(Rules!$C:$C,N2136))</f>
        <v/>
      </c>
      <c r="G2136" s="24"/>
      <c r="H2136" s="24"/>
      <c r="I2136" s="20" t="str">
        <f aca="false">IF(B2136="","",IF(G2136&lt;&gt;"",G2136,E2136))</f>
        <v/>
      </c>
      <c r="J2136" s="21" t="str">
        <f aca="false">IF(B2136="","",IF(H2136&lt;&gt;"",H2136,F2136))</f>
        <v/>
      </c>
      <c r="K2136" s="26" t="str">
        <f aca="false">IF(A2136="","",DATE(YEAR(A2136),MONTH(A2136),1))</f>
        <v/>
      </c>
      <c r="L2136" s="21" t="str">
        <f aca="false">IF(J2136="",IF(B2136="","",IF(N(C2136)&gt;=0,"Income","Expense")),IFERROR(INDEX(Lists!$B$2:$B$30,MATCH(J2136,Lists!$A$2:$A$30,0)),""))</f>
        <v/>
      </c>
      <c r="M2136" s="24"/>
      <c r="N2136" s="27" t="str">
        <f aca="false">IF(B2136="","",IFERROR(1000-SUMPRODUCT(MAX(ISNUMBER(SEARCH(Rules!$A$5:$A$204,B2136))*(Rules!$A$5:$A$204&lt;&gt;"")*(1000-ROW(Rules!$A$5:$A$204)))),""))</f>
        <v/>
      </c>
    </row>
    <row r="2137" customFormat="false" ht="15" hidden="false" customHeight="false" outlineLevel="0" collapsed="false">
      <c r="A2137" s="23"/>
      <c r="B2137" s="24"/>
      <c r="C2137" s="25"/>
      <c r="D2137" s="24"/>
      <c r="E2137" s="21" t="str">
        <f aca="false">IF(OR(B2137="",N(N2137)=0,N2137=1000),IF(B2137="","","Check"),INDEX(Rules!$B:$B,N2137))</f>
        <v/>
      </c>
      <c r="F2137" s="21" t="str">
        <f aca="false">IF(OR(B2137="",N(N2137)=0,N2137=1000),"",INDEX(Rules!$C:$C,N2137))</f>
        <v/>
      </c>
      <c r="G2137" s="24"/>
      <c r="H2137" s="24"/>
      <c r="I2137" s="20" t="str">
        <f aca="false">IF(B2137="","",IF(G2137&lt;&gt;"",G2137,E2137))</f>
        <v/>
      </c>
      <c r="J2137" s="21" t="str">
        <f aca="false">IF(B2137="","",IF(H2137&lt;&gt;"",H2137,F2137))</f>
        <v/>
      </c>
      <c r="K2137" s="26" t="str">
        <f aca="false">IF(A2137="","",DATE(YEAR(A2137),MONTH(A2137),1))</f>
        <v/>
      </c>
      <c r="L2137" s="21" t="str">
        <f aca="false">IF(J2137="",IF(B2137="","",IF(N(C2137)&gt;=0,"Income","Expense")),IFERROR(INDEX(Lists!$B$2:$B$30,MATCH(J2137,Lists!$A$2:$A$30,0)),""))</f>
        <v/>
      </c>
      <c r="M2137" s="24"/>
      <c r="N2137" s="27" t="str">
        <f aca="false">IF(B2137="","",IFERROR(1000-SUMPRODUCT(MAX(ISNUMBER(SEARCH(Rules!$A$5:$A$204,B2137))*(Rules!$A$5:$A$204&lt;&gt;"")*(1000-ROW(Rules!$A$5:$A$204)))),""))</f>
        <v/>
      </c>
    </row>
    <row r="2138" customFormat="false" ht="15" hidden="false" customHeight="false" outlineLevel="0" collapsed="false">
      <c r="A2138" s="23"/>
      <c r="B2138" s="24"/>
      <c r="C2138" s="25"/>
      <c r="D2138" s="24"/>
      <c r="E2138" s="21" t="str">
        <f aca="false">IF(OR(B2138="",N(N2138)=0,N2138=1000),IF(B2138="","","Check"),INDEX(Rules!$B:$B,N2138))</f>
        <v/>
      </c>
      <c r="F2138" s="21" t="str">
        <f aca="false">IF(OR(B2138="",N(N2138)=0,N2138=1000),"",INDEX(Rules!$C:$C,N2138))</f>
        <v/>
      </c>
      <c r="G2138" s="24"/>
      <c r="H2138" s="24"/>
      <c r="I2138" s="20" t="str">
        <f aca="false">IF(B2138="","",IF(G2138&lt;&gt;"",G2138,E2138))</f>
        <v/>
      </c>
      <c r="J2138" s="21" t="str">
        <f aca="false">IF(B2138="","",IF(H2138&lt;&gt;"",H2138,F2138))</f>
        <v/>
      </c>
      <c r="K2138" s="26" t="str">
        <f aca="false">IF(A2138="","",DATE(YEAR(A2138),MONTH(A2138),1))</f>
        <v/>
      </c>
      <c r="L2138" s="21" t="str">
        <f aca="false">IF(J2138="",IF(B2138="","",IF(N(C2138)&gt;=0,"Income","Expense")),IFERROR(INDEX(Lists!$B$2:$B$30,MATCH(J2138,Lists!$A$2:$A$30,0)),""))</f>
        <v/>
      </c>
      <c r="M2138" s="24"/>
      <c r="N2138" s="27" t="str">
        <f aca="false">IF(B2138="","",IFERROR(1000-SUMPRODUCT(MAX(ISNUMBER(SEARCH(Rules!$A$5:$A$204,B2138))*(Rules!$A$5:$A$204&lt;&gt;"")*(1000-ROW(Rules!$A$5:$A$204)))),""))</f>
        <v/>
      </c>
    </row>
    <row r="2139" customFormat="false" ht="15" hidden="false" customHeight="false" outlineLevel="0" collapsed="false">
      <c r="A2139" s="23"/>
      <c r="B2139" s="24"/>
      <c r="C2139" s="25"/>
      <c r="D2139" s="24"/>
      <c r="E2139" s="21" t="str">
        <f aca="false">IF(OR(B2139="",N(N2139)=0,N2139=1000),IF(B2139="","","Check"),INDEX(Rules!$B:$B,N2139))</f>
        <v/>
      </c>
      <c r="F2139" s="21" t="str">
        <f aca="false">IF(OR(B2139="",N(N2139)=0,N2139=1000),"",INDEX(Rules!$C:$C,N2139))</f>
        <v/>
      </c>
      <c r="G2139" s="24"/>
      <c r="H2139" s="24"/>
      <c r="I2139" s="20" t="str">
        <f aca="false">IF(B2139="","",IF(G2139&lt;&gt;"",G2139,E2139))</f>
        <v/>
      </c>
      <c r="J2139" s="21" t="str">
        <f aca="false">IF(B2139="","",IF(H2139&lt;&gt;"",H2139,F2139))</f>
        <v/>
      </c>
      <c r="K2139" s="26" t="str">
        <f aca="false">IF(A2139="","",DATE(YEAR(A2139),MONTH(A2139),1))</f>
        <v/>
      </c>
      <c r="L2139" s="21" t="str">
        <f aca="false">IF(J2139="",IF(B2139="","",IF(N(C2139)&gt;=0,"Income","Expense")),IFERROR(INDEX(Lists!$B$2:$B$30,MATCH(J2139,Lists!$A$2:$A$30,0)),""))</f>
        <v/>
      </c>
      <c r="M2139" s="24"/>
      <c r="N2139" s="27" t="str">
        <f aca="false">IF(B2139="","",IFERROR(1000-SUMPRODUCT(MAX(ISNUMBER(SEARCH(Rules!$A$5:$A$204,B2139))*(Rules!$A$5:$A$204&lt;&gt;"")*(1000-ROW(Rules!$A$5:$A$204)))),""))</f>
        <v/>
      </c>
    </row>
    <row r="2140" customFormat="false" ht="15" hidden="false" customHeight="false" outlineLevel="0" collapsed="false">
      <c r="A2140" s="23"/>
      <c r="B2140" s="24"/>
      <c r="C2140" s="25"/>
      <c r="D2140" s="24"/>
      <c r="E2140" s="21" t="str">
        <f aca="false">IF(OR(B2140="",N(N2140)=0,N2140=1000),IF(B2140="","","Check"),INDEX(Rules!$B:$B,N2140))</f>
        <v/>
      </c>
      <c r="F2140" s="21" t="str">
        <f aca="false">IF(OR(B2140="",N(N2140)=0,N2140=1000),"",INDEX(Rules!$C:$C,N2140))</f>
        <v/>
      </c>
      <c r="G2140" s="24"/>
      <c r="H2140" s="24"/>
      <c r="I2140" s="20" t="str">
        <f aca="false">IF(B2140="","",IF(G2140&lt;&gt;"",G2140,E2140))</f>
        <v/>
      </c>
      <c r="J2140" s="21" t="str">
        <f aca="false">IF(B2140="","",IF(H2140&lt;&gt;"",H2140,F2140))</f>
        <v/>
      </c>
      <c r="K2140" s="26" t="str">
        <f aca="false">IF(A2140="","",DATE(YEAR(A2140),MONTH(A2140),1))</f>
        <v/>
      </c>
      <c r="L2140" s="21" t="str">
        <f aca="false">IF(J2140="",IF(B2140="","",IF(N(C2140)&gt;=0,"Income","Expense")),IFERROR(INDEX(Lists!$B$2:$B$30,MATCH(J2140,Lists!$A$2:$A$30,0)),""))</f>
        <v/>
      </c>
      <c r="M2140" s="24"/>
      <c r="N2140" s="27" t="str">
        <f aca="false">IF(B2140="","",IFERROR(1000-SUMPRODUCT(MAX(ISNUMBER(SEARCH(Rules!$A$5:$A$204,B2140))*(Rules!$A$5:$A$204&lt;&gt;"")*(1000-ROW(Rules!$A$5:$A$204)))),""))</f>
        <v/>
      </c>
    </row>
    <row r="2141" customFormat="false" ht="15" hidden="false" customHeight="false" outlineLevel="0" collapsed="false">
      <c r="A2141" s="23"/>
      <c r="B2141" s="24"/>
      <c r="C2141" s="25"/>
      <c r="D2141" s="24"/>
      <c r="E2141" s="21" t="str">
        <f aca="false">IF(OR(B2141="",N(N2141)=0,N2141=1000),IF(B2141="","","Check"),INDEX(Rules!$B:$B,N2141))</f>
        <v/>
      </c>
      <c r="F2141" s="21" t="str">
        <f aca="false">IF(OR(B2141="",N(N2141)=0,N2141=1000),"",INDEX(Rules!$C:$C,N2141))</f>
        <v/>
      </c>
      <c r="G2141" s="24"/>
      <c r="H2141" s="24"/>
      <c r="I2141" s="20" t="str">
        <f aca="false">IF(B2141="","",IF(G2141&lt;&gt;"",G2141,E2141))</f>
        <v/>
      </c>
      <c r="J2141" s="21" t="str">
        <f aca="false">IF(B2141="","",IF(H2141&lt;&gt;"",H2141,F2141))</f>
        <v/>
      </c>
      <c r="K2141" s="26" t="str">
        <f aca="false">IF(A2141="","",DATE(YEAR(A2141),MONTH(A2141),1))</f>
        <v/>
      </c>
      <c r="L2141" s="21" t="str">
        <f aca="false">IF(J2141="",IF(B2141="","",IF(N(C2141)&gt;=0,"Income","Expense")),IFERROR(INDEX(Lists!$B$2:$B$30,MATCH(J2141,Lists!$A$2:$A$30,0)),""))</f>
        <v/>
      </c>
      <c r="M2141" s="24"/>
      <c r="N2141" s="27" t="str">
        <f aca="false">IF(B2141="","",IFERROR(1000-SUMPRODUCT(MAX(ISNUMBER(SEARCH(Rules!$A$5:$A$204,B2141))*(Rules!$A$5:$A$204&lt;&gt;"")*(1000-ROW(Rules!$A$5:$A$204)))),""))</f>
        <v/>
      </c>
    </row>
    <row r="2142" customFormat="false" ht="15" hidden="false" customHeight="false" outlineLevel="0" collapsed="false">
      <c r="A2142" s="23"/>
      <c r="B2142" s="24"/>
      <c r="C2142" s="25"/>
      <c r="D2142" s="24"/>
      <c r="E2142" s="21" t="str">
        <f aca="false">IF(OR(B2142="",N(N2142)=0,N2142=1000),IF(B2142="","","Check"),INDEX(Rules!$B:$B,N2142))</f>
        <v/>
      </c>
      <c r="F2142" s="21" t="str">
        <f aca="false">IF(OR(B2142="",N(N2142)=0,N2142=1000),"",INDEX(Rules!$C:$C,N2142))</f>
        <v/>
      </c>
      <c r="G2142" s="24"/>
      <c r="H2142" s="24"/>
      <c r="I2142" s="20" t="str">
        <f aca="false">IF(B2142="","",IF(G2142&lt;&gt;"",G2142,E2142))</f>
        <v/>
      </c>
      <c r="J2142" s="21" t="str">
        <f aca="false">IF(B2142="","",IF(H2142&lt;&gt;"",H2142,F2142))</f>
        <v/>
      </c>
      <c r="K2142" s="26" t="str">
        <f aca="false">IF(A2142="","",DATE(YEAR(A2142),MONTH(A2142),1))</f>
        <v/>
      </c>
      <c r="L2142" s="21" t="str">
        <f aca="false">IF(J2142="",IF(B2142="","",IF(N(C2142)&gt;=0,"Income","Expense")),IFERROR(INDEX(Lists!$B$2:$B$30,MATCH(J2142,Lists!$A$2:$A$30,0)),""))</f>
        <v/>
      </c>
      <c r="M2142" s="24"/>
      <c r="N2142" s="27" t="str">
        <f aca="false">IF(B2142="","",IFERROR(1000-SUMPRODUCT(MAX(ISNUMBER(SEARCH(Rules!$A$5:$A$204,B2142))*(Rules!$A$5:$A$204&lt;&gt;"")*(1000-ROW(Rules!$A$5:$A$204)))),""))</f>
        <v/>
      </c>
    </row>
    <row r="2143" customFormat="false" ht="15" hidden="false" customHeight="false" outlineLevel="0" collapsed="false">
      <c r="A2143" s="23"/>
      <c r="B2143" s="24"/>
      <c r="C2143" s="25"/>
      <c r="D2143" s="24"/>
      <c r="E2143" s="21" t="str">
        <f aca="false">IF(OR(B2143="",N(N2143)=0,N2143=1000),IF(B2143="","","Check"),INDEX(Rules!$B:$B,N2143))</f>
        <v/>
      </c>
      <c r="F2143" s="21" t="str">
        <f aca="false">IF(OR(B2143="",N(N2143)=0,N2143=1000),"",INDEX(Rules!$C:$C,N2143))</f>
        <v/>
      </c>
      <c r="G2143" s="24"/>
      <c r="H2143" s="24"/>
      <c r="I2143" s="20" t="str">
        <f aca="false">IF(B2143="","",IF(G2143&lt;&gt;"",G2143,E2143))</f>
        <v/>
      </c>
      <c r="J2143" s="21" t="str">
        <f aca="false">IF(B2143="","",IF(H2143&lt;&gt;"",H2143,F2143))</f>
        <v/>
      </c>
      <c r="K2143" s="26" t="str">
        <f aca="false">IF(A2143="","",DATE(YEAR(A2143),MONTH(A2143),1))</f>
        <v/>
      </c>
      <c r="L2143" s="21" t="str">
        <f aca="false">IF(J2143="",IF(B2143="","",IF(N(C2143)&gt;=0,"Income","Expense")),IFERROR(INDEX(Lists!$B$2:$B$30,MATCH(J2143,Lists!$A$2:$A$30,0)),""))</f>
        <v/>
      </c>
      <c r="M2143" s="24"/>
      <c r="N2143" s="27" t="str">
        <f aca="false">IF(B2143="","",IFERROR(1000-SUMPRODUCT(MAX(ISNUMBER(SEARCH(Rules!$A$5:$A$204,B2143))*(Rules!$A$5:$A$204&lt;&gt;"")*(1000-ROW(Rules!$A$5:$A$204)))),""))</f>
        <v/>
      </c>
    </row>
    <row r="2144" customFormat="false" ht="15" hidden="false" customHeight="false" outlineLevel="0" collapsed="false">
      <c r="A2144" s="23"/>
      <c r="B2144" s="24"/>
      <c r="C2144" s="25"/>
      <c r="D2144" s="24"/>
      <c r="E2144" s="21" t="str">
        <f aca="false">IF(OR(B2144="",N(N2144)=0,N2144=1000),IF(B2144="","","Check"),INDEX(Rules!$B:$B,N2144))</f>
        <v/>
      </c>
      <c r="F2144" s="21" t="str">
        <f aca="false">IF(OR(B2144="",N(N2144)=0,N2144=1000),"",INDEX(Rules!$C:$C,N2144))</f>
        <v/>
      </c>
      <c r="G2144" s="24"/>
      <c r="H2144" s="24"/>
      <c r="I2144" s="20" t="str">
        <f aca="false">IF(B2144="","",IF(G2144&lt;&gt;"",G2144,E2144))</f>
        <v/>
      </c>
      <c r="J2144" s="21" t="str">
        <f aca="false">IF(B2144="","",IF(H2144&lt;&gt;"",H2144,F2144))</f>
        <v/>
      </c>
      <c r="K2144" s="26" t="str">
        <f aca="false">IF(A2144="","",DATE(YEAR(A2144),MONTH(A2144),1))</f>
        <v/>
      </c>
      <c r="L2144" s="21" t="str">
        <f aca="false">IF(J2144="",IF(B2144="","",IF(N(C2144)&gt;=0,"Income","Expense")),IFERROR(INDEX(Lists!$B$2:$B$30,MATCH(J2144,Lists!$A$2:$A$30,0)),""))</f>
        <v/>
      </c>
      <c r="M2144" s="24"/>
      <c r="N2144" s="27" t="str">
        <f aca="false">IF(B2144="","",IFERROR(1000-SUMPRODUCT(MAX(ISNUMBER(SEARCH(Rules!$A$5:$A$204,B2144))*(Rules!$A$5:$A$204&lt;&gt;"")*(1000-ROW(Rules!$A$5:$A$204)))),""))</f>
        <v/>
      </c>
    </row>
    <row r="2145" customFormat="false" ht="15" hidden="false" customHeight="false" outlineLevel="0" collapsed="false">
      <c r="A2145" s="23"/>
      <c r="B2145" s="24"/>
      <c r="C2145" s="25"/>
      <c r="D2145" s="24"/>
      <c r="E2145" s="21" t="str">
        <f aca="false">IF(OR(B2145="",N(N2145)=0,N2145=1000),IF(B2145="","","Check"),INDEX(Rules!$B:$B,N2145))</f>
        <v/>
      </c>
      <c r="F2145" s="21" t="str">
        <f aca="false">IF(OR(B2145="",N(N2145)=0,N2145=1000),"",INDEX(Rules!$C:$C,N2145))</f>
        <v/>
      </c>
      <c r="G2145" s="24"/>
      <c r="H2145" s="24"/>
      <c r="I2145" s="20" t="str">
        <f aca="false">IF(B2145="","",IF(G2145&lt;&gt;"",G2145,E2145))</f>
        <v/>
      </c>
      <c r="J2145" s="21" t="str">
        <f aca="false">IF(B2145="","",IF(H2145&lt;&gt;"",H2145,F2145))</f>
        <v/>
      </c>
      <c r="K2145" s="26" t="str">
        <f aca="false">IF(A2145="","",DATE(YEAR(A2145),MONTH(A2145),1))</f>
        <v/>
      </c>
      <c r="L2145" s="21" t="str">
        <f aca="false">IF(J2145="",IF(B2145="","",IF(N(C2145)&gt;=0,"Income","Expense")),IFERROR(INDEX(Lists!$B$2:$B$30,MATCH(J2145,Lists!$A$2:$A$30,0)),""))</f>
        <v/>
      </c>
      <c r="M2145" s="24"/>
      <c r="N2145" s="27" t="str">
        <f aca="false">IF(B2145="","",IFERROR(1000-SUMPRODUCT(MAX(ISNUMBER(SEARCH(Rules!$A$5:$A$204,B2145))*(Rules!$A$5:$A$204&lt;&gt;"")*(1000-ROW(Rules!$A$5:$A$204)))),""))</f>
        <v/>
      </c>
    </row>
    <row r="2146" customFormat="false" ht="15" hidden="false" customHeight="false" outlineLevel="0" collapsed="false">
      <c r="A2146" s="23"/>
      <c r="B2146" s="24"/>
      <c r="C2146" s="25"/>
      <c r="D2146" s="24"/>
      <c r="E2146" s="21" t="str">
        <f aca="false">IF(OR(B2146="",N(N2146)=0,N2146=1000),IF(B2146="","","Check"),INDEX(Rules!$B:$B,N2146))</f>
        <v/>
      </c>
      <c r="F2146" s="21" t="str">
        <f aca="false">IF(OR(B2146="",N(N2146)=0,N2146=1000),"",INDEX(Rules!$C:$C,N2146))</f>
        <v/>
      </c>
      <c r="G2146" s="24"/>
      <c r="H2146" s="24"/>
      <c r="I2146" s="20" t="str">
        <f aca="false">IF(B2146="","",IF(G2146&lt;&gt;"",G2146,E2146))</f>
        <v/>
      </c>
      <c r="J2146" s="21" t="str">
        <f aca="false">IF(B2146="","",IF(H2146&lt;&gt;"",H2146,F2146))</f>
        <v/>
      </c>
      <c r="K2146" s="26" t="str">
        <f aca="false">IF(A2146="","",DATE(YEAR(A2146),MONTH(A2146),1))</f>
        <v/>
      </c>
      <c r="L2146" s="21" t="str">
        <f aca="false">IF(J2146="",IF(B2146="","",IF(N(C2146)&gt;=0,"Income","Expense")),IFERROR(INDEX(Lists!$B$2:$B$30,MATCH(J2146,Lists!$A$2:$A$30,0)),""))</f>
        <v/>
      </c>
      <c r="M2146" s="24"/>
      <c r="N2146" s="27" t="str">
        <f aca="false">IF(B2146="","",IFERROR(1000-SUMPRODUCT(MAX(ISNUMBER(SEARCH(Rules!$A$5:$A$204,B2146))*(Rules!$A$5:$A$204&lt;&gt;"")*(1000-ROW(Rules!$A$5:$A$204)))),""))</f>
        <v/>
      </c>
    </row>
    <row r="2147" customFormat="false" ht="15" hidden="false" customHeight="false" outlineLevel="0" collapsed="false">
      <c r="A2147" s="23"/>
      <c r="B2147" s="24"/>
      <c r="C2147" s="25"/>
      <c r="D2147" s="24"/>
      <c r="E2147" s="21" t="str">
        <f aca="false">IF(OR(B2147="",N(N2147)=0,N2147=1000),IF(B2147="","","Check"),INDEX(Rules!$B:$B,N2147))</f>
        <v/>
      </c>
      <c r="F2147" s="21" t="str">
        <f aca="false">IF(OR(B2147="",N(N2147)=0,N2147=1000),"",INDEX(Rules!$C:$C,N2147))</f>
        <v/>
      </c>
      <c r="G2147" s="24"/>
      <c r="H2147" s="24"/>
      <c r="I2147" s="20" t="str">
        <f aca="false">IF(B2147="","",IF(G2147&lt;&gt;"",G2147,E2147))</f>
        <v/>
      </c>
      <c r="J2147" s="21" t="str">
        <f aca="false">IF(B2147="","",IF(H2147&lt;&gt;"",H2147,F2147))</f>
        <v/>
      </c>
      <c r="K2147" s="26" t="str">
        <f aca="false">IF(A2147="","",DATE(YEAR(A2147),MONTH(A2147),1))</f>
        <v/>
      </c>
      <c r="L2147" s="21" t="str">
        <f aca="false">IF(J2147="",IF(B2147="","",IF(N(C2147)&gt;=0,"Income","Expense")),IFERROR(INDEX(Lists!$B$2:$B$30,MATCH(J2147,Lists!$A$2:$A$30,0)),""))</f>
        <v/>
      </c>
      <c r="M2147" s="24"/>
      <c r="N2147" s="27" t="str">
        <f aca="false">IF(B2147="","",IFERROR(1000-SUMPRODUCT(MAX(ISNUMBER(SEARCH(Rules!$A$5:$A$204,B2147))*(Rules!$A$5:$A$204&lt;&gt;"")*(1000-ROW(Rules!$A$5:$A$204)))),""))</f>
        <v/>
      </c>
    </row>
    <row r="2148" customFormat="false" ht="15" hidden="false" customHeight="false" outlineLevel="0" collapsed="false">
      <c r="A2148" s="23"/>
      <c r="B2148" s="24"/>
      <c r="C2148" s="25"/>
      <c r="D2148" s="24"/>
      <c r="E2148" s="21" t="str">
        <f aca="false">IF(OR(B2148="",N(N2148)=0,N2148=1000),IF(B2148="","","Check"),INDEX(Rules!$B:$B,N2148))</f>
        <v/>
      </c>
      <c r="F2148" s="21" t="str">
        <f aca="false">IF(OR(B2148="",N(N2148)=0,N2148=1000),"",INDEX(Rules!$C:$C,N2148))</f>
        <v/>
      </c>
      <c r="G2148" s="24"/>
      <c r="H2148" s="24"/>
      <c r="I2148" s="20" t="str">
        <f aca="false">IF(B2148="","",IF(G2148&lt;&gt;"",G2148,E2148))</f>
        <v/>
      </c>
      <c r="J2148" s="21" t="str">
        <f aca="false">IF(B2148="","",IF(H2148&lt;&gt;"",H2148,F2148))</f>
        <v/>
      </c>
      <c r="K2148" s="26" t="str">
        <f aca="false">IF(A2148="","",DATE(YEAR(A2148),MONTH(A2148),1))</f>
        <v/>
      </c>
      <c r="L2148" s="21" t="str">
        <f aca="false">IF(J2148="",IF(B2148="","",IF(N(C2148)&gt;=0,"Income","Expense")),IFERROR(INDEX(Lists!$B$2:$B$30,MATCH(J2148,Lists!$A$2:$A$30,0)),""))</f>
        <v/>
      </c>
      <c r="M2148" s="24"/>
      <c r="N2148" s="27" t="str">
        <f aca="false">IF(B2148="","",IFERROR(1000-SUMPRODUCT(MAX(ISNUMBER(SEARCH(Rules!$A$5:$A$204,B2148))*(Rules!$A$5:$A$204&lt;&gt;"")*(1000-ROW(Rules!$A$5:$A$204)))),""))</f>
        <v/>
      </c>
    </row>
    <row r="2149" customFormat="false" ht="15" hidden="false" customHeight="false" outlineLevel="0" collapsed="false">
      <c r="A2149" s="23"/>
      <c r="B2149" s="24"/>
      <c r="C2149" s="25"/>
      <c r="D2149" s="24"/>
      <c r="E2149" s="21" t="str">
        <f aca="false">IF(OR(B2149="",N(N2149)=0,N2149=1000),IF(B2149="","","Check"),INDEX(Rules!$B:$B,N2149))</f>
        <v/>
      </c>
      <c r="F2149" s="21" t="str">
        <f aca="false">IF(OR(B2149="",N(N2149)=0,N2149=1000),"",INDEX(Rules!$C:$C,N2149))</f>
        <v/>
      </c>
      <c r="G2149" s="24"/>
      <c r="H2149" s="24"/>
      <c r="I2149" s="20" t="str">
        <f aca="false">IF(B2149="","",IF(G2149&lt;&gt;"",G2149,E2149))</f>
        <v/>
      </c>
      <c r="J2149" s="21" t="str">
        <f aca="false">IF(B2149="","",IF(H2149&lt;&gt;"",H2149,F2149))</f>
        <v/>
      </c>
      <c r="K2149" s="26" t="str">
        <f aca="false">IF(A2149="","",DATE(YEAR(A2149),MONTH(A2149),1))</f>
        <v/>
      </c>
      <c r="L2149" s="21" t="str">
        <f aca="false">IF(J2149="",IF(B2149="","",IF(N(C2149)&gt;=0,"Income","Expense")),IFERROR(INDEX(Lists!$B$2:$B$30,MATCH(J2149,Lists!$A$2:$A$30,0)),""))</f>
        <v/>
      </c>
      <c r="M2149" s="24"/>
      <c r="N2149" s="27" t="str">
        <f aca="false">IF(B2149="","",IFERROR(1000-SUMPRODUCT(MAX(ISNUMBER(SEARCH(Rules!$A$5:$A$204,B2149))*(Rules!$A$5:$A$204&lt;&gt;"")*(1000-ROW(Rules!$A$5:$A$204)))),""))</f>
        <v/>
      </c>
    </row>
    <row r="2150" customFormat="false" ht="15" hidden="false" customHeight="false" outlineLevel="0" collapsed="false">
      <c r="A2150" s="23"/>
      <c r="B2150" s="24"/>
      <c r="C2150" s="25"/>
      <c r="D2150" s="24"/>
      <c r="E2150" s="21" t="str">
        <f aca="false">IF(OR(B2150="",N(N2150)=0,N2150=1000),IF(B2150="","","Check"),INDEX(Rules!$B:$B,N2150))</f>
        <v/>
      </c>
      <c r="F2150" s="21" t="str">
        <f aca="false">IF(OR(B2150="",N(N2150)=0,N2150=1000),"",INDEX(Rules!$C:$C,N2150))</f>
        <v/>
      </c>
      <c r="G2150" s="24"/>
      <c r="H2150" s="24"/>
      <c r="I2150" s="20" t="str">
        <f aca="false">IF(B2150="","",IF(G2150&lt;&gt;"",G2150,E2150))</f>
        <v/>
      </c>
      <c r="J2150" s="21" t="str">
        <f aca="false">IF(B2150="","",IF(H2150&lt;&gt;"",H2150,F2150))</f>
        <v/>
      </c>
      <c r="K2150" s="26" t="str">
        <f aca="false">IF(A2150="","",DATE(YEAR(A2150),MONTH(A2150),1))</f>
        <v/>
      </c>
      <c r="L2150" s="21" t="str">
        <f aca="false">IF(J2150="",IF(B2150="","",IF(N(C2150)&gt;=0,"Income","Expense")),IFERROR(INDEX(Lists!$B$2:$B$30,MATCH(J2150,Lists!$A$2:$A$30,0)),""))</f>
        <v/>
      </c>
      <c r="M2150" s="24"/>
      <c r="N2150" s="27" t="str">
        <f aca="false">IF(B2150="","",IFERROR(1000-SUMPRODUCT(MAX(ISNUMBER(SEARCH(Rules!$A$5:$A$204,B2150))*(Rules!$A$5:$A$204&lt;&gt;"")*(1000-ROW(Rules!$A$5:$A$204)))),""))</f>
        <v/>
      </c>
    </row>
    <row r="2151" customFormat="false" ht="15" hidden="false" customHeight="false" outlineLevel="0" collapsed="false">
      <c r="A2151" s="23"/>
      <c r="B2151" s="24"/>
      <c r="C2151" s="25"/>
      <c r="D2151" s="24"/>
      <c r="E2151" s="21" t="str">
        <f aca="false">IF(OR(B2151="",N(N2151)=0,N2151=1000),IF(B2151="","","Check"),INDEX(Rules!$B:$B,N2151))</f>
        <v/>
      </c>
      <c r="F2151" s="21" t="str">
        <f aca="false">IF(OR(B2151="",N(N2151)=0,N2151=1000),"",INDEX(Rules!$C:$C,N2151))</f>
        <v/>
      </c>
      <c r="G2151" s="24"/>
      <c r="H2151" s="24"/>
      <c r="I2151" s="20" t="str">
        <f aca="false">IF(B2151="","",IF(G2151&lt;&gt;"",G2151,E2151))</f>
        <v/>
      </c>
      <c r="J2151" s="21" t="str">
        <f aca="false">IF(B2151="","",IF(H2151&lt;&gt;"",H2151,F2151))</f>
        <v/>
      </c>
      <c r="K2151" s="26" t="str">
        <f aca="false">IF(A2151="","",DATE(YEAR(A2151),MONTH(A2151),1))</f>
        <v/>
      </c>
      <c r="L2151" s="21" t="str">
        <f aca="false">IF(J2151="",IF(B2151="","",IF(N(C2151)&gt;=0,"Income","Expense")),IFERROR(INDEX(Lists!$B$2:$B$30,MATCH(J2151,Lists!$A$2:$A$30,0)),""))</f>
        <v/>
      </c>
      <c r="M2151" s="24"/>
      <c r="N2151" s="27" t="str">
        <f aca="false">IF(B2151="","",IFERROR(1000-SUMPRODUCT(MAX(ISNUMBER(SEARCH(Rules!$A$5:$A$204,B2151))*(Rules!$A$5:$A$204&lt;&gt;"")*(1000-ROW(Rules!$A$5:$A$204)))),""))</f>
        <v/>
      </c>
    </row>
    <row r="2152" customFormat="false" ht="15" hidden="false" customHeight="false" outlineLevel="0" collapsed="false">
      <c r="A2152" s="23"/>
      <c r="B2152" s="24"/>
      <c r="C2152" s="25"/>
      <c r="D2152" s="24"/>
      <c r="E2152" s="21" t="str">
        <f aca="false">IF(OR(B2152="",N(N2152)=0,N2152=1000),IF(B2152="","","Check"),INDEX(Rules!$B:$B,N2152))</f>
        <v/>
      </c>
      <c r="F2152" s="21" t="str">
        <f aca="false">IF(OR(B2152="",N(N2152)=0,N2152=1000),"",INDEX(Rules!$C:$C,N2152))</f>
        <v/>
      </c>
      <c r="G2152" s="24"/>
      <c r="H2152" s="24"/>
      <c r="I2152" s="20" t="str">
        <f aca="false">IF(B2152="","",IF(G2152&lt;&gt;"",G2152,E2152))</f>
        <v/>
      </c>
      <c r="J2152" s="21" t="str">
        <f aca="false">IF(B2152="","",IF(H2152&lt;&gt;"",H2152,F2152))</f>
        <v/>
      </c>
      <c r="K2152" s="26" t="str">
        <f aca="false">IF(A2152="","",DATE(YEAR(A2152),MONTH(A2152),1))</f>
        <v/>
      </c>
      <c r="L2152" s="21" t="str">
        <f aca="false">IF(J2152="",IF(B2152="","",IF(N(C2152)&gt;=0,"Income","Expense")),IFERROR(INDEX(Lists!$B$2:$B$30,MATCH(J2152,Lists!$A$2:$A$30,0)),""))</f>
        <v/>
      </c>
      <c r="M2152" s="24"/>
      <c r="N2152" s="27" t="str">
        <f aca="false">IF(B2152="","",IFERROR(1000-SUMPRODUCT(MAX(ISNUMBER(SEARCH(Rules!$A$5:$A$204,B2152))*(Rules!$A$5:$A$204&lt;&gt;"")*(1000-ROW(Rules!$A$5:$A$204)))),""))</f>
        <v/>
      </c>
    </row>
    <row r="2153" customFormat="false" ht="15" hidden="false" customHeight="false" outlineLevel="0" collapsed="false">
      <c r="A2153" s="23"/>
      <c r="B2153" s="24"/>
      <c r="C2153" s="25"/>
      <c r="D2153" s="24"/>
      <c r="E2153" s="21" t="str">
        <f aca="false">IF(OR(B2153="",N(N2153)=0,N2153=1000),IF(B2153="","","Check"),INDEX(Rules!$B:$B,N2153))</f>
        <v/>
      </c>
      <c r="F2153" s="21" t="str">
        <f aca="false">IF(OR(B2153="",N(N2153)=0,N2153=1000),"",INDEX(Rules!$C:$C,N2153))</f>
        <v/>
      </c>
      <c r="G2153" s="24"/>
      <c r="H2153" s="24"/>
      <c r="I2153" s="20" t="str">
        <f aca="false">IF(B2153="","",IF(G2153&lt;&gt;"",G2153,E2153))</f>
        <v/>
      </c>
      <c r="J2153" s="21" t="str">
        <f aca="false">IF(B2153="","",IF(H2153&lt;&gt;"",H2153,F2153))</f>
        <v/>
      </c>
      <c r="K2153" s="26" t="str">
        <f aca="false">IF(A2153="","",DATE(YEAR(A2153),MONTH(A2153),1))</f>
        <v/>
      </c>
      <c r="L2153" s="21" t="str">
        <f aca="false">IF(J2153="",IF(B2153="","",IF(N(C2153)&gt;=0,"Income","Expense")),IFERROR(INDEX(Lists!$B$2:$B$30,MATCH(J2153,Lists!$A$2:$A$30,0)),""))</f>
        <v/>
      </c>
      <c r="M2153" s="24"/>
      <c r="N2153" s="27" t="str">
        <f aca="false">IF(B2153="","",IFERROR(1000-SUMPRODUCT(MAX(ISNUMBER(SEARCH(Rules!$A$5:$A$204,B2153))*(Rules!$A$5:$A$204&lt;&gt;"")*(1000-ROW(Rules!$A$5:$A$204)))),""))</f>
        <v/>
      </c>
    </row>
    <row r="2154" customFormat="false" ht="15" hidden="false" customHeight="false" outlineLevel="0" collapsed="false">
      <c r="A2154" s="23"/>
      <c r="B2154" s="24"/>
      <c r="C2154" s="25"/>
      <c r="D2154" s="24"/>
      <c r="E2154" s="21" t="str">
        <f aca="false">IF(OR(B2154="",N(N2154)=0,N2154=1000),IF(B2154="","","Check"),INDEX(Rules!$B:$B,N2154))</f>
        <v/>
      </c>
      <c r="F2154" s="21" t="str">
        <f aca="false">IF(OR(B2154="",N(N2154)=0,N2154=1000),"",INDEX(Rules!$C:$C,N2154))</f>
        <v/>
      </c>
      <c r="G2154" s="24"/>
      <c r="H2154" s="24"/>
      <c r="I2154" s="20" t="str">
        <f aca="false">IF(B2154="","",IF(G2154&lt;&gt;"",G2154,E2154))</f>
        <v/>
      </c>
      <c r="J2154" s="21" t="str">
        <f aca="false">IF(B2154="","",IF(H2154&lt;&gt;"",H2154,F2154))</f>
        <v/>
      </c>
      <c r="K2154" s="26" t="str">
        <f aca="false">IF(A2154="","",DATE(YEAR(A2154),MONTH(A2154),1))</f>
        <v/>
      </c>
      <c r="L2154" s="21" t="str">
        <f aca="false">IF(J2154="",IF(B2154="","",IF(N(C2154)&gt;=0,"Income","Expense")),IFERROR(INDEX(Lists!$B$2:$B$30,MATCH(J2154,Lists!$A$2:$A$30,0)),""))</f>
        <v/>
      </c>
      <c r="M2154" s="24"/>
      <c r="N2154" s="27" t="str">
        <f aca="false">IF(B2154="","",IFERROR(1000-SUMPRODUCT(MAX(ISNUMBER(SEARCH(Rules!$A$5:$A$204,B2154))*(Rules!$A$5:$A$204&lt;&gt;"")*(1000-ROW(Rules!$A$5:$A$204)))),""))</f>
        <v/>
      </c>
    </row>
    <row r="2155" customFormat="false" ht="15" hidden="false" customHeight="false" outlineLevel="0" collapsed="false">
      <c r="A2155" s="23"/>
      <c r="B2155" s="24"/>
      <c r="C2155" s="25"/>
      <c r="D2155" s="24"/>
      <c r="E2155" s="21" t="str">
        <f aca="false">IF(OR(B2155="",N(N2155)=0,N2155=1000),IF(B2155="","","Check"),INDEX(Rules!$B:$B,N2155))</f>
        <v/>
      </c>
      <c r="F2155" s="21" t="str">
        <f aca="false">IF(OR(B2155="",N(N2155)=0,N2155=1000),"",INDEX(Rules!$C:$C,N2155))</f>
        <v/>
      </c>
      <c r="G2155" s="24"/>
      <c r="H2155" s="24"/>
      <c r="I2155" s="20" t="str">
        <f aca="false">IF(B2155="","",IF(G2155&lt;&gt;"",G2155,E2155))</f>
        <v/>
      </c>
      <c r="J2155" s="21" t="str">
        <f aca="false">IF(B2155="","",IF(H2155&lt;&gt;"",H2155,F2155))</f>
        <v/>
      </c>
      <c r="K2155" s="26" t="str">
        <f aca="false">IF(A2155="","",DATE(YEAR(A2155),MONTH(A2155),1))</f>
        <v/>
      </c>
      <c r="L2155" s="21" t="str">
        <f aca="false">IF(J2155="",IF(B2155="","",IF(N(C2155)&gt;=0,"Income","Expense")),IFERROR(INDEX(Lists!$B$2:$B$30,MATCH(J2155,Lists!$A$2:$A$30,0)),""))</f>
        <v/>
      </c>
      <c r="M2155" s="24"/>
      <c r="N2155" s="27" t="str">
        <f aca="false">IF(B2155="","",IFERROR(1000-SUMPRODUCT(MAX(ISNUMBER(SEARCH(Rules!$A$5:$A$204,B2155))*(Rules!$A$5:$A$204&lt;&gt;"")*(1000-ROW(Rules!$A$5:$A$204)))),""))</f>
        <v/>
      </c>
    </row>
    <row r="2156" customFormat="false" ht="15" hidden="false" customHeight="false" outlineLevel="0" collapsed="false">
      <c r="A2156" s="23"/>
      <c r="B2156" s="24"/>
      <c r="C2156" s="25"/>
      <c r="D2156" s="24"/>
      <c r="E2156" s="21" t="str">
        <f aca="false">IF(OR(B2156="",N(N2156)=0,N2156=1000),IF(B2156="","","Check"),INDEX(Rules!$B:$B,N2156))</f>
        <v/>
      </c>
      <c r="F2156" s="21" t="str">
        <f aca="false">IF(OR(B2156="",N(N2156)=0,N2156=1000),"",INDEX(Rules!$C:$C,N2156))</f>
        <v/>
      </c>
      <c r="G2156" s="24"/>
      <c r="H2156" s="24"/>
      <c r="I2156" s="20" t="str">
        <f aca="false">IF(B2156="","",IF(G2156&lt;&gt;"",G2156,E2156))</f>
        <v/>
      </c>
      <c r="J2156" s="21" t="str">
        <f aca="false">IF(B2156="","",IF(H2156&lt;&gt;"",H2156,F2156))</f>
        <v/>
      </c>
      <c r="K2156" s="26" t="str">
        <f aca="false">IF(A2156="","",DATE(YEAR(A2156),MONTH(A2156),1))</f>
        <v/>
      </c>
      <c r="L2156" s="21" t="str">
        <f aca="false">IF(J2156="",IF(B2156="","",IF(N(C2156)&gt;=0,"Income","Expense")),IFERROR(INDEX(Lists!$B$2:$B$30,MATCH(J2156,Lists!$A$2:$A$30,0)),""))</f>
        <v/>
      </c>
      <c r="M2156" s="24"/>
      <c r="N2156" s="27" t="str">
        <f aca="false">IF(B2156="","",IFERROR(1000-SUMPRODUCT(MAX(ISNUMBER(SEARCH(Rules!$A$5:$A$204,B2156))*(Rules!$A$5:$A$204&lt;&gt;"")*(1000-ROW(Rules!$A$5:$A$204)))),""))</f>
        <v/>
      </c>
    </row>
    <row r="2157" customFormat="false" ht="15" hidden="false" customHeight="false" outlineLevel="0" collapsed="false">
      <c r="A2157" s="23"/>
      <c r="B2157" s="24"/>
      <c r="C2157" s="25"/>
      <c r="D2157" s="24"/>
      <c r="E2157" s="21" t="str">
        <f aca="false">IF(OR(B2157="",N(N2157)=0,N2157=1000),IF(B2157="","","Check"),INDEX(Rules!$B:$B,N2157))</f>
        <v/>
      </c>
      <c r="F2157" s="21" t="str">
        <f aca="false">IF(OR(B2157="",N(N2157)=0,N2157=1000),"",INDEX(Rules!$C:$C,N2157))</f>
        <v/>
      </c>
      <c r="G2157" s="24"/>
      <c r="H2157" s="24"/>
      <c r="I2157" s="20" t="str">
        <f aca="false">IF(B2157="","",IF(G2157&lt;&gt;"",G2157,E2157))</f>
        <v/>
      </c>
      <c r="J2157" s="21" t="str">
        <f aca="false">IF(B2157="","",IF(H2157&lt;&gt;"",H2157,F2157))</f>
        <v/>
      </c>
      <c r="K2157" s="26" t="str">
        <f aca="false">IF(A2157="","",DATE(YEAR(A2157),MONTH(A2157),1))</f>
        <v/>
      </c>
      <c r="L2157" s="21" t="str">
        <f aca="false">IF(J2157="",IF(B2157="","",IF(N(C2157)&gt;=0,"Income","Expense")),IFERROR(INDEX(Lists!$B$2:$B$30,MATCH(J2157,Lists!$A$2:$A$30,0)),""))</f>
        <v/>
      </c>
      <c r="M2157" s="24"/>
      <c r="N2157" s="27" t="str">
        <f aca="false">IF(B2157="","",IFERROR(1000-SUMPRODUCT(MAX(ISNUMBER(SEARCH(Rules!$A$5:$A$204,B2157))*(Rules!$A$5:$A$204&lt;&gt;"")*(1000-ROW(Rules!$A$5:$A$204)))),""))</f>
        <v/>
      </c>
    </row>
    <row r="2158" customFormat="false" ht="15" hidden="false" customHeight="false" outlineLevel="0" collapsed="false">
      <c r="A2158" s="23"/>
      <c r="B2158" s="24"/>
      <c r="C2158" s="25"/>
      <c r="D2158" s="24"/>
      <c r="E2158" s="21" t="str">
        <f aca="false">IF(OR(B2158="",N(N2158)=0,N2158=1000),IF(B2158="","","Check"),INDEX(Rules!$B:$B,N2158))</f>
        <v/>
      </c>
      <c r="F2158" s="21" t="str">
        <f aca="false">IF(OR(B2158="",N(N2158)=0,N2158=1000),"",INDEX(Rules!$C:$C,N2158))</f>
        <v/>
      </c>
      <c r="G2158" s="24"/>
      <c r="H2158" s="24"/>
      <c r="I2158" s="20" t="str">
        <f aca="false">IF(B2158="","",IF(G2158&lt;&gt;"",G2158,E2158))</f>
        <v/>
      </c>
      <c r="J2158" s="21" t="str">
        <f aca="false">IF(B2158="","",IF(H2158&lt;&gt;"",H2158,F2158))</f>
        <v/>
      </c>
      <c r="K2158" s="26" t="str">
        <f aca="false">IF(A2158="","",DATE(YEAR(A2158),MONTH(A2158),1))</f>
        <v/>
      </c>
      <c r="L2158" s="21" t="str">
        <f aca="false">IF(J2158="",IF(B2158="","",IF(N(C2158)&gt;=0,"Income","Expense")),IFERROR(INDEX(Lists!$B$2:$B$30,MATCH(J2158,Lists!$A$2:$A$30,0)),""))</f>
        <v/>
      </c>
      <c r="M2158" s="24"/>
      <c r="N2158" s="27" t="str">
        <f aca="false">IF(B2158="","",IFERROR(1000-SUMPRODUCT(MAX(ISNUMBER(SEARCH(Rules!$A$5:$A$204,B2158))*(Rules!$A$5:$A$204&lt;&gt;"")*(1000-ROW(Rules!$A$5:$A$204)))),""))</f>
        <v/>
      </c>
    </row>
    <row r="2159" customFormat="false" ht="15" hidden="false" customHeight="false" outlineLevel="0" collapsed="false">
      <c r="A2159" s="23"/>
      <c r="B2159" s="24"/>
      <c r="C2159" s="25"/>
      <c r="D2159" s="24"/>
      <c r="E2159" s="21" t="str">
        <f aca="false">IF(OR(B2159="",N(N2159)=0,N2159=1000),IF(B2159="","","Check"),INDEX(Rules!$B:$B,N2159))</f>
        <v/>
      </c>
      <c r="F2159" s="21" t="str">
        <f aca="false">IF(OR(B2159="",N(N2159)=0,N2159=1000),"",INDEX(Rules!$C:$C,N2159))</f>
        <v/>
      </c>
      <c r="G2159" s="24"/>
      <c r="H2159" s="24"/>
      <c r="I2159" s="20" t="str">
        <f aca="false">IF(B2159="","",IF(G2159&lt;&gt;"",G2159,E2159))</f>
        <v/>
      </c>
      <c r="J2159" s="21" t="str">
        <f aca="false">IF(B2159="","",IF(H2159&lt;&gt;"",H2159,F2159))</f>
        <v/>
      </c>
      <c r="K2159" s="26" t="str">
        <f aca="false">IF(A2159="","",DATE(YEAR(A2159),MONTH(A2159),1))</f>
        <v/>
      </c>
      <c r="L2159" s="21" t="str">
        <f aca="false">IF(J2159="",IF(B2159="","",IF(N(C2159)&gt;=0,"Income","Expense")),IFERROR(INDEX(Lists!$B$2:$B$30,MATCH(J2159,Lists!$A$2:$A$30,0)),""))</f>
        <v/>
      </c>
      <c r="M2159" s="24"/>
      <c r="N2159" s="27" t="str">
        <f aca="false">IF(B2159="","",IFERROR(1000-SUMPRODUCT(MAX(ISNUMBER(SEARCH(Rules!$A$5:$A$204,B2159))*(Rules!$A$5:$A$204&lt;&gt;"")*(1000-ROW(Rules!$A$5:$A$204)))),""))</f>
        <v/>
      </c>
    </row>
    <row r="2160" customFormat="false" ht="15" hidden="false" customHeight="false" outlineLevel="0" collapsed="false">
      <c r="A2160" s="23"/>
      <c r="B2160" s="24"/>
      <c r="C2160" s="25"/>
      <c r="D2160" s="24"/>
      <c r="E2160" s="21" t="str">
        <f aca="false">IF(OR(B2160="",N(N2160)=0,N2160=1000),IF(B2160="","","Check"),INDEX(Rules!$B:$B,N2160))</f>
        <v/>
      </c>
      <c r="F2160" s="21" t="str">
        <f aca="false">IF(OR(B2160="",N(N2160)=0,N2160=1000),"",INDEX(Rules!$C:$C,N2160))</f>
        <v/>
      </c>
      <c r="G2160" s="24"/>
      <c r="H2160" s="24"/>
      <c r="I2160" s="20" t="str">
        <f aca="false">IF(B2160="","",IF(G2160&lt;&gt;"",G2160,E2160))</f>
        <v/>
      </c>
      <c r="J2160" s="21" t="str">
        <f aca="false">IF(B2160="","",IF(H2160&lt;&gt;"",H2160,F2160))</f>
        <v/>
      </c>
      <c r="K2160" s="26" t="str">
        <f aca="false">IF(A2160="","",DATE(YEAR(A2160),MONTH(A2160),1))</f>
        <v/>
      </c>
      <c r="L2160" s="21" t="str">
        <f aca="false">IF(J2160="",IF(B2160="","",IF(N(C2160)&gt;=0,"Income","Expense")),IFERROR(INDEX(Lists!$B$2:$B$30,MATCH(J2160,Lists!$A$2:$A$30,0)),""))</f>
        <v/>
      </c>
      <c r="M2160" s="24"/>
      <c r="N2160" s="27" t="str">
        <f aca="false">IF(B2160="","",IFERROR(1000-SUMPRODUCT(MAX(ISNUMBER(SEARCH(Rules!$A$5:$A$204,B2160))*(Rules!$A$5:$A$204&lt;&gt;"")*(1000-ROW(Rules!$A$5:$A$204)))),""))</f>
        <v/>
      </c>
    </row>
    <row r="2161" customFormat="false" ht="15" hidden="false" customHeight="false" outlineLevel="0" collapsed="false">
      <c r="A2161" s="23"/>
      <c r="B2161" s="24"/>
      <c r="C2161" s="25"/>
      <c r="D2161" s="24"/>
      <c r="E2161" s="21" t="str">
        <f aca="false">IF(OR(B2161="",N(N2161)=0,N2161=1000),IF(B2161="","","Check"),INDEX(Rules!$B:$B,N2161))</f>
        <v/>
      </c>
      <c r="F2161" s="21" t="str">
        <f aca="false">IF(OR(B2161="",N(N2161)=0,N2161=1000),"",INDEX(Rules!$C:$C,N2161))</f>
        <v/>
      </c>
      <c r="G2161" s="24"/>
      <c r="H2161" s="24"/>
      <c r="I2161" s="20" t="str">
        <f aca="false">IF(B2161="","",IF(G2161&lt;&gt;"",G2161,E2161))</f>
        <v/>
      </c>
      <c r="J2161" s="21" t="str">
        <f aca="false">IF(B2161="","",IF(H2161&lt;&gt;"",H2161,F2161))</f>
        <v/>
      </c>
      <c r="K2161" s="26" t="str">
        <f aca="false">IF(A2161="","",DATE(YEAR(A2161),MONTH(A2161),1))</f>
        <v/>
      </c>
      <c r="L2161" s="21" t="str">
        <f aca="false">IF(J2161="",IF(B2161="","",IF(N(C2161)&gt;=0,"Income","Expense")),IFERROR(INDEX(Lists!$B$2:$B$30,MATCH(J2161,Lists!$A$2:$A$30,0)),""))</f>
        <v/>
      </c>
      <c r="M2161" s="24"/>
      <c r="N2161" s="27" t="str">
        <f aca="false">IF(B2161="","",IFERROR(1000-SUMPRODUCT(MAX(ISNUMBER(SEARCH(Rules!$A$5:$A$204,B2161))*(Rules!$A$5:$A$204&lt;&gt;"")*(1000-ROW(Rules!$A$5:$A$204)))),""))</f>
        <v/>
      </c>
    </row>
    <row r="2162" customFormat="false" ht="15" hidden="false" customHeight="false" outlineLevel="0" collapsed="false">
      <c r="A2162" s="23"/>
      <c r="B2162" s="24"/>
      <c r="C2162" s="25"/>
      <c r="D2162" s="24"/>
      <c r="E2162" s="21" t="str">
        <f aca="false">IF(OR(B2162="",N(N2162)=0,N2162=1000),IF(B2162="","","Check"),INDEX(Rules!$B:$B,N2162))</f>
        <v/>
      </c>
      <c r="F2162" s="21" t="str">
        <f aca="false">IF(OR(B2162="",N(N2162)=0,N2162=1000),"",INDEX(Rules!$C:$C,N2162))</f>
        <v/>
      </c>
      <c r="G2162" s="24"/>
      <c r="H2162" s="24"/>
      <c r="I2162" s="20" t="str">
        <f aca="false">IF(B2162="","",IF(G2162&lt;&gt;"",G2162,E2162))</f>
        <v/>
      </c>
      <c r="J2162" s="21" t="str">
        <f aca="false">IF(B2162="","",IF(H2162&lt;&gt;"",H2162,F2162))</f>
        <v/>
      </c>
      <c r="K2162" s="26" t="str">
        <f aca="false">IF(A2162="","",DATE(YEAR(A2162),MONTH(A2162),1))</f>
        <v/>
      </c>
      <c r="L2162" s="21" t="str">
        <f aca="false">IF(J2162="",IF(B2162="","",IF(N(C2162)&gt;=0,"Income","Expense")),IFERROR(INDEX(Lists!$B$2:$B$30,MATCH(J2162,Lists!$A$2:$A$30,0)),""))</f>
        <v/>
      </c>
      <c r="M2162" s="24"/>
      <c r="N2162" s="27" t="str">
        <f aca="false">IF(B2162="","",IFERROR(1000-SUMPRODUCT(MAX(ISNUMBER(SEARCH(Rules!$A$5:$A$204,B2162))*(Rules!$A$5:$A$204&lt;&gt;"")*(1000-ROW(Rules!$A$5:$A$204)))),""))</f>
        <v/>
      </c>
    </row>
    <row r="2163" customFormat="false" ht="15" hidden="false" customHeight="false" outlineLevel="0" collapsed="false">
      <c r="A2163" s="23"/>
      <c r="B2163" s="24"/>
      <c r="C2163" s="25"/>
      <c r="D2163" s="24"/>
      <c r="E2163" s="21" t="str">
        <f aca="false">IF(OR(B2163="",N(N2163)=0,N2163=1000),IF(B2163="","","Check"),INDEX(Rules!$B:$B,N2163))</f>
        <v/>
      </c>
      <c r="F2163" s="21" t="str">
        <f aca="false">IF(OR(B2163="",N(N2163)=0,N2163=1000),"",INDEX(Rules!$C:$C,N2163))</f>
        <v/>
      </c>
      <c r="G2163" s="24"/>
      <c r="H2163" s="24"/>
      <c r="I2163" s="20" t="str">
        <f aca="false">IF(B2163="","",IF(G2163&lt;&gt;"",G2163,E2163))</f>
        <v/>
      </c>
      <c r="J2163" s="21" t="str">
        <f aca="false">IF(B2163="","",IF(H2163&lt;&gt;"",H2163,F2163))</f>
        <v/>
      </c>
      <c r="K2163" s="26" t="str">
        <f aca="false">IF(A2163="","",DATE(YEAR(A2163),MONTH(A2163),1))</f>
        <v/>
      </c>
      <c r="L2163" s="21" t="str">
        <f aca="false">IF(J2163="",IF(B2163="","",IF(N(C2163)&gt;=0,"Income","Expense")),IFERROR(INDEX(Lists!$B$2:$B$30,MATCH(J2163,Lists!$A$2:$A$30,0)),""))</f>
        <v/>
      </c>
      <c r="M2163" s="24"/>
      <c r="N2163" s="27" t="str">
        <f aca="false">IF(B2163="","",IFERROR(1000-SUMPRODUCT(MAX(ISNUMBER(SEARCH(Rules!$A$5:$A$204,B2163))*(Rules!$A$5:$A$204&lt;&gt;"")*(1000-ROW(Rules!$A$5:$A$204)))),""))</f>
        <v/>
      </c>
    </row>
    <row r="2164" customFormat="false" ht="15" hidden="false" customHeight="false" outlineLevel="0" collapsed="false">
      <c r="A2164" s="23"/>
      <c r="B2164" s="24"/>
      <c r="C2164" s="25"/>
      <c r="D2164" s="24"/>
      <c r="E2164" s="21" t="str">
        <f aca="false">IF(OR(B2164="",N(N2164)=0,N2164=1000),IF(B2164="","","Check"),INDEX(Rules!$B:$B,N2164))</f>
        <v/>
      </c>
      <c r="F2164" s="21" t="str">
        <f aca="false">IF(OR(B2164="",N(N2164)=0,N2164=1000),"",INDEX(Rules!$C:$C,N2164))</f>
        <v/>
      </c>
      <c r="G2164" s="24"/>
      <c r="H2164" s="24"/>
      <c r="I2164" s="20" t="str">
        <f aca="false">IF(B2164="","",IF(G2164&lt;&gt;"",G2164,E2164))</f>
        <v/>
      </c>
      <c r="J2164" s="21" t="str">
        <f aca="false">IF(B2164="","",IF(H2164&lt;&gt;"",H2164,F2164))</f>
        <v/>
      </c>
      <c r="K2164" s="26" t="str">
        <f aca="false">IF(A2164="","",DATE(YEAR(A2164),MONTH(A2164),1))</f>
        <v/>
      </c>
      <c r="L2164" s="21" t="str">
        <f aca="false">IF(J2164="",IF(B2164="","",IF(N(C2164)&gt;=0,"Income","Expense")),IFERROR(INDEX(Lists!$B$2:$B$30,MATCH(J2164,Lists!$A$2:$A$30,0)),""))</f>
        <v/>
      </c>
      <c r="M2164" s="24"/>
      <c r="N2164" s="27" t="str">
        <f aca="false">IF(B2164="","",IFERROR(1000-SUMPRODUCT(MAX(ISNUMBER(SEARCH(Rules!$A$5:$A$204,B2164))*(Rules!$A$5:$A$204&lt;&gt;"")*(1000-ROW(Rules!$A$5:$A$204)))),""))</f>
        <v/>
      </c>
    </row>
    <row r="2165" customFormat="false" ht="15" hidden="false" customHeight="false" outlineLevel="0" collapsed="false">
      <c r="A2165" s="23"/>
      <c r="B2165" s="24"/>
      <c r="C2165" s="25"/>
      <c r="D2165" s="24"/>
      <c r="E2165" s="21" t="str">
        <f aca="false">IF(OR(B2165="",N(N2165)=0,N2165=1000),IF(B2165="","","Check"),INDEX(Rules!$B:$B,N2165))</f>
        <v/>
      </c>
      <c r="F2165" s="21" t="str">
        <f aca="false">IF(OR(B2165="",N(N2165)=0,N2165=1000),"",INDEX(Rules!$C:$C,N2165))</f>
        <v/>
      </c>
      <c r="G2165" s="24"/>
      <c r="H2165" s="24"/>
      <c r="I2165" s="20" t="str">
        <f aca="false">IF(B2165="","",IF(G2165&lt;&gt;"",G2165,E2165))</f>
        <v/>
      </c>
      <c r="J2165" s="21" t="str">
        <f aca="false">IF(B2165="","",IF(H2165&lt;&gt;"",H2165,F2165))</f>
        <v/>
      </c>
      <c r="K2165" s="26" t="str">
        <f aca="false">IF(A2165="","",DATE(YEAR(A2165),MONTH(A2165),1))</f>
        <v/>
      </c>
      <c r="L2165" s="21" t="str">
        <f aca="false">IF(J2165="",IF(B2165="","",IF(N(C2165)&gt;=0,"Income","Expense")),IFERROR(INDEX(Lists!$B$2:$B$30,MATCH(J2165,Lists!$A$2:$A$30,0)),""))</f>
        <v/>
      </c>
      <c r="M2165" s="24"/>
      <c r="N2165" s="27" t="str">
        <f aca="false">IF(B2165="","",IFERROR(1000-SUMPRODUCT(MAX(ISNUMBER(SEARCH(Rules!$A$5:$A$204,B2165))*(Rules!$A$5:$A$204&lt;&gt;"")*(1000-ROW(Rules!$A$5:$A$204)))),""))</f>
        <v/>
      </c>
    </row>
    <row r="2166" customFormat="false" ht="15" hidden="false" customHeight="false" outlineLevel="0" collapsed="false">
      <c r="A2166" s="23"/>
      <c r="B2166" s="24"/>
      <c r="C2166" s="25"/>
      <c r="D2166" s="24"/>
      <c r="E2166" s="21" t="str">
        <f aca="false">IF(OR(B2166="",N(N2166)=0,N2166=1000),IF(B2166="","","Check"),INDEX(Rules!$B:$B,N2166))</f>
        <v/>
      </c>
      <c r="F2166" s="21" t="str">
        <f aca="false">IF(OR(B2166="",N(N2166)=0,N2166=1000),"",INDEX(Rules!$C:$C,N2166))</f>
        <v/>
      </c>
      <c r="G2166" s="24"/>
      <c r="H2166" s="24"/>
      <c r="I2166" s="20" t="str">
        <f aca="false">IF(B2166="","",IF(G2166&lt;&gt;"",G2166,E2166))</f>
        <v/>
      </c>
      <c r="J2166" s="21" t="str">
        <f aca="false">IF(B2166="","",IF(H2166&lt;&gt;"",H2166,F2166))</f>
        <v/>
      </c>
      <c r="K2166" s="26" t="str">
        <f aca="false">IF(A2166="","",DATE(YEAR(A2166),MONTH(A2166),1))</f>
        <v/>
      </c>
      <c r="L2166" s="21" t="str">
        <f aca="false">IF(J2166="",IF(B2166="","",IF(N(C2166)&gt;=0,"Income","Expense")),IFERROR(INDEX(Lists!$B$2:$B$30,MATCH(J2166,Lists!$A$2:$A$30,0)),""))</f>
        <v/>
      </c>
      <c r="M2166" s="24"/>
      <c r="N2166" s="27" t="str">
        <f aca="false">IF(B2166="","",IFERROR(1000-SUMPRODUCT(MAX(ISNUMBER(SEARCH(Rules!$A$5:$A$204,B2166))*(Rules!$A$5:$A$204&lt;&gt;"")*(1000-ROW(Rules!$A$5:$A$204)))),""))</f>
        <v/>
      </c>
    </row>
    <row r="2167" customFormat="false" ht="15" hidden="false" customHeight="false" outlineLevel="0" collapsed="false">
      <c r="A2167" s="23"/>
      <c r="B2167" s="24"/>
      <c r="C2167" s="25"/>
      <c r="D2167" s="24"/>
      <c r="E2167" s="21" t="str">
        <f aca="false">IF(OR(B2167="",N(N2167)=0,N2167=1000),IF(B2167="","","Check"),INDEX(Rules!$B:$B,N2167))</f>
        <v/>
      </c>
      <c r="F2167" s="21" t="str">
        <f aca="false">IF(OR(B2167="",N(N2167)=0,N2167=1000),"",INDEX(Rules!$C:$C,N2167))</f>
        <v/>
      </c>
      <c r="G2167" s="24"/>
      <c r="H2167" s="24"/>
      <c r="I2167" s="20" t="str">
        <f aca="false">IF(B2167="","",IF(G2167&lt;&gt;"",G2167,E2167))</f>
        <v/>
      </c>
      <c r="J2167" s="21" t="str">
        <f aca="false">IF(B2167="","",IF(H2167&lt;&gt;"",H2167,F2167))</f>
        <v/>
      </c>
      <c r="K2167" s="26" t="str">
        <f aca="false">IF(A2167="","",DATE(YEAR(A2167),MONTH(A2167),1))</f>
        <v/>
      </c>
      <c r="L2167" s="21" t="str">
        <f aca="false">IF(J2167="",IF(B2167="","",IF(N(C2167)&gt;=0,"Income","Expense")),IFERROR(INDEX(Lists!$B$2:$B$30,MATCH(J2167,Lists!$A$2:$A$30,0)),""))</f>
        <v/>
      </c>
      <c r="M2167" s="24"/>
      <c r="N2167" s="27" t="str">
        <f aca="false">IF(B2167="","",IFERROR(1000-SUMPRODUCT(MAX(ISNUMBER(SEARCH(Rules!$A$5:$A$204,B2167))*(Rules!$A$5:$A$204&lt;&gt;"")*(1000-ROW(Rules!$A$5:$A$204)))),""))</f>
        <v/>
      </c>
    </row>
    <row r="2168" customFormat="false" ht="15" hidden="false" customHeight="false" outlineLevel="0" collapsed="false">
      <c r="A2168" s="23"/>
      <c r="B2168" s="24"/>
      <c r="C2168" s="25"/>
      <c r="D2168" s="24"/>
      <c r="E2168" s="21" t="str">
        <f aca="false">IF(OR(B2168="",N(N2168)=0,N2168=1000),IF(B2168="","","Check"),INDEX(Rules!$B:$B,N2168))</f>
        <v/>
      </c>
      <c r="F2168" s="21" t="str">
        <f aca="false">IF(OR(B2168="",N(N2168)=0,N2168=1000),"",INDEX(Rules!$C:$C,N2168))</f>
        <v/>
      </c>
      <c r="G2168" s="24"/>
      <c r="H2168" s="24"/>
      <c r="I2168" s="20" t="str">
        <f aca="false">IF(B2168="","",IF(G2168&lt;&gt;"",G2168,E2168))</f>
        <v/>
      </c>
      <c r="J2168" s="21" t="str">
        <f aca="false">IF(B2168="","",IF(H2168&lt;&gt;"",H2168,F2168))</f>
        <v/>
      </c>
      <c r="K2168" s="26" t="str">
        <f aca="false">IF(A2168="","",DATE(YEAR(A2168),MONTH(A2168),1))</f>
        <v/>
      </c>
      <c r="L2168" s="21" t="str">
        <f aca="false">IF(J2168="",IF(B2168="","",IF(N(C2168)&gt;=0,"Income","Expense")),IFERROR(INDEX(Lists!$B$2:$B$30,MATCH(J2168,Lists!$A$2:$A$30,0)),""))</f>
        <v/>
      </c>
      <c r="M2168" s="24"/>
      <c r="N2168" s="27" t="str">
        <f aca="false">IF(B2168="","",IFERROR(1000-SUMPRODUCT(MAX(ISNUMBER(SEARCH(Rules!$A$5:$A$204,B2168))*(Rules!$A$5:$A$204&lt;&gt;"")*(1000-ROW(Rules!$A$5:$A$204)))),""))</f>
        <v/>
      </c>
    </row>
    <row r="2169" customFormat="false" ht="15" hidden="false" customHeight="false" outlineLevel="0" collapsed="false">
      <c r="A2169" s="23"/>
      <c r="B2169" s="24"/>
      <c r="C2169" s="25"/>
      <c r="D2169" s="24"/>
      <c r="E2169" s="21" t="str">
        <f aca="false">IF(OR(B2169="",N(N2169)=0,N2169=1000),IF(B2169="","","Check"),INDEX(Rules!$B:$B,N2169))</f>
        <v/>
      </c>
      <c r="F2169" s="21" t="str">
        <f aca="false">IF(OR(B2169="",N(N2169)=0,N2169=1000),"",INDEX(Rules!$C:$C,N2169))</f>
        <v/>
      </c>
      <c r="G2169" s="24"/>
      <c r="H2169" s="24"/>
      <c r="I2169" s="20" t="str">
        <f aca="false">IF(B2169="","",IF(G2169&lt;&gt;"",G2169,E2169))</f>
        <v/>
      </c>
      <c r="J2169" s="21" t="str">
        <f aca="false">IF(B2169="","",IF(H2169&lt;&gt;"",H2169,F2169))</f>
        <v/>
      </c>
      <c r="K2169" s="26" t="str">
        <f aca="false">IF(A2169="","",DATE(YEAR(A2169),MONTH(A2169),1))</f>
        <v/>
      </c>
      <c r="L2169" s="21" t="str">
        <f aca="false">IF(J2169="",IF(B2169="","",IF(N(C2169)&gt;=0,"Income","Expense")),IFERROR(INDEX(Lists!$B$2:$B$30,MATCH(J2169,Lists!$A$2:$A$30,0)),""))</f>
        <v/>
      </c>
      <c r="M2169" s="24"/>
      <c r="N2169" s="27" t="str">
        <f aca="false">IF(B2169="","",IFERROR(1000-SUMPRODUCT(MAX(ISNUMBER(SEARCH(Rules!$A$5:$A$204,B2169))*(Rules!$A$5:$A$204&lt;&gt;"")*(1000-ROW(Rules!$A$5:$A$204)))),""))</f>
        <v/>
      </c>
    </row>
    <row r="2170" customFormat="false" ht="15" hidden="false" customHeight="false" outlineLevel="0" collapsed="false">
      <c r="A2170" s="23"/>
      <c r="B2170" s="24"/>
      <c r="C2170" s="25"/>
      <c r="D2170" s="24"/>
      <c r="E2170" s="21" t="str">
        <f aca="false">IF(OR(B2170="",N(N2170)=0,N2170=1000),IF(B2170="","","Check"),INDEX(Rules!$B:$B,N2170))</f>
        <v/>
      </c>
      <c r="F2170" s="21" t="str">
        <f aca="false">IF(OR(B2170="",N(N2170)=0,N2170=1000),"",INDEX(Rules!$C:$C,N2170))</f>
        <v/>
      </c>
      <c r="G2170" s="24"/>
      <c r="H2170" s="24"/>
      <c r="I2170" s="20" t="str">
        <f aca="false">IF(B2170="","",IF(G2170&lt;&gt;"",G2170,E2170))</f>
        <v/>
      </c>
      <c r="J2170" s="21" t="str">
        <f aca="false">IF(B2170="","",IF(H2170&lt;&gt;"",H2170,F2170))</f>
        <v/>
      </c>
      <c r="K2170" s="26" t="str">
        <f aca="false">IF(A2170="","",DATE(YEAR(A2170),MONTH(A2170),1))</f>
        <v/>
      </c>
      <c r="L2170" s="21" t="str">
        <f aca="false">IF(J2170="",IF(B2170="","",IF(N(C2170)&gt;=0,"Income","Expense")),IFERROR(INDEX(Lists!$B$2:$B$30,MATCH(J2170,Lists!$A$2:$A$30,0)),""))</f>
        <v/>
      </c>
      <c r="M2170" s="24"/>
      <c r="N2170" s="27" t="str">
        <f aca="false">IF(B2170="","",IFERROR(1000-SUMPRODUCT(MAX(ISNUMBER(SEARCH(Rules!$A$5:$A$204,B2170))*(Rules!$A$5:$A$204&lt;&gt;"")*(1000-ROW(Rules!$A$5:$A$204)))),""))</f>
        <v/>
      </c>
    </row>
    <row r="2171" customFormat="false" ht="15" hidden="false" customHeight="false" outlineLevel="0" collapsed="false">
      <c r="A2171" s="23"/>
      <c r="B2171" s="24"/>
      <c r="C2171" s="25"/>
      <c r="D2171" s="24"/>
      <c r="E2171" s="21" t="str">
        <f aca="false">IF(OR(B2171="",N(N2171)=0,N2171=1000),IF(B2171="","","Check"),INDEX(Rules!$B:$B,N2171))</f>
        <v/>
      </c>
      <c r="F2171" s="21" t="str">
        <f aca="false">IF(OR(B2171="",N(N2171)=0,N2171=1000),"",INDEX(Rules!$C:$C,N2171))</f>
        <v/>
      </c>
      <c r="G2171" s="24"/>
      <c r="H2171" s="24"/>
      <c r="I2171" s="20" t="str">
        <f aca="false">IF(B2171="","",IF(G2171&lt;&gt;"",G2171,E2171))</f>
        <v/>
      </c>
      <c r="J2171" s="21" t="str">
        <f aca="false">IF(B2171="","",IF(H2171&lt;&gt;"",H2171,F2171))</f>
        <v/>
      </c>
      <c r="K2171" s="26" t="str">
        <f aca="false">IF(A2171="","",DATE(YEAR(A2171),MONTH(A2171),1))</f>
        <v/>
      </c>
      <c r="L2171" s="21" t="str">
        <f aca="false">IF(J2171="",IF(B2171="","",IF(N(C2171)&gt;=0,"Income","Expense")),IFERROR(INDEX(Lists!$B$2:$B$30,MATCH(J2171,Lists!$A$2:$A$30,0)),""))</f>
        <v/>
      </c>
      <c r="M2171" s="24"/>
      <c r="N2171" s="27" t="str">
        <f aca="false">IF(B2171="","",IFERROR(1000-SUMPRODUCT(MAX(ISNUMBER(SEARCH(Rules!$A$5:$A$204,B2171))*(Rules!$A$5:$A$204&lt;&gt;"")*(1000-ROW(Rules!$A$5:$A$204)))),""))</f>
        <v/>
      </c>
    </row>
    <row r="2172" customFormat="false" ht="15" hidden="false" customHeight="false" outlineLevel="0" collapsed="false">
      <c r="A2172" s="23"/>
      <c r="B2172" s="24"/>
      <c r="C2172" s="25"/>
      <c r="D2172" s="24"/>
      <c r="E2172" s="21" t="str">
        <f aca="false">IF(OR(B2172="",N(N2172)=0,N2172=1000),IF(B2172="","","Check"),INDEX(Rules!$B:$B,N2172))</f>
        <v/>
      </c>
      <c r="F2172" s="21" t="str">
        <f aca="false">IF(OR(B2172="",N(N2172)=0,N2172=1000),"",INDEX(Rules!$C:$C,N2172))</f>
        <v/>
      </c>
      <c r="G2172" s="24"/>
      <c r="H2172" s="24"/>
      <c r="I2172" s="20" t="str">
        <f aca="false">IF(B2172="","",IF(G2172&lt;&gt;"",G2172,E2172))</f>
        <v/>
      </c>
      <c r="J2172" s="21" t="str">
        <f aca="false">IF(B2172="","",IF(H2172&lt;&gt;"",H2172,F2172))</f>
        <v/>
      </c>
      <c r="K2172" s="26" t="str">
        <f aca="false">IF(A2172="","",DATE(YEAR(A2172),MONTH(A2172),1))</f>
        <v/>
      </c>
      <c r="L2172" s="21" t="str">
        <f aca="false">IF(J2172="",IF(B2172="","",IF(N(C2172)&gt;=0,"Income","Expense")),IFERROR(INDEX(Lists!$B$2:$B$30,MATCH(J2172,Lists!$A$2:$A$30,0)),""))</f>
        <v/>
      </c>
      <c r="M2172" s="24"/>
      <c r="N2172" s="27" t="str">
        <f aca="false">IF(B2172="","",IFERROR(1000-SUMPRODUCT(MAX(ISNUMBER(SEARCH(Rules!$A$5:$A$204,B2172))*(Rules!$A$5:$A$204&lt;&gt;"")*(1000-ROW(Rules!$A$5:$A$204)))),""))</f>
        <v/>
      </c>
    </row>
    <row r="2173" customFormat="false" ht="15" hidden="false" customHeight="false" outlineLevel="0" collapsed="false">
      <c r="A2173" s="23"/>
      <c r="B2173" s="24"/>
      <c r="C2173" s="25"/>
      <c r="D2173" s="24"/>
      <c r="E2173" s="21" t="str">
        <f aca="false">IF(OR(B2173="",N(N2173)=0,N2173=1000),IF(B2173="","","Check"),INDEX(Rules!$B:$B,N2173))</f>
        <v/>
      </c>
      <c r="F2173" s="21" t="str">
        <f aca="false">IF(OR(B2173="",N(N2173)=0,N2173=1000),"",INDEX(Rules!$C:$C,N2173))</f>
        <v/>
      </c>
      <c r="G2173" s="24"/>
      <c r="H2173" s="24"/>
      <c r="I2173" s="20" t="str">
        <f aca="false">IF(B2173="","",IF(G2173&lt;&gt;"",G2173,E2173))</f>
        <v/>
      </c>
      <c r="J2173" s="21" t="str">
        <f aca="false">IF(B2173="","",IF(H2173&lt;&gt;"",H2173,F2173))</f>
        <v/>
      </c>
      <c r="K2173" s="26" t="str">
        <f aca="false">IF(A2173="","",DATE(YEAR(A2173),MONTH(A2173),1))</f>
        <v/>
      </c>
      <c r="L2173" s="21" t="str">
        <f aca="false">IF(J2173="",IF(B2173="","",IF(N(C2173)&gt;=0,"Income","Expense")),IFERROR(INDEX(Lists!$B$2:$B$30,MATCH(J2173,Lists!$A$2:$A$30,0)),""))</f>
        <v/>
      </c>
      <c r="M2173" s="24"/>
      <c r="N2173" s="27" t="str">
        <f aca="false">IF(B2173="","",IFERROR(1000-SUMPRODUCT(MAX(ISNUMBER(SEARCH(Rules!$A$5:$A$204,B2173))*(Rules!$A$5:$A$204&lt;&gt;"")*(1000-ROW(Rules!$A$5:$A$204)))),""))</f>
        <v/>
      </c>
    </row>
    <row r="2174" customFormat="false" ht="15" hidden="false" customHeight="false" outlineLevel="0" collapsed="false">
      <c r="A2174" s="23"/>
      <c r="B2174" s="24"/>
      <c r="C2174" s="25"/>
      <c r="D2174" s="24"/>
      <c r="E2174" s="21" t="str">
        <f aca="false">IF(OR(B2174="",N(N2174)=0,N2174=1000),IF(B2174="","","Check"),INDEX(Rules!$B:$B,N2174))</f>
        <v/>
      </c>
      <c r="F2174" s="21" t="str">
        <f aca="false">IF(OR(B2174="",N(N2174)=0,N2174=1000),"",INDEX(Rules!$C:$C,N2174))</f>
        <v/>
      </c>
      <c r="G2174" s="24"/>
      <c r="H2174" s="24"/>
      <c r="I2174" s="20" t="str">
        <f aca="false">IF(B2174="","",IF(G2174&lt;&gt;"",G2174,E2174))</f>
        <v/>
      </c>
      <c r="J2174" s="21" t="str">
        <f aca="false">IF(B2174="","",IF(H2174&lt;&gt;"",H2174,F2174))</f>
        <v/>
      </c>
      <c r="K2174" s="26" t="str">
        <f aca="false">IF(A2174="","",DATE(YEAR(A2174),MONTH(A2174),1))</f>
        <v/>
      </c>
      <c r="L2174" s="21" t="str">
        <f aca="false">IF(J2174="",IF(B2174="","",IF(N(C2174)&gt;=0,"Income","Expense")),IFERROR(INDEX(Lists!$B$2:$B$30,MATCH(J2174,Lists!$A$2:$A$30,0)),""))</f>
        <v/>
      </c>
      <c r="M2174" s="24"/>
      <c r="N2174" s="27" t="str">
        <f aca="false">IF(B2174="","",IFERROR(1000-SUMPRODUCT(MAX(ISNUMBER(SEARCH(Rules!$A$5:$A$204,B2174))*(Rules!$A$5:$A$204&lt;&gt;"")*(1000-ROW(Rules!$A$5:$A$204)))),""))</f>
        <v/>
      </c>
    </row>
    <row r="2175" customFormat="false" ht="15" hidden="false" customHeight="false" outlineLevel="0" collapsed="false">
      <c r="A2175" s="23"/>
      <c r="B2175" s="24"/>
      <c r="C2175" s="25"/>
      <c r="D2175" s="24"/>
      <c r="E2175" s="21" t="str">
        <f aca="false">IF(OR(B2175="",N(N2175)=0,N2175=1000),IF(B2175="","","Check"),INDEX(Rules!$B:$B,N2175))</f>
        <v/>
      </c>
      <c r="F2175" s="21" t="str">
        <f aca="false">IF(OR(B2175="",N(N2175)=0,N2175=1000),"",INDEX(Rules!$C:$C,N2175))</f>
        <v/>
      </c>
      <c r="G2175" s="24"/>
      <c r="H2175" s="24"/>
      <c r="I2175" s="20" t="str">
        <f aca="false">IF(B2175="","",IF(G2175&lt;&gt;"",G2175,E2175))</f>
        <v/>
      </c>
      <c r="J2175" s="21" t="str">
        <f aca="false">IF(B2175="","",IF(H2175&lt;&gt;"",H2175,F2175))</f>
        <v/>
      </c>
      <c r="K2175" s="26" t="str">
        <f aca="false">IF(A2175="","",DATE(YEAR(A2175),MONTH(A2175),1))</f>
        <v/>
      </c>
      <c r="L2175" s="21" t="str">
        <f aca="false">IF(J2175="",IF(B2175="","",IF(N(C2175)&gt;=0,"Income","Expense")),IFERROR(INDEX(Lists!$B$2:$B$30,MATCH(J2175,Lists!$A$2:$A$30,0)),""))</f>
        <v/>
      </c>
      <c r="M2175" s="24"/>
      <c r="N2175" s="27" t="str">
        <f aca="false">IF(B2175="","",IFERROR(1000-SUMPRODUCT(MAX(ISNUMBER(SEARCH(Rules!$A$5:$A$204,B2175))*(Rules!$A$5:$A$204&lt;&gt;"")*(1000-ROW(Rules!$A$5:$A$204)))),""))</f>
        <v/>
      </c>
    </row>
    <row r="2176" customFormat="false" ht="15" hidden="false" customHeight="false" outlineLevel="0" collapsed="false">
      <c r="A2176" s="23"/>
      <c r="B2176" s="24"/>
      <c r="C2176" s="25"/>
      <c r="D2176" s="24"/>
      <c r="E2176" s="21" t="str">
        <f aca="false">IF(OR(B2176="",N(N2176)=0,N2176=1000),IF(B2176="","","Check"),INDEX(Rules!$B:$B,N2176))</f>
        <v/>
      </c>
      <c r="F2176" s="21" t="str">
        <f aca="false">IF(OR(B2176="",N(N2176)=0,N2176=1000),"",INDEX(Rules!$C:$C,N2176))</f>
        <v/>
      </c>
      <c r="G2176" s="24"/>
      <c r="H2176" s="24"/>
      <c r="I2176" s="20" t="str">
        <f aca="false">IF(B2176="","",IF(G2176&lt;&gt;"",G2176,E2176))</f>
        <v/>
      </c>
      <c r="J2176" s="21" t="str">
        <f aca="false">IF(B2176="","",IF(H2176&lt;&gt;"",H2176,F2176))</f>
        <v/>
      </c>
      <c r="K2176" s="26" t="str">
        <f aca="false">IF(A2176="","",DATE(YEAR(A2176),MONTH(A2176),1))</f>
        <v/>
      </c>
      <c r="L2176" s="21" t="str">
        <f aca="false">IF(J2176="",IF(B2176="","",IF(N(C2176)&gt;=0,"Income","Expense")),IFERROR(INDEX(Lists!$B$2:$B$30,MATCH(J2176,Lists!$A$2:$A$30,0)),""))</f>
        <v/>
      </c>
      <c r="M2176" s="24"/>
      <c r="N2176" s="27" t="str">
        <f aca="false">IF(B2176="","",IFERROR(1000-SUMPRODUCT(MAX(ISNUMBER(SEARCH(Rules!$A$5:$A$204,B2176))*(Rules!$A$5:$A$204&lt;&gt;"")*(1000-ROW(Rules!$A$5:$A$204)))),""))</f>
        <v/>
      </c>
    </row>
    <row r="2177" customFormat="false" ht="15" hidden="false" customHeight="false" outlineLevel="0" collapsed="false">
      <c r="A2177" s="23"/>
      <c r="B2177" s="24"/>
      <c r="C2177" s="25"/>
      <c r="D2177" s="24"/>
      <c r="E2177" s="21" t="str">
        <f aca="false">IF(OR(B2177="",N(N2177)=0,N2177=1000),IF(B2177="","","Check"),INDEX(Rules!$B:$B,N2177))</f>
        <v/>
      </c>
      <c r="F2177" s="21" t="str">
        <f aca="false">IF(OR(B2177="",N(N2177)=0,N2177=1000),"",INDEX(Rules!$C:$C,N2177))</f>
        <v/>
      </c>
      <c r="G2177" s="24"/>
      <c r="H2177" s="24"/>
      <c r="I2177" s="20" t="str">
        <f aca="false">IF(B2177="","",IF(G2177&lt;&gt;"",G2177,E2177))</f>
        <v/>
      </c>
      <c r="J2177" s="21" t="str">
        <f aca="false">IF(B2177="","",IF(H2177&lt;&gt;"",H2177,F2177))</f>
        <v/>
      </c>
      <c r="K2177" s="26" t="str">
        <f aca="false">IF(A2177="","",DATE(YEAR(A2177),MONTH(A2177),1))</f>
        <v/>
      </c>
      <c r="L2177" s="21" t="str">
        <f aca="false">IF(J2177="",IF(B2177="","",IF(N(C2177)&gt;=0,"Income","Expense")),IFERROR(INDEX(Lists!$B$2:$B$30,MATCH(J2177,Lists!$A$2:$A$30,0)),""))</f>
        <v/>
      </c>
      <c r="M2177" s="24"/>
      <c r="N2177" s="27" t="str">
        <f aca="false">IF(B2177="","",IFERROR(1000-SUMPRODUCT(MAX(ISNUMBER(SEARCH(Rules!$A$5:$A$204,B2177))*(Rules!$A$5:$A$204&lt;&gt;"")*(1000-ROW(Rules!$A$5:$A$204)))),""))</f>
        <v/>
      </c>
    </row>
    <row r="2178" customFormat="false" ht="15" hidden="false" customHeight="false" outlineLevel="0" collapsed="false">
      <c r="A2178" s="23"/>
      <c r="B2178" s="24"/>
      <c r="C2178" s="25"/>
      <c r="D2178" s="24"/>
      <c r="E2178" s="21" t="str">
        <f aca="false">IF(OR(B2178="",N(N2178)=0,N2178=1000),IF(B2178="","","Check"),INDEX(Rules!$B:$B,N2178))</f>
        <v/>
      </c>
      <c r="F2178" s="21" t="str">
        <f aca="false">IF(OR(B2178="",N(N2178)=0,N2178=1000),"",INDEX(Rules!$C:$C,N2178))</f>
        <v/>
      </c>
      <c r="G2178" s="24"/>
      <c r="H2178" s="24"/>
      <c r="I2178" s="20" t="str">
        <f aca="false">IF(B2178="","",IF(G2178&lt;&gt;"",G2178,E2178))</f>
        <v/>
      </c>
      <c r="J2178" s="21" t="str">
        <f aca="false">IF(B2178="","",IF(H2178&lt;&gt;"",H2178,F2178))</f>
        <v/>
      </c>
      <c r="K2178" s="26" t="str">
        <f aca="false">IF(A2178="","",DATE(YEAR(A2178),MONTH(A2178),1))</f>
        <v/>
      </c>
      <c r="L2178" s="21" t="str">
        <f aca="false">IF(J2178="",IF(B2178="","",IF(N(C2178)&gt;=0,"Income","Expense")),IFERROR(INDEX(Lists!$B$2:$B$30,MATCH(J2178,Lists!$A$2:$A$30,0)),""))</f>
        <v/>
      </c>
      <c r="M2178" s="24"/>
      <c r="N2178" s="27" t="str">
        <f aca="false">IF(B2178="","",IFERROR(1000-SUMPRODUCT(MAX(ISNUMBER(SEARCH(Rules!$A$5:$A$204,B2178))*(Rules!$A$5:$A$204&lt;&gt;"")*(1000-ROW(Rules!$A$5:$A$204)))),""))</f>
        <v/>
      </c>
    </row>
    <row r="2179" customFormat="false" ht="15" hidden="false" customHeight="false" outlineLevel="0" collapsed="false">
      <c r="A2179" s="23"/>
      <c r="B2179" s="24"/>
      <c r="C2179" s="25"/>
      <c r="D2179" s="24"/>
      <c r="E2179" s="21" t="str">
        <f aca="false">IF(OR(B2179="",N(N2179)=0,N2179=1000),IF(B2179="","","Check"),INDEX(Rules!$B:$B,N2179))</f>
        <v/>
      </c>
      <c r="F2179" s="21" t="str">
        <f aca="false">IF(OR(B2179="",N(N2179)=0,N2179=1000),"",INDEX(Rules!$C:$C,N2179))</f>
        <v/>
      </c>
      <c r="G2179" s="24"/>
      <c r="H2179" s="24"/>
      <c r="I2179" s="20" t="str">
        <f aca="false">IF(B2179="","",IF(G2179&lt;&gt;"",G2179,E2179))</f>
        <v/>
      </c>
      <c r="J2179" s="21" t="str">
        <f aca="false">IF(B2179="","",IF(H2179&lt;&gt;"",H2179,F2179))</f>
        <v/>
      </c>
      <c r="K2179" s="26" t="str">
        <f aca="false">IF(A2179="","",DATE(YEAR(A2179),MONTH(A2179),1))</f>
        <v/>
      </c>
      <c r="L2179" s="21" t="str">
        <f aca="false">IF(J2179="",IF(B2179="","",IF(N(C2179)&gt;=0,"Income","Expense")),IFERROR(INDEX(Lists!$B$2:$B$30,MATCH(J2179,Lists!$A$2:$A$30,0)),""))</f>
        <v/>
      </c>
      <c r="M2179" s="24"/>
      <c r="N2179" s="27" t="str">
        <f aca="false">IF(B2179="","",IFERROR(1000-SUMPRODUCT(MAX(ISNUMBER(SEARCH(Rules!$A$5:$A$204,B2179))*(Rules!$A$5:$A$204&lt;&gt;"")*(1000-ROW(Rules!$A$5:$A$204)))),""))</f>
        <v/>
      </c>
    </row>
    <row r="2180" customFormat="false" ht="15" hidden="false" customHeight="false" outlineLevel="0" collapsed="false">
      <c r="A2180" s="23"/>
      <c r="B2180" s="24"/>
      <c r="C2180" s="25"/>
      <c r="D2180" s="24"/>
      <c r="E2180" s="21" t="str">
        <f aca="false">IF(OR(B2180="",N(N2180)=0,N2180=1000),IF(B2180="","","Check"),INDEX(Rules!$B:$B,N2180))</f>
        <v/>
      </c>
      <c r="F2180" s="21" t="str">
        <f aca="false">IF(OR(B2180="",N(N2180)=0,N2180=1000),"",INDEX(Rules!$C:$C,N2180))</f>
        <v/>
      </c>
      <c r="G2180" s="24"/>
      <c r="H2180" s="24"/>
      <c r="I2180" s="20" t="str">
        <f aca="false">IF(B2180="","",IF(G2180&lt;&gt;"",G2180,E2180))</f>
        <v/>
      </c>
      <c r="J2180" s="21" t="str">
        <f aca="false">IF(B2180="","",IF(H2180&lt;&gt;"",H2180,F2180))</f>
        <v/>
      </c>
      <c r="K2180" s="26" t="str">
        <f aca="false">IF(A2180="","",DATE(YEAR(A2180),MONTH(A2180),1))</f>
        <v/>
      </c>
      <c r="L2180" s="21" t="str">
        <f aca="false">IF(J2180="",IF(B2180="","",IF(N(C2180)&gt;=0,"Income","Expense")),IFERROR(INDEX(Lists!$B$2:$B$30,MATCH(J2180,Lists!$A$2:$A$30,0)),""))</f>
        <v/>
      </c>
      <c r="M2180" s="24"/>
      <c r="N2180" s="27" t="str">
        <f aca="false">IF(B2180="","",IFERROR(1000-SUMPRODUCT(MAX(ISNUMBER(SEARCH(Rules!$A$5:$A$204,B2180))*(Rules!$A$5:$A$204&lt;&gt;"")*(1000-ROW(Rules!$A$5:$A$204)))),""))</f>
        <v/>
      </c>
    </row>
    <row r="2181" customFormat="false" ht="15" hidden="false" customHeight="false" outlineLevel="0" collapsed="false">
      <c r="A2181" s="23"/>
      <c r="B2181" s="24"/>
      <c r="C2181" s="25"/>
      <c r="D2181" s="24"/>
      <c r="E2181" s="21" t="str">
        <f aca="false">IF(OR(B2181="",N(N2181)=0,N2181=1000),IF(B2181="","","Check"),INDEX(Rules!$B:$B,N2181))</f>
        <v/>
      </c>
      <c r="F2181" s="21" t="str">
        <f aca="false">IF(OR(B2181="",N(N2181)=0,N2181=1000),"",INDEX(Rules!$C:$C,N2181))</f>
        <v/>
      </c>
      <c r="G2181" s="24"/>
      <c r="H2181" s="24"/>
      <c r="I2181" s="20" t="str">
        <f aca="false">IF(B2181="","",IF(G2181&lt;&gt;"",G2181,E2181))</f>
        <v/>
      </c>
      <c r="J2181" s="21" t="str">
        <f aca="false">IF(B2181="","",IF(H2181&lt;&gt;"",H2181,F2181))</f>
        <v/>
      </c>
      <c r="K2181" s="26" t="str">
        <f aca="false">IF(A2181="","",DATE(YEAR(A2181),MONTH(A2181),1))</f>
        <v/>
      </c>
      <c r="L2181" s="21" t="str">
        <f aca="false">IF(J2181="",IF(B2181="","",IF(N(C2181)&gt;=0,"Income","Expense")),IFERROR(INDEX(Lists!$B$2:$B$30,MATCH(J2181,Lists!$A$2:$A$30,0)),""))</f>
        <v/>
      </c>
      <c r="M2181" s="24"/>
      <c r="N2181" s="27" t="str">
        <f aca="false">IF(B2181="","",IFERROR(1000-SUMPRODUCT(MAX(ISNUMBER(SEARCH(Rules!$A$5:$A$204,B2181))*(Rules!$A$5:$A$204&lt;&gt;"")*(1000-ROW(Rules!$A$5:$A$204)))),""))</f>
        <v/>
      </c>
    </row>
    <row r="2182" customFormat="false" ht="15" hidden="false" customHeight="false" outlineLevel="0" collapsed="false">
      <c r="A2182" s="23"/>
      <c r="B2182" s="24"/>
      <c r="C2182" s="25"/>
      <c r="D2182" s="24"/>
      <c r="E2182" s="21" t="str">
        <f aca="false">IF(OR(B2182="",N(N2182)=0,N2182=1000),IF(B2182="","","Check"),INDEX(Rules!$B:$B,N2182))</f>
        <v/>
      </c>
      <c r="F2182" s="21" t="str">
        <f aca="false">IF(OR(B2182="",N(N2182)=0,N2182=1000),"",INDEX(Rules!$C:$C,N2182))</f>
        <v/>
      </c>
      <c r="G2182" s="24"/>
      <c r="H2182" s="24"/>
      <c r="I2182" s="20" t="str">
        <f aca="false">IF(B2182="","",IF(G2182&lt;&gt;"",G2182,E2182))</f>
        <v/>
      </c>
      <c r="J2182" s="21" t="str">
        <f aca="false">IF(B2182="","",IF(H2182&lt;&gt;"",H2182,F2182))</f>
        <v/>
      </c>
      <c r="K2182" s="26" t="str">
        <f aca="false">IF(A2182="","",DATE(YEAR(A2182),MONTH(A2182),1))</f>
        <v/>
      </c>
      <c r="L2182" s="21" t="str">
        <f aca="false">IF(J2182="",IF(B2182="","",IF(N(C2182)&gt;=0,"Income","Expense")),IFERROR(INDEX(Lists!$B$2:$B$30,MATCH(J2182,Lists!$A$2:$A$30,0)),""))</f>
        <v/>
      </c>
      <c r="M2182" s="24"/>
      <c r="N2182" s="27" t="str">
        <f aca="false">IF(B2182="","",IFERROR(1000-SUMPRODUCT(MAX(ISNUMBER(SEARCH(Rules!$A$5:$A$204,B2182))*(Rules!$A$5:$A$204&lt;&gt;"")*(1000-ROW(Rules!$A$5:$A$204)))),""))</f>
        <v/>
      </c>
    </row>
    <row r="2183" customFormat="false" ht="15" hidden="false" customHeight="false" outlineLevel="0" collapsed="false">
      <c r="A2183" s="23"/>
      <c r="B2183" s="24"/>
      <c r="C2183" s="25"/>
      <c r="D2183" s="24"/>
      <c r="E2183" s="21" t="str">
        <f aca="false">IF(OR(B2183="",N(N2183)=0,N2183=1000),IF(B2183="","","Check"),INDEX(Rules!$B:$B,N2183))</f>
        <v/>
      </c>
      <c r="F2183" s="21" t="str">
        <f aca="false">IF(OR(B2183="",N(N2183)=0,N2183=1000),"",INDEX(Rules!$C:$C,N2183))</f>
        <v/>
      </c>
      <c r="G2183" s="24"/>
      <c r="H2183" s="24"/>
      <c r="I2183" s="20" t="str">
        <f aca="false">IF(B2183="","",IF(G2183&lt;&gt;"",G2183,E2183))</f>
        <v/>
      </c>
      <c r="J2183" s="21" t="str">
        <f aca="false">IF(B2183="","",IF(H2183&lt;&gt;"",H2183,F2183))</f>
        <v/>
      </c>
      <c r="K2183" s="26" t="str">
        <f aca="false">IF(A2183="","",DATE(YEAR(A2183),MONTH(A2183),1))</f>
        <v/>
      </c>
      <c r="L2183" s="21" t="str">
        <f aca="false">IF(J2183="",IF(B2183="","",IF(N(C2183)&gt;=0,"Income","Expense")),IFERROR(INDEX(Lists!$B$2:$B$30,MATCH(J2183,Lists!$A$2:$A$30,0)),""))</f>
        <v/>
      </c>
      <c r="M2183" s="24"/>
      <c r="N2183" s="27" t="str">
        <f aca="false">IF(B2183="","",IFERROR(1000-SUMPRODUCT(MAX(ISNUMBER(SEARCH(Rules!$A$5:$A$204,B2183))*(Rules!$A$5:$A$204&lt;&gt;"")*(1000-ROW(Rules!$A$5:$A$204)))),""))</f>
        <v/>
      </c>
    </row>
    <row r="2184" customFormat="false" ht="15" hidden="false" customHeight="false" outlineLevel="0" collapsed="false">
      <c r="A2184" s="23"/>
      <c r="B2184" s="24"/>
      <c r="C2184" s="25"/>
      <c r="D2184" s="24"/>
      <c r="E2184" s="21" t="str">
        <f aca="false">IF(OR(B2184="",N(N2184)=0,N2184=1000),IF(B2184="","","Check"),INDEX(Rules!$B:$B,N2184))</f>
        <v/>
      </c>
      <c r="F2184" s="21" t="str">
        <f aca="false">IF(OR(B2184="",N(N2184)=0,N2184=1000),"",INDEX(Rules!$C:$C,N2184))</f>
        <v/>
      </c>
      <c r="G2184" s="24"/>
      <c r="H2184" s="24"/>
      <c r="I2184" s="20" t="str">
        <f aca="false">IF(B2184="","",IF(G2184&lt;&gt;"",G2184,E2184))</f>
        <v/>
      </c>
      <c r="J2184" s="21" t="str">
        <f aca="false">IF(B2184="","",IF(H2184&lt;&gt;"",H2184,F2184))</f>
        <v/>
      </c>
      <c r="K2184" s="26" t="str">
        <f aca="false">IF(A2184="","",DATE(YEAR(A2184),MONTH(A2184),1))</f>
        <v/>
      </c>
      <c r="L2184" s="21" t="str">
        <f aca="false">IF(J2184="",IF(B2184="","",IF(N(C2184)&gt;=0,"Income","Expense")),IFERROR(INDEX(Lists!$B$2:$B$30,MATCH(J2184,Lists!$A$2:$A$30,0)),""))</f>
        <v/>
      </c>
      <c r="M2184" s="24"/>
      <c r="N2184" s="27" t="str">
        <f aca="false">IF(B2184="","",IFERROR(1000-SUMPRODUCT(MAX(ISNUMBER(SEARCH(Rules!$A$5:$A$204,B2184))*(Rules!$A$5:$A$204&lt;&gt;"")*(1000-ROW(Rules!$A$5:$A$204)))),""))</f>
        <v/>
      </c>
    </row>
    <row r="2185" customFormat="false" ht="15" hidden="false" customHeight="false" outlineLevel="0" collapsed="false">
      <c r="A2185" s="23"/>
      <c r="B2185" s="24"/>
      <c r="C2185" s="25"/>
      <c r="D2185" s="24"/>
      <c r="E2185" s="21" t="str">
        <f aca="false">IF(OR(B2185="",N(N2185)=0,N2185=1000),IF(B2185="","","Check"),INDEX(Rules!$B:$B,N2185))</f>
        <v/>
      </c>
      <c r="F2185" s="21" t="str">
        <f aca="false">IF(OR(B2185="",N(N2185)=0,N2185=1000),"",INDEX(Rules!$C:$C,N2185))</f>
        <v/>
      </c>
      <c r="G2185" s="24"/>
      <c r="H2185" s="24"/>
      <c r="I2185" s="20" t="str">
        <f aca="false">IF(B2185="","",IF(G2185&lt;&gt;"",G2185,E2185))</f>
        <v/>
      </c>
      <c r="J2185" s="21" t="str">
        <f aca="false">IF(B2185="","",IF(H2185&lt;&gt;"",H2185,F2185))</f>
        <v/>
      </c>
      <c r="K2185" s="26" t="str">
        <f aca="false">IF(A2185="","",DATE(YEAR(A2185),MONTH(A2185),1))</f>
        <v/>
      </c>
      <c r="L2185" s="21" t="str">
        <f aca="false">IF(J2185="",IF(B2185="","",IF(N(C2185)&gt;=0,"Income","Expense")),IFERROR(INDEX(Lists!$B$2:$B$30,MATCH(J2185,Lists!$A$2:$A$30,0)),""))</f>
        <v/>
      </c>
      <c r="M2185" s="24"/>
      <c r="N2185" s="27" t="str">
        <f aca="false">IF(B2185="","",IFERROR(1000-SUMPRODUCT(MAX(ISNUMBER(SEARCH(Rules!$A$5:$A$204,B2185))*(Rules!$A$5:$A$204&lt;&gt;"")*(1000-ROW(Rules!$A$5:$A$204)))),""))</f>
        <v/>
      </c>
    </row>
    <row r="2186" customFormat="false" ht="15" hidden="false" customHeight="false" outlineLevel="0" collapsed="false">
      <c r="A2186" s="23"/>
      <c r="B2186" s="24"/>
      <c r="C2186" s="25"/>
      <c r="D2186" s="24"/>
      <c r="E2186" s="21" t="str">
        <f aca="false">IF(OR(B2186="",N(N2186)=0,N2186=1000),IF(B2186="","","Check"),INDEX(Rules!$B:$B,N2186))</f>
        <v/>
      </c>
      <c r="F2186" s="21" t="str">
        <f aca="false">IF(OR(B2186="",N(N2186)=0,N2186=1000),"",INDEX(Rules!$C:$C,N2186))</f>
        <v/>
      </c>
      <c r="G2186" s="24"/>
      <c r="H2186" s="24"/>
      <c r="I2186" s="20" t="str">
        <f aca="false">IF(B2186="","",IF(G2186&lt;&gt;"",G2186,E2186))</f>
        <v/>
      </c>
      <c r="J2186" s="21" t="str">
        <f aca="false">IF(B2186="","",IF(H2186&lt;&gt;"",H2186,F2186))</f>
        <v/>
      </c>
      <c r="K2186" s="26" t="str">
        <f aca="false">IF(A2186="","",DATE(YEAR(A2186),MONTH(A2186),1))</f>
        <v/>
      </c>
      <c r="L2186" s="21" t="str">
        <f aca="false">IF(J2186="",IF(B2186="","",IF(N(C2186)&gt;=0,"Income","Expense")),IFERROR(INDEX(Lists!$B$2:$B$30,MATCH(J2186,Lists!$A$2:$A$30,0)),""))</f>
        <v/>
      </c>
      <c r="M2186" s="24"/>
      <c r="N2186" s="27" t="str">
        <f aca="false">IF(B2186="","",IFERROR(1000-SUMPRODUCT(MAX(ISNUMBER(SEARCH(Rules!$A$5:$A$204,B2186))*(Rules!$A$5:$A$204&lt;&gt;"")*(1000-ROW(Rules!$A$5:$A$204)))),""))</f>
        <v/>
      </c>
    </row>
    <row r="2187" customFormat="false" ht="15" hidden="false" customHeight="false" outlineLevel="0" collapsed="false">
      <c r="A2187" s="23"/>
      <c r="B2187" s="24"/>
      <c r="C2187" s="25"/>
      <c r="D2187" s="24"/>
      <c r="E2187" s="21" t="str">
        <f aca="false">IF(OR(B2187="",N(N2187)=0,N2187=1000),IF(B2187="","","Check"),INDEX(Rules!$B:$B,N2187))</f>
        <v/>
      </c>
      <c r="F2187" s="21" t="str">
        <f aca="false">IF(OR(B2187="",N(N2187)=0,N2187=1000),"",INDEX(Rules!$C:$C,N2187))</f>
        <v/>
      </c>
      <c r="G2187" s="24"/>
      <c r="H2187" s="24"/>
      <c r="I2187" s="20" t="str">
        <f aca="false">IF(B2187="","",IF(G2187&lt;&gt;"",G2187,E2187))</f>
        <v/>
      </c>
      <c r="J2187" s="21" t="str">
        <f aca="false">IF(B2187="","",IF(H2187&lt;&gt;"",H2187,F2187))</f>
        <v/>
      </c>
      <c r="K2187" s="26" t="str">
        <f aca="false">IF(A2187="","",DATE(YEAR(A2187),MONTH(A2187),1))</f>
        <v/>
      </c>
      <c r="L2187" s="21" t="str">
        <f aca="false">IF(J2187="",IF(B2187="","",IF(N(C2187)&gt;=0,"Income","Expense")),IFERROR(INDEX(Lists!$B$2:$B$30,MATCH(J2187,Lists!$A$2:$A$30,0)),""))</f>
        <v/>
      </c>
      <c r="M2187" s="24"/>
      <c r="N2187" s="27" t="str">
        <f aca="false">IF(B2187="","",IFERROR(1000-SUMPRODUCT(MAX(ISNUMBER(SEARCH(Rules!$A$5:$A$204,B2187))*(Rules!$A$5:$A$204&lt;&gt;"")*(1000-ROW(Rules!$A$5:$A$204)))),""))</f>
        <v/>
      </c>
    </row>
    <row r="2188" customFormat="false" ht="15" hidden="false" customHeight="false" outlineLevel="0" collapsed="false">
      <c r="A2188" s="23"/>
      <c r="B2188" s="24"/>
      <c r="C2188" s="25"/>
      <c r="D2188" s="24"/>
      <c r="E2188" s="21" t="str">
        <f aca="false">IF(OR(B2188="",N(N2188)=0,N2188=1000),IF(B2188="","","Check"),INDEX(Rules!$B:$B,N2188))</f>
        <v/>
      </c>
      <c r="F2188" s="21" t="str">
        <f aca="false">IF(OR(B2188="",N(N2188)=0,N2188=1000),"",INDEX(Rules!$C:$C,N2188))</f>
        <v/>
      </c>
      <c r="G2188" s="24"/>
      <c r="H2188" s="24"/>
      <c r="I2188" s="20" t="str">
        <f aca="false">IF(B2188="","",IF(G2188&lt;&gt;"",G2188,E2188))</f>
        <v/>
      </c>
      <c r="J2188" s="21" t="str">
        <f aca="false">IF(B2188="","",IF(H2188&lt;&gt;"",H2188,F2188))</f>
        <v/>
      </c>
      <c r="K2188" s="26" t="str">
        <f aca="false">IF(A2188="","",DATE(YEAR(A2188),MONTH(A2188),1))</f>
        <v/>
      </c>
      <c r="L2188" s="21" t="str">
        <f aca="false">IF(J2188="",IF(B2188="","",IF(N(C2188)&gt;=0,"Income","Expense")),IFERROR(INDEX(Lists!$B$2:$B$30,MATCH(J2188,Lists!$A$2:$A$30,0)),""))</f>
        <v/>
      </c>
      <c r="M2188" s="24"/>
      <c r="N2188" s="27" t="str">
        <f aca="false">IF(B2188="","",IFERROR(1000-SUMPRODUCT(MAX(ISNUMBER(SEARCH(Rules!$A$5:$A$204,B2188))*(Rules!$A$5:$A$204&lt;&gt;"")*(1000-ROW(Rules!$A$5:$A$204)))),""))</f>
        <v/>
      </c>
    </row>
    <row r="2189" customFormat="false" ht="15" hidden="false" customHeight="false" outlineLevel="0" collapsed="false">
      <c r="A2189" s="23"/>
      <c r="B2189" s="24"/>
      <c r="C2189" s="25"/>
      <c r="D2189" s="24"/>
      <c r="E2189" s="21" t="str">
        <f aca="false">IF(OR(B2189="",N(N2189)=0,N2189=1000),IF(B2189="","","Check"),INDEX(Rules!$B:$B,N2189))</f>
        <v/>
      </c>
      <c r="F2189" s="21" t="str">
        <f aca="false">IF(OR(B2189="",N(N2189)=0,N2189=1000),"",INDEX(Rules!$C:$C,N2189))</f>
        <v/>
      </c>
      <c r="G2189" s="24"/>
      <c r="H2189" s="24"/>
      <c r="I2189" s="20" t="str">
        <f aca="false">IF(B2189="","",IF(G2189&lt;&gt;"",G2189,E2189))</f>
        <v/>
      </c>
      <c r="J2189" s="21" t="str">
        <f aca="false">IF(B2189="","",IF(H2189&lt;&gt;"",H2189,F2189))</f>
        <v/>
      </c>
      <c r="K2189" s="26" t="str">
        <f aca="false">IF(A2189="","",DATE(YEAR(A2189),MONTH(A2189),1))</f>
        <v/>
      </c>
      <c r="L2189" s="21" t="str">
        <f aca="false">IF(J2189="",IF(B2189="","",IF(N(C2189)&gt;=0,"Income","Expense")),IFERROR(INDEX(Lists!$B$2:$B$30,MATCH(J2189,Lists!$A$2:$A$30,0)),""))</f>
        <v/>
      </c>
      <c r="M2189" s="24"/>
      <c r="N2189" s="27" t="str">
        <f aca="false">IF(B2189="","",IFERROR(1000-SUMPRODUCT(MAX(ISNUMBER(SEARCH(Rules!$A$5:$A$204,B2189))*(Rules!$A$5:$A$204&lt;&gt;"")*(1000-ROW(Rules!$A$5:$A$204)))),""))</f>
        <v/>
      </c>
    </row>
    <row r="2190" customFormat="false" ht="15" hidden="false" customHeight="false" outlineLevel="0" collapsed="false">
      <c r="A2190" s="23"/>
      <c r="B2190" s="24"/>
      <c r="C2190" s="25"/>
      <c r="D2190" s="24"/>
      <c r="E2190" s="21" t="str">
        <f aca="false">IF(OR(B2190="",N(N2190)=0,N2190=1000),IF(B2190="","","Check"),INDEX(Rules!$B:$B,N2190))</f>
        <v/>
      </c>
      <c r="F2190" s="21" t="str">
        <f aca="false">IF(OR(B2190="",N(N2190)=0,N2190=1000),"",INDEX(Rules!$C:$C,N2190))</f>
        <v/>
      </c>
      <c r="G2190" s="24"/>
      <c r="H2190" s="24"/>
      <c r="I2190" s="20" t="str">
        <f aca="false">IF(B2190="","",IF(G2190&lt;&gt;"",G2190,E2190))</f>
        <v/>
      </c>
      <c r="J2190" s="21" t="str">
        <f aca="false">IF(B2190="","",IF(H2190&lt;&gt;"",H2190,F2190))</f>
        <v/>
      </c>
      <c r="K2190" s="26" t="str">
        <f aca="false">IF(A2190="","",DATE(YEAR(A2190),MONTH(A2190),1))</f>
        <v/>
      </c>
      <c r="L2190" s="21" t="str">
        <f aca="false">IF(J2190="",IF(B2190="","",IF(N(C2190)&gt;=0,"Income","Expense")),IFERROR(INDEX(Lists!$B$2:$B$30,MATCH(J2190,Lists!$A$2:$A$30,0)),""))</f>
        <v/>
      </c>
      <c r="M2190" s="24"/>
      <c r="N2190" s="27" t="str">
        <f aca="false">IF(B2190="","",IFERROR(1000-SUMPRODUCT(MAX(ISNUMBER(SEARCH(Rules!$A$5:$A$204,B2190))*(Rules!$A$5:$A$204&lt;&gt;"")*(1000-ROW(Rules!$A$5:$A$204)))),""))</f>
        <v/>
      </c>
    </row>
    <row r="2191" customFormat="false" ht="15" hidden="false" customHeight="false" outlineLevel="0" collapsed="false">
      <c r="A2191" s="23"/>
      <c r="B2191" s="24"/>
      <c r="C2191" s="25"/>
      <c r="D2191" s="24"/>
      <c r="E2191" s="21" t="str">
        <f aca="false">IF(OR(B2191="",N(N2191)=0,N2191=1000),IF(B2191="","","Check"),INDEX(Rules!$B:$B,N2191))</f>
        <v/>
      </c>
      <c r="F2191" s="21" t="str">
        <f aca="false">IF(OR(B2191="",N(N2191)=0,N2191=1000),"",INDEX(Rules!$C:$C,N2191))</f>
        <v/>
      </c>
      <c r="G2191" s="24"/>
      <c r="H2191" s="24"/>
      <c r="I2191" s="20" t="str">
        <f aca="false">IF(B2191="","",IF(G2191&lt;&gt;"",G2191,E2191))</f>
        <v/>
      </c>
      <c r="J2191" s="21" t="str">
        <f aca="false">IF(B2191="","",IF(H2191&lt;&gt;"",H2191,F2191))</f>
        <v/>
      </c>
      <c r="K2191" s="26" t="str">
        <f aca="false">IF(A2191="","",DATE(YEAR(A2191),MONTH(A2191),1))</f>
        <v/>
      </c>
      <c r="L2191" s="21" t="str">
        <f aca="false">IF(J2191="",IF(B2191="","",IF(N(C2191)&gt;=0,"Income","Expense")),IFERROR(INDEX(Lists!$B$2:$B$30,MATCH(J2191,Lists!$A$2:$A$30,0)),""))</f>
        <v/>
      </c>
      <c r="M2191" s="24"/>
      <c r="N2191" s="27" t="str">
        <f aca="false">IF(B2191="","",IFERROR(1000-SUMPRODUCT(MAX(ISNUMBER(SEARCH(Rules!$A$5:$A$204,B2191))*(Rules!$A$5:$A$204&lt;&gt;"")*(1000-ROW(Rules!$A$5:$A$204)))),""))</f>
        <v/>
      </c>
    </row>
    <row r="2192" customFormat="false" ht="15" hidden="false" customHeight="false" outlineLevel="0" collapsed="false">
      <c r="A2192" s="23"/>
      <c r="B2192" s="24"/>
      <c r="C2192" s="25"/>
      <c r="D2192" s="24"/>
      <c r="E2192" s="21" t="str">
        <f aca="false">IF(OR(B2192="",N(N2192)=0,N2192=1000),IF(B2192="","","Check"),INDEX(Rules!$B:$B,N2192))</f>
        <v/>
      </c>
      <c r="F2192" s="21" t="str">
        <f aca="false">IF(OR(B2192="",N(N2192)=0,N2192=1000),"",INDEX(Rules!$C:$C,N2192))</f>
        <v/>
      </c>
      <c r="G2192" s="24"/>
      <c r="H2192" s="24"/>
      <c r="I2192" s="20" t="str">
        <f aca="false">IF(B2192="","",IF(G2192&lt;&gt;"",G2192,E2192))</f>
        <v/>
      </c>
      <c r="J2192" s="21" t="str">
        <f aca="false">IF(B2192="","",IF(H2192&lt;&gt;"",H2192,F2192))</f>
        <v/>
      </c>
      <c r="K2192" s="26" t="str">
        <f aca="false">IF(A2192="","",DATE(YEAR(A2192),MONTH(A2192),1))</f>
        <v/>
      </c>
      <c r="L2192" s="21" t="str">
        <f aca="false">IF(J2192="",IF(B2192="","",IF(N(C2192)&gt;=0,"Income","Expense")),IFERROR(INDEX(Lists!$B$2:$B$30,MATCH(J2192,Lists!$A$2:$A$30,0)),""))</f>
        <v/>
      </c>
      <c r="M2192" s="24"/>
      <c r="N2192" s="27" t="str">
        <f aca="false">IF(B2192="","",IFERROR(1000-SUMPRODUCT(MAX(ISNUMBER(SEARCH(Rules!$A$5:$A$204,B2192))*(Rules!$A$5:$A$204&lt;&gt;"")*(1000-ROW(Rules!$A$5:$A$204)))),""))</f>
        <v/>
      </c>
    </row>
    <row r="2193" customFormat="false" ht="15" hidden="false" customHeight="false" outlineLevel="0" collapsed="false">
      <c r="A2193" s="23"/>
      <c r="B2193" s="24"/>
      <c r="C2193" s="25"/>
      <c r="D2193" s="24"/>
      <c r="E2193" s="21" t="str">
        <f aca="false">IF(OR(B2193="",N(N2193)=0,N2193=1000),IF(B2193="","","Check"),INDEX(Rules!$B:$B,N2193))</f>
        <v/>
      </c>
      <c r="F2193" s="21" t="str">
        <f aca="false">IF(OR(B2193="",N(N2193)=0,N2193=1000),"",INDEX(Rules!$C:$C,N2193))</f>
        <v/>
      </c>
      <c r="G2193" s="24"/>
      <c r="H2193" s="24"/>
      <c r="I2193" s="20" t="str">
        <f aca="false">IF(B2193="","",IF(G2193&lt;&gt;"",G2193,E2193))</f>
        <v/>
      </c>
      <c r="J2193" s="21" t="str">
        <f aca="false">IF(B2193="","",IF(H2193&lt;&gt;"",H2193,F2193))</f>
        <v/>
      </c>
      <c r="K2193" s="26" t="str">
        <f aca="false">IF(A2193="","",DATE(YEAR(A2193),MONTH(A2193),1))</f>
        <v/>
      </c>
      <c r="L2193" s="21" t="str">
        <f aca="false">IF(J2193="",IF(B2193="","",IF(N(C2193)&gt;=0,"Income","Expense")),IFERROR(INDEX(Lists!$B$2:$B$30,MATCH(J2193,Lists!$A$2:$A$30,0)),""))</f>
        <v/>
      </c>
      <c r="M2193" s="24"/>
      <c r="N2193" s="27" t="str">
        <f aca="false">IF(B2193="","",IFERROR(1000-SUMPRODUCT(MAX(ISNUMBER(SEARCH(Rules!$A$5:$A$204,B2193))*(Rules!$A$5:$A$204&lt;&gt;"")*(1000-ROW(Rules!$A$5:$A$204)))),""))</f>
        <v/>
      </c>
    </row>
    <row r="2194" customFormat="false" ht="15" hidden="false" customHeight="false" outlineLevel="0" collapsed="false">
      <c r="A2194" s="23"/>
      <c r="B2194" s="24"/>
      <c r="C2194" s="25"/>
      <c r="D2194" s="24"/>
      <c r="E2194" s="21" t="str">
        <f aca="false">IF(OR(B2194="",N(N2194)=0,N2194=1000),IF(B2194="","","Check"),INDEX(Rules!$B:$B,N2194))</f>
        <v/>
      </c>
      <c r="F2194" s="21" t="str">
        <f aca="false">IF(OR(B2194="",N(N2194)=0,N2194=1000),"",INDEX(Rules!$C:$C,N2194))</f>
        <v/>
      </c>
      <c r="G2194" s="24"/>
      <c r="H2194" s="24"/>
      <c r="I2194" s="20" t="str">
        <f aca="false">IF(B2194="","",IF(G2194&lt;&gt;"",G2194,E2194))</f>
        <v/>
      </c>
      <c r="J2194" s="21" t="str">
        <f aca="false">IF(B2194="","",IF(H2194&lt;&gt;"",H2194,F2194))</f>
        <v/>
      </c>
      <c r="K2194" s="26" t="str">
        <f aca="false">IF(A2194="","",DATE(YEAR(A2194),MONTH(A2194),1))</f>
        <v/>
      </c>
      <c r="L2194" s="21" t="str">
        <f aca="false">IF(J2194="",IF(B2194="","",IF(N(C2194)&gt;=0,"Income","Expense")),IFERROR(INDEX(Lists!$B$2:$B$30,MATCH(J2194,Lists!$A$2:$A$30,0)),""))</f>
        <v/>
      </c>
      <c r="M2194" s="24"/>
      <c r="N2194" s="27" t="str">
        <f aca="false">IF(B2194="","",IFERROR(1000-SUMPRODUCT(MAX(ISNUMBER(SEARCH(Rules!$A$5:$A$204,B2194))*(Rules!$A$5:$A$204&lt;&gt;"")*(1000-ROW(Rules!$A$5:$A$204)))),""))</f>
        <v/>
      </c>
    </row>
    <row r="2195" customFormat="false" ht="15" hidden="false" customHeight="false" outlineLevel="0" collapsed="false">
      <c r="A2195" s="23"/>
      <c r="B2195" s="24"/>
      <c r="C2195" s="25"/>
      <c r="D2195" s="24"/>
      <c r="E2195" s="21" t="str">
        <f aca="false">IF(OR(B2195="",N(N2195)=0,N2195=1000),IF(B2195="","","Check"),INDEX(Rules!$B:$B,N2195))</f>
        <v/>
      </c>
      <c r="F2195" s="21" t="str">
        <f aca="false">IF(OR(B2195="",N(N2195)=0,N2195=1000),"",INDEX(Rules!$C:$C,N2195))</f>
        <v/>
      </c>
      <c r="G2195" s="24"/>
      <c r="H2195" s="24"/>
      <c r="I2195" s="20" t="str">
        <f aca="false">IF(B2195="","",IF(G2195&lt;&gt;"",G2195,E2195))</f>
        <v/>
      </c>
      <c r="J2195" s="21" t="str">
        <f aca="false">IF(B2195="","",IF(H2195&lt;&gt;"",H2195,F2195))</f>
        <v/>
      </c>
      <c r="K2195" s="26" t="str">
        <f aca="false">IF(A2195="","",DATE(YEAR(A2195),MONTH(A2195),1))</f>
        <v/>
      </c>
      <c r="L2195" s="21" t="str">
        <f aca="false">IF(J2195="",IF(B2195="","",IF(N(C2195)&gt;=0,"Income","Expense")),IFERROR(INDEX(Lists!$B$2:$B$30,MATCH(J2195,Lists!$A$2:$A$30,0)),""))</f>
        <v/>
      </c>
      <c r="M2195" s="24"/>
      <c r="N2195" s="27" t="str">
        <f aca="false">IF(B2195="","",IFERROR(1000-SUMPRODUCT(MAX(ISNUMBER(SEARCH(Rules!$A$5:$A$204,B2195))*(Rules!$A$5:$A$204&lt;&gt;"")*(1000-ROW(Rules!$A$5:$A$204)))),""))</f>
        <v/>
      </c>
    </row>
    <row r="2196" customFormat="false" ht="15" hidden="false" customHeight="false" outlineLevel="0" collapsed="false">
      <c r="A2196" s="23"/>
      <c r="B2196" s="24"/>
      <c r="C2196" s="25"/>
      <c r="D2196" s="24"/>
      <c r="E2196" s="21" t="str">
        <f aca="false">IF(OR(B2196="",N(N2196)=0,N2196=1000),IF(B2196="","","Check"),INDEX(Rules!$B:$B,N2196))</f>
        <v/>
      </c>
      <c r="F2196" s="21" t="str">
        <f aca="false">IF(OR(B2196="",N(N2196)=0,N2196=1000),"",INDEX(Rules!$C:$C,N2196))</f>
        <v/>
      </c>
      <c r="G2196" s="24"/>
      <c r="H2196" s="24"/>
      <c r="I2196" s="20" t="str">
        <f aca="false">IF(B2196="","",IF(G2196&lt;&gt;"",G2196,E2196))</f>
        <v/>
      </c>
      <c r="J2196" s="21" t="str">
        <f aca="false">IF(B2196="","",IF(H2196&lt;&gt;"",H2196,F2196))</f>
        <v/>
      </c>
      <c r="K2196" s="26" t="str">
        <f aca="false">IF(A2196="","",DATE(YEAR(A2196),MONTH(A2196),1))</f>
        <v/>
      </c>
      <c r="L2196" s="21" t="str">
        <f aca="false">IF(J2196="",IF(B2196="","",IF(N(C2196)&gt;=0,"Income","Expense")),IFERROR(INDEX(Lists!$B$2:$B$30,MATCH(J2196,Lists!$A$2:$A$30,0)),""))</f>
        <v/>
      </c>
      <c r="M2196" s="24"/>
      <c r="N2196" s="27" t="str">
        <f aca="false">IF(B2196="","",IFERROR(1000-SUMPRODUCT(MAX(ISNUMBER(SEARCH(Rules!$A$5:$A$204,B2196))*(Rules!$A$5:$A$204&lt;&gt;"")*(1000-ROW(Rules!$A$5:$A$204)))),""))</f>
        <v/>
      </c>
    </row>
    <row r="2197" customFormat="false" ht="15" hidden="false" customHeight="false" outlineLevel="0" collapsed="false">
      <c r="A2197" s="23"/>
      <c r="B2197" s="24"/>
      <c r="C2197" s="25"/>
      <c r="D2197" s="24"/>
      <c r="E2197" s="21" t="str">
        <f aca="false">IF(OR(B2197="",N(N2197)=0,N2197=1000),IF(B2197="","","Check"),INDEX(Rules!$B:$B,N2197))</f>
        <v/>
      </c>
      <c r="F2197" s="21" t="str">
        <f aca="false">IF(OR(B2197="",N(N2197)=0,N2197=1000),"",INDEX(Rules!$C:$C,N2197))</f>
        <v/>
      </c>
      <c r="G2197" s="24"/>
      <c r="H2197" s="24"/>
      <c r="I2197" s="20" t="str">
        <f aca="false">IF(B2197="","",IF(G2197&lt;&gt;"",G2197,E2197))</f>
        <v/>
      </c>
      <c r="J2197" s="21" t="str">
        <f aca="false">IF(B2197="","",IF(H2197&lt;&gt;"",H2197,F2197))</f>
        <v/>
      </c>
      <c r="K2197" s="26" t="str">
        <f aca="false">IF(A2197="","",DATE(YEAR(A2197),MONTH(A2197),1))</f>
        <v/>
      </c>
      <c r="L2197" s="21" t="str">
        <f aca="false">IF(J2197="",IF(B2197="","",IF(N(C2197)&gt;=0,"Income","Expense")),IFERROR(INDEX(Lists!$B$2:$B$30,MATCH(J2197,Lists!$A$2:$A$30,0)),""))</f>
        <v/>
      </c>
      <c r="M2197" s="24"/>
      <c r="N2197" s="27" t="str">
        <f aca="false">IF(B2197="","",IFERROR(1000-SUMPRODUCT(MAX(ISNUMBER(SEARCH(Rules!$A$5:$A$204,B2197))*(Rules!$A$5:$A$204&lt;&gt;"")*(1000-ROW(Rules!$A$5:$A$204)))),""))</f>
        <v/>
      </c>
    </row>
    <row r="2198" customFormat="false" ht="15" hidden="false" customHeight="false" outlineLevel="0" collapsed="false">
      <c r="A2198" s="23"/>
      <c r="B2198" s="24"/>
      <c r="C2198" s="25"/>
      <c r="D2198" s="24"/>
      <c r="E2198" s="21" t="str">
        <f aca="false">IF(OR(B2198="",N(N2198)=0,N2198=1000),IF(B2198="","","Check"),INDEX(Rules!$B:$B,N2198))</f>
        <v/>
      </c>
      <c r="F2198" s="21" t="str">
        <f aca="false">IF(OR(B2198="",N(N2198)=0,N2198=1000),"",INDEX(Rules!$C:$C,N2198))</f>
        <v/>
      </c>
      <c r="G2198" s="24"/>
      <c r="H2198" s="24"/>
      <c r="I2198" s="20" t="str">
        <f aca="false">IF(B2198="","",IF(G2198&lt;&gt;"",G2198,E2198))</f>
        <v/>
      </c>
      <c r="J2198" s="21" t="str">
        <f aca="false">IF(B2198="","",IF(H2198&lt;&gt;"",H2198,F2198))</f>
        <v/>
      </c>
      <c r="K2198" s="26" t="str">
        <f aca="false">IF(A2198="","",DATE(YEAR(A2198),MONTH(A2198),1))</f>
        <v/>
      </c>
      <c r="L2198" s="21" t="str">
        <f aca="false">IF(J2198="",IF(B2198="","",IF(N(C2198)&gt;=0,"Income","Expense")),IFERROR(INDEX(Lists!$B$2:$B$30,MATCH(J2198,Lists!$A$2:$A$30,0)),""))</f>
        <v/>
      </c>
      <c r="M2198" s="24"/>
      <c r="N2198" s="27" t="str">
        <f aca="false">IF(B2198="","",IFERROR(1000-SUMPRODUCT(MAX(ISNUMBER(SEARCH(Rules!$A$5:$A$204,B2198))*(Rules!$A$5:$A$204&lt;&gt;"")*(1000-ROW(Rules!$A$5:$A$204)))),""))</f>
        <v/>
      </c>
    </row>
    <row r="2199" customFormat="false" ht="15" hidden="false" customHeight="false" outlineLevel="0" collapsed="false">
      <c r="A2199" s="23"/>
      <c r="B2199" s="24"/>
      <c r="C2199" s="25"/>
      <c r="D2199" s="24"/>
      <c r="E2199" s="21" t="str">
        <f aca="false">IF(OR(B2199="",N(N2199)=0,N2199=1000),IF(B2199="","","Check"),INDEX(Rules!$B:$B,N2199))</f>
        <v/>
      </c>
      <c r="F2199" s="21" t="str">
        <f aca="false">IF(OR(B2199="",N(N2199)=0,N2199=1000),"",INDEX(Rules!$C:$C,N2199))</f>
        <v/>
      </c>
      <c r="G2199" s="24"/>
      <c r="H2199" s="24"/>
      <c r="I2199" s="20" t="str">
        <f aca="false">IF(B2199="","",IF(G2199&lt;&gt;"",G2199,E2199))</f>
        <v/>
      </c>
      <c r="J2199" s="21" t="str">
        <f aca="false">IF(B2199="","",IF(H2199&lt;&gt;"",H2199,F2199))</f>
        <v/>
      </c>
      <c r="K2199" s="26" t="str">
        <f aca="false">IF(A2199="","",DATE(YEAR(A2199),MONTH(A2199),1))</f>
        <v/>
      </c>
      <c r="L2199" s="21" t="str">
        <f aca="false">IF(J2199="",IF(B2199="","",IF(N(C2199)&gt;=0,"Income","Expense")),IFERROR(INDEX(Lists!$B$2:$B$30,MATCH(J2199,Lists!$A$2:$A$30,0)),""))</f>
        <v/>
      </c>
      <c r="M2199" s="24"/>
      <c r="N2199" s="27" t="str">
        <f aca="false">IF(B2199="","",IFERROR(1000-SUMPRODUCT(MAX(ISNUMBER(SEARCH(Rules!$A$5:$A$204,B2199))*(Rules!$A$5:$A$204&lt;&gt;"")*(1000-ROW(Rules!$A$5:$A$204)))),""))</f>
        <v/>
      </c>
    </row>
    <row r="2200" customFormat="false" ht="15" hidden="false" customHeight="false" outlineLevel="0" collapsed="false">
      <c r="A2200" s="23"/>
      <c r="B2200" s="24"/>
      <c r="C2200" s="25"/>
      <c r="D2200" s="24"/>
      <c r="E2200" s="21" t="str">
        <f aca="false">IF(OR(B2200="",N(N2200)=0,N2200=1000),IF(B2200="","","Check"),INDEX(Rules!$B:$B,N2200))</f>
        <v/>
      </c>
      <c r="F2200" s="21" t="str">
        <f aca="false">IF(OR(B2200="",N(N2200)=0,N2200=1000),"",INDEX(Rules!$C:$C,N2200))</f>
        <v/>
      </c>
      <c r="G2200" s="24"/>
      <c r="H2200" s="24"/>
      <c r="I2200" s="20" t="str">
        <f aca="false">IF(B2200="","",IF(G2200&lt;&gt;"",G2200,E2200))</f>
        <v/>
      </c>
      <c r="J2200" s="21" t="str">
        <f aca="false">IF(B2200="","",IF(H2200&lt;&gt;"",H2200,F2200))</f>
        <v/>
      </c>
      <c r="K2200" s="26" t="str">
        <f aca="false">IF(A2200="","",DATE(YEAR(A2200),MONTH(A2200),1))</f>
        <v/>
      </c>
      <c r="L2200" s="21" t="str">
        <f aca="false">IF(J2200="",IF(B2200="","",IF(N(C2200)&gt;=0,"Income","Expense")),IFERROR(INDEX(Lists!$B$2:$B$30,MATCH(J2200,Lists!$A$2:$A$30,0)),""))</f>
        <v/>
      </c>
      <c r="M2200" s="24"/>
      <c r="N2200" s="27" t="str">
        <f aca="false">IF(B2200="","",IFERROR(1000-SUMPRODUCT(MAX(ISNUMBER(SEARCH(Rules!$A$5:$A$204,B2200))*(Rules!$A$5:$A$204&lt;&gt;"")*(1000-ROW(Rules!$A$5:$A$204)))),""))</f>
        <v/>
      </c>
    </row>
    <row r="2201" customFormat="false" ht="15" hidden="false" customHeight="false" outlineLevel="0" collapsed="false">
      <c r="A2201" s="23"/>
      <c r="B2201" s="24"/>
      <c r="C2201" s="25"/>
      <c r="D2201" s="24"/>
      <c r="E2201" s="21" t="str">
        <f aca="false">IF(OR(B2201="",N(N2201)=0,N2201=1000),IF(B2201="","","Check"),INDEX(Rules!$B:$B,N2201))</f>
        <v/>
      </c>
      <c r="F2201" s="21" t="str">
        <f aca="false">IF(OR(B2201="",N(N2201)=0,N2201=1000),"",INDEX(Rules!$C:$C,N2201))</f>
        <v/>
      </c>
      <c r="G2201" s="24"/>
      <c r="H2201" s="24"/>
      <c r="I2201" s="20" t="str">
        <f aca="false">IF(B2201="","",IF(G2201&lt;&gt;"",G2201,E2201))</f>
        <v/>
      </c>
      <c r="J2201" s="21" t="str">
        <f aca="false">IF(B2201="","",IF(H2201&lt;&gt;"",H2201,F2201))</f>
        <v/>
      </c>
      <c r="K2201" s="26" t="str">
        <f aca="false">IF(A2201="","",DATE(YEAR(A2201),MONTH(A2201),1))</f>
        <v/>
      </c>
      <c r="L2201" s="21" t="str">
        <f aca="false">IF(J2201="",IF(B2201="","",IF(N(C2201)&gt;=0,"Income","Expense")),IFERROR(INDEX(Lists!$B$2:$B$30,MATCH(J2201,Lists!$A$2:$A$30,0)),""))</f>
        <v/>
      </c>
      <c r="M2201" s="24"/>
      <c r="N2201" s="27" t="str">
        <f aca="false">IF(B2201="","",IFERROR(1000-SUMPRODUCT(MAX(ISNUMBER(SEARCH(Rules!$A$5:$A$204,B2201))*(Rules!$A$5:$A$204&lt;&gt;"")*(1000-ROW(Rules!$A$5:$A$204)))),""))</f>
        <v/>
      </c>
    </row>
    <row r="2202" customFormat="false" ht="15" hidden="false" customHeight="false" outlineLevel="0" collapsed="false">
      <c r="A2202" s="23"/>
      <c r="B2202" s="24"/>
      <c r="C2202" s="25"/>
      <c r="D2202" s="24"/>
      <c r="E2202" s="21" t="str">
        <f aca="false">IF(OR(B2202="",N(N2202)=0,N2202=1000),IF(B2202="","","Check"),INDEX(Rules!$B:$B,N2202))</f>
        <v/>
      </c>
      <c r="F2202" s="21" t="str">
        <f aca="false">IF(OR(B2202="",N(N2202)=0,N2202=1000),"",INDEX(Rules!$C:$C,N2202))</f>
        <v/>
      </c>
      <c r="G2202" s="24"/>
      <c r="H2202" s="24"/>
      <c r="I2202" s="20" t="str">
        <f aca="false">IF(B2202="","",IF(G2202&lt;&gt;"",G2202,E2202))</f>
        <v/>
      </c>
      <c r="J2202" s="21" t="str">
        <f aca="false">IF(B2202="","",IF(H2202&lt;&gt;"",H2202,F2202))</f>
        <v/>
      </c>
      <c r="K2202" s="26" t="str">
        <f aca="false">IF(A2202="","",DATE(YEAR(A2202),MONTH(A2202),1))</f>
        <v/>
      </c>
      <c r="L2202" s="21" t="str">
        <f aca="false">IF(J2202="",IF(B2202="","",IF(N(C2202)&gt;=0,"Income","Expense")),IFERROR(INDEX(Lists!$B$2:$B$30,MATCH(J2202,Lists!$A$2:$A$30,0)),""))</f>
        <v/>
      </c>
      <c r="M2202" s="24"/>
      <c r="N2202" s="27" t="str">
        <f aca="false">IF(B2202="","",IFERROR(1000-SUMPRODUCT(MAX(ISNUMBER(SEARCH(Rules!$A$5:$A$204,B2202))*(Rules!$A$5:$A$204&lt;&gt;"")*(1000-ROW(Rules!$A$5:$A$204)))),""))</f>
        <v/>
      </c>
    </row>
    <row r="2203" customFormat="false" ht="15" hidden="false" customHeight="false" outlineLevel="0" collapsed="false">
      <c r="A2203" s="23"/>
      <c r="B2203" s="24"/>
      <c r="C2203" s="25"/>
      <c r="D2203" s="24"/>
      <c r="E2203" s="21" t="str">
        <f aca="false">IF(OR(B2203="",N(N2203)=0,N2203=1000),IF(B2203="","","Check"),INDEX(Rules!$B:$B,N2203))</f>
        <v/>
      </c>
      <c r="F2203" s="21" t="str">
        <f aca="false">IF(OR(B2203="",N(N2203)=0,N2203=1000),"",INDEX(Rules!$C:$C,N2203))</f>
        <v/>
      </c>
      <c r="G2203" s="24"/>
      <c r="H2203" s="24"/>
      <c r="I2203" s="20" t="str">
        <f aca="false">IF(B2203="","",IF(G2203&lt;&gt;"",G2203,E2203))</f>
        <v/>
      </c>
      <c r="J2203" s="21" t="str">
        <f aca="false">IF(B2203="","",IF(H2203&lt;&gt;"",H2203,F2203))</f>
        <v/>
      </c>
      <c r="K2203" s="26" t="str">
        <f aca="false">IF(A2203="","",DATE(YEAR(A2203),MONTH(A2203),1))</f>
        <v/>
      </c>
      <c r="L2203" s="21" t="str">
        <f aca="false">IF(J2203="",IF(B2203="","",IF(N(C2203)&gt;=0,"Income","Expense")),IFERROR(INDEX(Lists!$B$2:$B$30,MATCH(J2203,Lists!$A$2:$A$30,0)),""))</f>
        <v/>
      </c>
      <c r="M2203" s="24"/>
      <c r="N2203" s="27" t="str">
        <f aca="false">IF(B2203="","",IFERROR(1000-SUMPRODUCT(MAX(ISNUMBER(SEARCH(Rules!$A$5:$A$204,B2203))*(Rules!$A$5:$A$204&lt;&gt;"")*(1000-ROW(Rules!$A$5:$A$204)))),""))</f>
        <v/>
      </c>
    </row>
    <row r="2204" customFormat="false" ht="15" hidden="false" customHeight="false" outlineLevel="0" collapsed="false">
      <c r="A2204" s="23"/>
      <c r="B2204" s="24"/>
      <c r="C2204" s="25"/>
      <c r="D2204" s="24"/>
      <c r="E2204" s="21" t="str">
        <f aca="false">IF(OR(B2204="",N(N2204)=0,N2204=1000),IF(B2204="","","Check"),INDEX(Rules!$B:$B,N2204))</f>
        <v/>
      </c>
      <c r="F2204" s="21" t="str">
        <f aca="false">IF(OR(B2204="",N(N2204)=0,N2204=1000),"",INDEX(Rules!$C:$C,N2204))</f>
        <v/>
      </c>
      <c r="G2204" s="24"/>
      <c r="H2204" s="24"/>
      <c r="I2204" s="20" t="str">
        <f aca="false">IF(B2204="","",IF(G2204&lt;&gt;"",G2204,E2204))</f>
        <v/>
      </c>
      <c r="J2204" s="21" t="str">
        <f aca="false">IF(B2204="","",IF(H2204&lt;&gt;"",H2204,F2204))</f>
        <v/>
      </c>
      <c r="K2204" s="26" t="str">
        <f aca="false">IF(A2204="","",DATE(YEAR(A2204),MONTH(A2204),1))</f>
        <v/>
      </c>
      <c r="L2204" s="21" t="str">
        <f aca="false">IF(J2204="",IF(B2204="","",IF(N(C2204)&gt;=0,"Income","Expense")),IFERROR(INDEX(Lists!$B$2:$B$30,MATCH(J2204,Lists!$A$2:$A$30,0)),""))</f>
        <v/>
      </c>
      <c r="M2204" s="24"/>
      <c r="N2204" s="27" t="str">
        <f aca="false">IF(B2204="","",IFERROR(1000-SUMPRODUCT(MAX(ISNUMBER(SEARCH(Rules!$A$5:$A$204,B2204))*(Rules!$A$5:$A$204&lt;&gt;"")*(1000-ROW(Rules!$A$5:$A$204)))),""))</f>
        <v/>
      </c>
    </row>
    <row r="2205" customFormat="false" ht="15" hidden="false" customHeight="false" outlineLevel="0" collapsed="false">
      <c r="A2205" s="23"/>
      <c r="B2205" s="24"/>
      <c r="C2205" s="25"/>
      <c r="D2205" s="24"/>
      <c r="E2205" s="21" t="str">
        <f aca="false">IF(OR(B2205="",N(N2205)=0,N2205=1000),IF(B2205="","","Check"),INDEX(Rules!$B:$B,N2205))</f>
        <v/>
      </c>
      <c r="F2205" s="21" t="str">
        <f aca="false">IF(OR(B2205="",N(N2205)=0,N2205=1000),"",INDEX(Rules!$C:$C,N2205))</f>
        <v/>
      </c>
      <c r="G2205" s="24"/>
      <c r="H2205" s="24"/>
      <c r="I2205" s="20" t="str">
        <f aca="false">IF(B2205="","",IF(G2205&lt;&gt;"",G2205,E2205))</f>
        <v/>
      </c>
      <c r="J2205" s="21" t="str">
        <f aca="false">IF(B2205="","",IF(H2205&lt;&gt;"",H2205,F2205))</f>
        <v/>
      </c>
      <c r="K2205" s="26" t="str">
        <f aca="false">IF(A2205="","",DATE(YEAR(A2205),MONTH(A2205),1))</f>
        <v/>
      </c>
      <c r="L2205" s="21" t="str">
        <f aca="false">IF(J2205="",IF(B2205="","",IF(N(C2205)&gt;=0,"Income","Expense")),IFERROR(INDEX(Lists!$B$2:$B$30,MATCH(J2205,Lists!$A$2:$A$30,0)),""))</f>
        <v/>
      </c>
      <c r="M2205" s="24"/>
      <c r="N2205" s="27" t="str">
        <f aca="false">IF(B2205="","",IFERROR(1000-SUMPRODUCT(MAX(ISNUMBER(SEARCH(Rules!$A$5:$A$204,B2205))*(Rules!$A$5:$A$204&lt;&gt;"")*(1000-ROW(Rules!$A$5:$A$204)))),""))</f>
        <v/>
      </c>
    </row>
    <row r="2206" customFormat="false" ht="15" hidden="false" customHeight="false" outlineLevel="0" collapsed="false">
      <c r="A2206" s="23"/>
      <c r="B2206" s="24"/>
      <c r="C2206" s="25"/>
      <c r="D2206" s="24"/>
      <c r="E2206" s="21" t="str">
        <f aca="false">IF(OR(B2206="",N(N2206)=0,N2206=1000),IF(B2206="","","Check"),INDEX(Rules!$B:$B,N2206))</f>
        <v/>
      </c>
      <c r="F2206" s="21" t="str">
        <f aca="false">IF(OR(B2206="",N(N2206)=0,N2206=1000),"",INDEX(Rules!$C:$C,N2206))</f>
        <v/>
      </c>
      <c r="G2206" s="24"/>
      <c r="H2206" s="24"/>
      <c r="I2206" s="20" t="str">
        <f aca="false">IF(B2206="","",IF(G2206&lt;&gt;"",G2206,E2206))</f>
        <v/>
      </c>
      <c r="J2206" s="21" t="str">
        <f aca="false">IF(B2206="","",IF(H2206&lt;&gt;"",H2206,F2206))</f>
        <v/>
      </c>
      <c r="K2206" s="26" t="str">
        <f aca="false">IF(A2206="","",DATE(YEAR(A2206),MONTH(A2206),1))</f>
        <v/>
      </c>
      <c r="L2206" s="21" t="str">
        <f aca="false">IF(J2206="",IF(B2206="","",IF(N(C2206)&gt;=0,"Income","Expense")),IFERROR(INDEX(Lists!$B$2:$B$30,MATCH(J2206,Lists!$A$2:$A$30,0)),""))</f>
        <v/>
      </c>
      <c r="M2206" s="24"/>
      <c r="N2206" s="27" t="str">
        <f aca="false">IF(B2206="","",IFERROR(1000-SUMPRODUCT(MAX(ISNUMBER(SEARCH(Rules!$A$5:$A$204,B2206))*(Rules!$A$5:$A$204&lt;&gt;"")*(1000-ROW(Rules!$A$5:$A$204)))),""))</f>
        <v/>
      </c>
    </row>
    <row r="2207" customFormat="false" ht="15" hidden="false" customHeight="false" outlineLevel="0" collapsed="false">
      <c r="A2207" s="23"/>
      <c r="B2207" s="24"/>
      <c r="C2207" s="25"/>
      <c r="D2207" s="24"/>
      <c r="E2207" s="21" t="str">
        <f aca="false">IF(OR(B2207="",N(N2207)=0,N2207=1000),IF(B2207="","","Check"),INDEX(Rules!$B:$B,N2207))</f>
        <v/>
      </c>
      <c r="F2207" s="21" t="str">
        <f aca="false">IF(OR(B2207="",N(N2207)=0,N2207=1000),"",INDEX(Rules!$C:$C,N2207))</f>
        <v/>
      </c>
      <c r="G2207" s="24"/>
      <c r="H2207" s="24"/>
      <c r="I2207" s="20" t="str">
        <f aca="false">IF(B2207="","",IF(G2207&lt;&gt;"",G2207,E2207))</f>
        <v/>
      </c>
      <c r="J2207" s="21" t="str">
        <f aca="false">IF(B2207="","",IF(H2207&lt;&gt;"",H2207,F2207))</f>
        <v/>
      </c>
      <c r="K2207" s="26" t="str">
        <f aca="false">IF(A2207="","",DATE(YEAR(A2207),MONTH(A2207),1))</f>
        <v/>
      </c>
      <c r="L2207" s="21" t="str">
        <f aca="false">IF(J2207="",IF(B2207="","",IF(N(C2207)&gt;=0,"Income","Expense")),IFERROR(INDEX(Lists!$B$2:$B$30,MATCH(J2207,Lists!$A$2:$A$30,0)),""))</f>
        <v/>
      </c>
      <c r="M2207" s="24"/>
      <c r="N2207" s="27" t="str">
        <f aca="false">IF(B2207="","",IFERROR(1000-SUMPRODUCT(MAX(ISNUMBER(SEARCH(Rules!$A$5:$A$204,B2207))*(Rules!$A$5:$A$204&lt;&gt;"")*(1000-ROW(Rules!$A$5:$A$204)))),""))</f>
        <v/>
      </c>
    </row>
    <row r="2208" customFormat="false" ht="15" hidden="false" customHeight="false" outlineLevel="0" collapsed="false">
      <c r="A2208" s="23"/>
      <c r="B2208" s="24"/>
      <c r="C2208" s="25"/>
      <c r="D2208" s="24"/>
      <c r="E2208" s="21" t="str">
        <f aca="false">IF(OR(B2208="",N(N2208)=0,N2208=1000),IF(B2208="","","Check"),INDEX(Rules!$B:$B,N2208))</f>
        <v/>
      </c>
      <c r="F2208" s="21" t="str">
        <f aca="false">IF(OR(B2208="",N(N2208)=0,N2208=1000),"",INDEX(Rules!$C:$C,N2208))</f>
        <v/>
      </c>
      <c r="G2208" s="24"/>
      <c r="H2208" s="24"/>
      <c r="I2208" s="20" t="str">
        <f aca="false">IF(B2208="","",IF(G2208&lt;&gt;"",G2208,E2208))</f>
        <v/>
      </c>
      <c r="J2208" s="21" t="str">
        <f aca="false">IF(B2208="","",IF(H2208&lt;&gt;"",H2208,F2208))</f>
        <v/>
      </c>
      <c r="K2208" s="26" t="str">
        <f aca="false">IF(A2208="","",DATE(YEAR(A2208),MONTH(A2208),1))</f>
        <v/>
      </c>
      <c r="L2208" s="21" t="str">
        <f aca="false">IF(J2208="",IF(B2208="","",IF(N(C2208)&gt;=0,"Income","Expense")),IFERROR(INDEX(Lists!$B$2:$B$30,MATCH(J2208,Lists!$A$2:$A$30,0)),""))</f>
        <v/>
      </c>
      <c r="M2208" s="24"/>
      <c r="N2208" s="27" t="str">
        <f aca="false">IF(B2208="","",IFERROR(1000-SUMPRODUCT(MAX(ISNUMBER(SEARCH(Rules!$A$5:$A$204,B2208))*(Rules!$A$5:$A$204&lt;&gt;"")*(1000-ROW(Rules!$A$5:$A$204)))),""))</f>
        <v/>
      </c>
    </row>
    <row r="2209" customFormat="false" ht="15" hidden="false" customHeight="false" outlineLevel="0" collapsed="false">
      <c r="A2209" s="23"/>
      <c r="B2209" s="24"/>
      <c r="C2209" s="25"/>
      <c r="D2209" s="24"/>
      <c r="E2209" s="21" t="str">
        <f aca="false">IF(OR(B2209="",N(N2209)=0,N2209=1000),IF(B2209="","","Check"),INDEX(Rules!$B:$B,N2209))</f>
        <v/>
      </c>
      <c r="F2209" s="21" t="str">
        <f aca="false">IF(OR(B2209="",N(N2209)=0,N2209=1000),"",INDEX(Rules!$C:$C,N2209))</f>
        <v/>
      </c>
      <c r="G2209" s="24"/>
      <c r="H2209" s="24"/>
      <c r="I2209" s="20" t="str">
        <f aca="false">IF(B2209="","",IF(G2209&lt;&gt;"",G2209,E2209))</f>
        <v/>
      </c>
      <c r="J2209" s="21" t="str">
        <f aca="false">IF(B2209="","",IF(H2209&lt;&gt;"",H2209,F2209))</f>
        <v/>
      </c>
      <c r="K2209" s="26" t="str">
        <f aca="false">IF(A2209="","",DATE(YEAR(A2209),MONTH(A2209),1))</f>
        <v/>
      </c>
      <c r="L2209" s="21" t="str">
        <f aca="false">IF(J2209="",IF(B2209="","",IF(N(C2209)&gt;=0,"Income","Expense")),IFERROR(INDEX(Lists!$B$2:$B$30,MATCH(J2209,Lists!$A$2:$A$30,0)),""))</f>
        <v/>
      </c>
      <c r="M2209" s="24"/>
      <c r="N2209" s="27" t="str">
        <f aca="false">IF(B2209="","",IFERROR(1000-SUMPRODUCT(MAX(ISNUMBER(SEARCH(Rules!$A$5:$A$204,B2209))*(Rules!$A$5:$A$204&lt;&gt;"")*(1000-ROW(Rules!$A$5:$A$204)))),""))</f>
        <v/>
      </c>
    </row>
    <row r="2210" customFormat="false" ht="15" hidden="false" customHeight="false" outlineLevel="0" collapsed="false">
      <c r="A2210" s="23"/>
      <c r="B2210" s="24"/>
      <c r="C2210" s="25"/>
      <c r="D2210" s="24"/>
      <c r="E2210" s="21" t="str">
        <f aca="false">IF(OR(B2210="",N(N2210)=0,N2210=1000),IF(B2210="","","Check"),INDEX(Rules!$B:$B,N2210))</f>
        <v/>
      </c>
      <c r="F2210" s="21" t="str">
        <f aca="false">IF(OR(B2210="",N(N2210)=0,N2210=1000),"",INDEX(Rules!$C:$C,N2210))</f>
        <v/>
      </c>
      <c r="G2210" s="24"/>
      <c r="H2210" s="24"/>
      <c r="I2210" s="20" t="str">
        <f aca="false">IF(B2210="","",IF(G2210&lt;&gt;"",G2210,E2210))</f>
        <v/>
      </c>
      <c r="J2210" s="21" t="str">
        <f aca="false">IF(B2210="","",IF(H2210&lt;&gt;"",H2210,F2210))</f>
        <v/>
      </c>
      <c r="K2210" s="26" t="str">
        <f aca="false">IF(A2210="","",DATE(YEAR(A2210),MONTH(A2210),1))</f>
        <v/>
      </c>
      <c r="L2210" s="21" t="str">
        <f aca="false">IF(J2210="",IF(B2210="","",IF(N(C2210)&gt;=0,"Income","Expense")),IFERROR(INDEX(Lists!$B$2:$B$30,MATCH(J2210,Lists!$A$2:$A$30,0)),""))</f>
        <v/>
      </c>
      <c r="M2210" s="24"/>
      <c r="N2210" s="27" t="str">
        <f aca="false">IF(B2210="","",IFERROR(1000-SUMPRODUCT(MAX(ISNUMBER(SEARCH(Rules!$A$5:$A$204,B2210))*(Rules!$A$5:$A$204&lt;&gt;"")*(1000-ROW(Rules!$A$5:$A$204)))),""))</f>
        <v/>
      </c>
    </row>
    <row r="2211" customFormat="false" ht="15" hidden="false" customHeight="false" outlineLevel="0" collapsed="false">
      <c r="A2211" s="23"/>
      <c r="B2211" s="24"/>
      <c r="C2211" s="25"/>
      <c r="D2211" s="24"/>
      <c r="E2211" s="21" t="str">
        <f aca="false">IF(OR(B2211="",N(N2211)=0,N2211=1000),IF(B2211="","","Check"),INDEX(Rules!$B:$B,N2211))</f>
        <v/>
      </c>
      <c r="F2211" s="21" t="str">
        <f aca="false">IF(OR(B2211="",N(N2211)=0,N2211=1000),"",INDEX(Rules!$C:$C,N2211))</f>
        <v/>
      </c>
      <c r="G2211" s="24"/>
      <c r="H2211" s="24"/>
      <c r="I2211" s="20" t="str">
        <f aca="false">IF(B2211="","",IF(G2211&lt;&gt;"",G2211,E2211))</f>
        <v/>
      </c>
      <c r="J2211" s="21" t="str">
        <f aca="false">IF(B2211="","",IF(H2211&lt;&gt;"",H2211,F2211))</f>
        <v/>
      </c>
      <c r="K2211" s="26" t="str">
        <f aca="false">IF(A2211="","",DATE(YEAR(A2211),MONTH(A2211),1))</f>
        <v/>
      </c>
      <c r="L2211" s="21" t="str">
        <f aca="false">IF(J2211="",IF(B2211="","",IF(N(C2211)&gt;=0,"Income","Expense")),IFERROR(INDEX(Lists!$B$2:$B$30,MATCH(J2211,Lists!$A$2:$A$30,0)),""))</f>
        <v/>
      </c>
      <c r="M2211" s="24"/>
      <c r="N2211" s="27" t="str">
        <f aca="false">IF(B2211="","",IFERROR(1000-SUMPRODUCT(MAX(ISNUMBER(SEARCH(Rules!$A$5:$A$204,B2211))*(Rules!$A$5:$A$204&lt;&gt;"")*(1000-ROW(Rules!$A$5:$A$204)))),""))</f>
        <v/>
      </c>
    </row>
    <row r="2212" customFormat="false" ht="15" hidden="false" customHeight="false" outlineLevel="0" collapsed="false">
      <c r="A2212" s="23"/>
      <c r="B2212" s="24"/>
      <c r="C2212" s="25"/>
      <c r="D2212" s="24"/>
      <c r="E2212" s="21" t="str">
        <f aca="false">IF(OR(B2212="",N(N2212)=0,N2212=1000),IF(B2212="","","Check"),INDEX(Rules!$B:$B,N2212))</f>
        <v/>
      </c>
      <c r="F2212" s="21" t="str">
        <f aca="false">IF(OR(B2212="",N(N2212)=0,N2212=1000),"",INDEX(Rules!$C:$C,N2212))</f>
        <v/>
      </c>
      <c r="G2212" s="24"/>
      <c r="H2212" s="24"/>
      <c r="I2212" s="20" t="str">
        <f aca="false">IF(B2212="","",IF(G2212&lt;&gt;"",G2212,E2212))</f>
        <v/>
      </c>
      <c r="J2212" s="21" t="str">
        <f aca="false">IF(B2212="","",IF(H2212&lt;&gt;"",H2212,F2212))</f>
        <v/>
      </c>
      <c r="K2212" s="26" t="str">
        <f aca="false">IF(A2212="","",DATE(YEAR(A2212),MONTH(A2212),1))</f>
        <v/>
      </c>
      <c r="L2212" s="21" t="str">
        <f aca="false">IF(J2212="",IF(B2212="","",IF(N(C2212)&gt;=0,"Income","Expense")),IFERROR(INDEX(Lists!$B$2:$B$30,MATCH(J2212,Lists!$A$2:$A$30,0)),""))</f>
        <v/>
      </c>
      <c r="M2212" s="24"/>
      <c r="N2212" s="27" t="str">
        <f aca="false">IF(B2212="","",IFERROR(1000-SUMPRODUCT(MAX(ISNUMBER(SEARCH(Rules!$A$5:$A$204,B2212))*(Rules!$A$5:$A$204&lt;&gt;"")*(1000-ROW(Rules!$A$5:$A$204)))),""))</f>
        <v/>
      </c>
    </row>
    <row r="2213" customFormat="false" ht="15" hidden="false" customHeight="false" outlineLevel="0" collapsed="false">
      <c r="A2213" s="23"/>
      <c r="B2213" s="24"/>
      <c r="C2213" s="25"/>
      <c r="D2213" s="24"/>
      <c r="E2213" s="21" t="str">
        <f aca="false">IF(OR(B2213="",N(N2213)=0,N2213=1000),IF(B2213="","","Check"),INDEX(Rules!$B:$B,N2213))</f>
        <v/>
      </c>
      <c r="F2213" s="21" t="str">
        <f aca="false">IF(OR(B2213="",N(N2213)=0,N2213=1000),"",INDEX(Rules!$C:$C,N2213))</f>
        <v/>
      </c>
      <c r="G2213" s="24"/>
      <c r="H2213" s="24"/>
      <c r="I2213" s="20" t="str">
        <f aca="false">IF(B2213="","",IF(G2213&lt;&gt;"",G2213,E2213))</f>
        <v/>
      </c>
      <c r="J2213" s="21" t="str">
        <f aca="false">IF(B2213="","",IF(H2213&lt;&gt;"",H2213,F2213))</f>
        <v/>
      </c>
      <c r="K2213" s="26" t="str">
        <f aca="false">IF(A2213="","",DATE(YEAR(A2213),MONTH(A2213),1))</f>
        <v/>
      </c>
      <c r="L2213" s="21" t="str">
        <f aca="false">IF(J2213="",IF(B2213="","",IF(N(C2213)&gt;=0,"Income","Expense")),IFERROR(INDEX(Lists!$B$2:$B$30,MATCH(J2213,Lists!$A$2:$A$30,0)),""))</f>
        <v/>
      </c>
      <c r="M2213" s="24"/>
      <c r="N2213" s="27" t="str">
        <f aca="false">IF(B2213="","",IFERROR(1000-SUMPRODUCT(MAX(ISNUMBER(SEARCH(Rules!$A$5:$A$204,B2213))*(Rules!$A$5:$A$204&lt;&gt;"")*(1000-ROW(Rules!$A$5:$A$204)))),""))</f>
        <v/>
      </c>
    </row>
    <row r="2214" customFormat="false" ht="15" hidden="false" customHeight="false" outlineLevel="0" collapsed="false">
      <c r="A2214" s="23"/>
      <c r="B2214" s="24"/>
      <c r="C2214" s="25"/>
      <c r="D2214" s="24"/>
      <c r="E2214" s="21" t="str">
        <f aca="false">IF(OR(B2214="",N(N2214)=0,N2214=1000),IF(B2214="","","Check"),INDEX(Rules!$B:$B,N2214))</f>
        <v/>
      </c>
      <c r="F2214" s="21" t="str">
        <f aca="false">IF(OR(B2214="",N(N2214)=0,N2214=1000),"",INDEX(Rules!$C:$C,N2214))</f>
        <v/>
      </c>
      <c r="G2214" s="24"/>
      <c r="H2214" s="24"/>
      <c r="I2214" s="20" t="str">
        <f aca="false">IF(B2214="","",IF(G2214&lt;&gt;"",G2214,E2214))</f>
        <v/>
      </c>
      <c r="J2214" s="21" t="str">
        <f aca="false">IF(B2214="","",IF(H2214&lt;&gt;"",H2214,F2214))</f>
        <v/>
      </c>
      <c r="K2214" s="26" t="str">
        <f aca="false">IF(A2214="","",DATE(YEAR(A2214),MONTH(A2214),1))</f>
        <v/>
      </c>
      <c r="L2214" s="21" t="str">
        <f aca="false">IF(J2214="",IF(B2214="","",IF(N(C2214)&gt;=0,"Income","Expense")),IFERROR(INDEX(Lists!$B$2:$B$30,MATCH(J2214,Lists!$A$2:$A$30,0)),""))</f>
        <v/>
      </c>
      <c r="M2214" s="24"/>
      <c r="N2214" s="27" t="str">
        <f aca="false">IF(B2214="","",IFERROR(1000-SUMPRODUCT(MAX(ISNUMBER(SEARCH(Rules!$A$5:$A$204,B2214))*(Rules!$A$5:$A$204&lt;&gt;"")*(1000-ROW(Rules!$A$5:$A$204)))),""))</f>
        <v/>
      </c>
    </row>
    <row r="2215" customFormat="false" ht="15" hidden="false" customHeight="false" outlineLevel="0" collapsed="false">
      <c r="A2215" s="23"/>
      <c r="B2215" s="24"/>
      <c r="C2215" s="25"/>
      <c r="D2215" s="24"/>
      <c r="E2215" s="21" t="str">
        <f aca="false">IF(OR(B2215="",N(N2215)=0,N2215=1000),IF(B2215="","","Check"),INDEX(Rules!$B:$B,N2215))</f>
        <v/>
      </c>
      <c r="F2215" s="21" t="str">
        <f aca="false">IF(OR(B2215="",N(N2215)=0,N2215=1000),"",INDEX(Rules!$C:$C,N2215))</f>
        <v/>
      </c>
      <c r="G2215" s="24"/>
      <c r="H2215" s="24"/>
      <c r="I2215" s="20" t="str">
        <f aca="false">IF(B2215="","",IF(G2215&lt;&gt;"",G2215,E2215))</f>
        <v/>
      </c>
      <c r="J2215" s="21" t="str">
        <f aca="false">IF(B2215="","",IF(H2215&lt;&gt;"",H2215,F2215))</f>
        <v/>
      </c>
      <c r="K2215" s="26" t="str">
        <f aca="false">IF(A2215="","",DATE(YEAR(A2215),MONTH(A2215),1))</f>
        <v/>
      </c>
      <c r="L2215" s="21" t="str">
        <f aca="false">IF(J2215="",IF(B2215="","",IF(N(C2215)&gt;=0,"Income","Expense")),IFERROR(INDEX(Lists!$B$2:$B$30,MATCH(J2215,Lists!$A$2:$A$30,0)),""))</f>
        <v/>
      </c>
      <c r="M2215" s="24"/>
      <c r="N2215" s="27" t="str">
        <f aca="false">IF(B2215="","",IFERROR(1000-SUMPRODUCT(MAX(ISNUMBER(SEARCH(Rules!$A$5:$A$204,B2215))*(Rules!$A$5:$A$204&lt;&gt;"")*(1000-ROW(Rules!$A$5:$A$204)))),""))</f>
        <v/>
      </c>
    </row>
    <row r="2216" customFormat="false" ht="15" hidden="false" customHeight="false" outlineLevel="0" collapsed="false">
      <c r="A2216" s="23"/>
      <c r="B2216" s="24"/>
      <c r="C2216" s="25"/>
      <c r="D2216" s="24"/>
      <c r="E2216" s="21" t="str">
        <f aca="false">IF(OR(B2216="",N(N2216)=0,N2216=1000),IF(B2216="","","Check"),INDEX(Rules!$B:$B,N2216))</f>
        <v/>
      </c>
      <c r="F2216" s="21" t="str">
        <f aca="false">IF(OR(B2216="",N(N2216)=0,N2216=1000),"",INDEX(Rules!$C:$C,N2216))</f>
        <v/>
      </c>
      <c r="G2216" s="24"/>
      <c r="H2216" s="24"/>
      <c r="I2216" s="20" t="str">
        <f aca="false">IF(B2216="","",IF(G2216&lt;&gt;"",G2216,E2216))</f>
        <v/>
      </c>
      <c r="J2216" s="21" t="str">
        <f aca="false">IF(B2216="","",IF(H2216&lt;&gt;"",H2216,F2216))</f>
        <v/>
      </c>
      <c r="K2216" s="26" t="str">
        <f aca="false">IF(A2216="","",DATE(YEAR(A2216),MONTH(A2216),1))</f>
        <v/>
      </c>
      <c r="L2216" s="21" t="str">
        <f aca="false">IF(J2216="",IF(B2216="","",IF(N(C2216)&gt;=0,"Income","Expense")),IFERROR(INDEX(Lists!$B$2:$B$30,MATCH(J2216,Lists!$A$2:$A$30,0)),""))</f>
        <v/>
      </c>
      <c r="M2216" s="24"/>
      <c r="N2216" s="27" t="str">
        <f aca="false">IF(B2216="","",IFERROR(1000-SUMPRODUCT(MAX(ISNUMBER(SEARCH(Rules!$A$5:$A$204,B2216))*(Rules!$A$5:$A$204&lt;&gt;"")*(1000-ROW(Rules!$A$5:$A$204)))),""))</f>
        <v/>
      </c>
    </row>
    <row r="2217" customFormat="false" ht="15" hidden="false" customHeight="false" outlineLevel="0" collapsed="false">
      <c r="A2217" s="23"/>
      <c r="B2217" s="24"/>
      <c r="C2217" s="25"/>
      <c r="D2217" s="24"/>
      <c r="E2217" s="21" t="str">
        <f aca="false">IF(OR(B2217="",N(N2217)=0,N2217=1000),IF(B2217="","","Check"),INDEX(Rules!$B:$B,N2217))</f>
        <v/>
      </c>
      <c r="F2217" s="21" t="str">
        <f aca="false">IF(OR(B2217="",N(N2217)=0,N2217=1000),"",INDEX(Rules!$C:$C,N2217))</f>
        <v/>
      </c>
      <c r="G2217" s="24"/>
      <c r="H2217" s="24"/>
      <c r="I2217" s="20" t="str">
        <f aca="false">IF(B2217="","",IF(G2217&lt;&gt;"",G2217,E2217))</f>
        <v/>
      </c>
      <c r="J2217" s="21" t="str">
        <f aca="false">IF(B2217="","",IF(H2217&lt;&gt;"",H2217,F2217))</f>
        <v/>
      </c>
      <c r="K2217" s="26" t="str">
        <f aca="false">IF(A2217="","",DATE(YEAR(A2217),MONTH(A2217),1))</f>
        <v/>
      </c>
      <c r="L2217" s="21" t="str">
        <f aca="false">IF(J2217="",IF(B2217="","",IF(N(C2217)&gt;=0,"Income","Expense")),IFERROR(INDEX(Lists!$B$2:$B$30,MATCH(J2217,Lists!$A$2:$A$30,0)),""))</f>
        <v/>
      </c>
      <c r="M2217" s="24"/>
      <c r="N2217" s="27" t="str">
        <f aca="false">IF(B2217="","",IFERROR(1000-SUMPRODUCT(MAX(ISNUMBER(SEARCH(Rules!$A$5:$A$204,B2217))*(Rules!$A$5:$A$204&lt;&gt;"")*(1000-ROW(Rules!$A$5:$A$204)))),""))</f>
        <v/>
      </c>
    </row>
    <row r="2218" customFormat="false" ht="15" hidden="false" customHeight="false" outlineLevel="0" collapsed="false">
      <c r="A2218" s="23"/>
      <c r="B2218" s="24"/>
      <c r="C2218" s="25"/>
      <c r="D2218" s="24"/>
      <c r="E2218" s="21" t="str">
        <f aca="false">IF(OR(B2218="",N(N2218)=0,N2218=1000),IF(B2218="","","Check"),INDEX(Rules!$B:$B,N2218))</f>
        <v/>
      </c>
      <c r="F2218" s="21" t="str">
        <f aca="false">IF(OR(B2218="",N(N2218)=0,N2218=1000),"",INDEX(Rules!$C:$C,N2218))</f>
        <v/>
      </c>
      <c r="G2218" s="24"/>
      <c r="H2218" s="24"/>
      <c r="I2218" s="20" t="str">
        <f aca="false">IF(B2218="","",IF(G2218&lt;&gt;"",G2218,E2218))</f>
        <v/>
      </c>
      <c r="J2218" s="21" t="str">
        <f aca="false">IF(B2218="","",IF(H2218&lt;&gt;"",H2218,F2218))</f>
        <v/>
      </c>
      <c r="K2218" s="26" t="str">
        <f aca="false">IF(A2218="","",DATE(YEAR(A2218),MONTH(A2218),1))</f>
        <v/>
      </c>
      <c r="L2218" s="21" t="str">
        <f aca="false">IF(J2218="",IF(B2218="","",IF(N(C2218)&gt;=0,"Income","Expense")),IFERROR(INDEX(Lists!$B$2:$B$30,MATCH(J2218,Lists!$A$2:$A$30,0)),""))</f>
        <v/>
      </c>
      <c r="M2218" s="24"/>
      <c r="N2218" s="27" t="str">
        <f aca="false">IF(B2218="","",IFERROR(1000-SUMPRODUCT(MAX(ISNUMBER(SEARCH(Rules!$A$5:$A$204,B2218))*(Rules!$A$5:$A$204&lt;&gt;"")*(1000-ROW(Rules!$A$5:$A$204)))),""))</f>
        <v/>
      </c>
    </row>
    <row r="2219" customFormat="false" ht="15" hidden="false" customHeight="false" outlineLevel="0" collapsed="false">
      <c r="A2219" s="23"/>
      <c r="B2219" s="24"/>
      <c r="C2219" s="25"/>
      <c r="D2219" s="24"/>
      <c r="E2219" s="21" t="str">
        <f aca="false">IF(OR(B2219="",N(N2219)=0,N2219=1000),IF(B2219="","","Check"),INDEX(Rules!$B:$B,N2219))</f>
        <v/>
      </c>
      <c r="F2219" s="21" t="str">
        <f aca="false">IF(OR(B2219="",N(N2219)=0,N2219=1000),"",INDEX(Rules!$C:$C,N2219))</f>
        <v/>
      </c>
      <c r="G2219" s="24"/>
      <c r="H2219" s="24"/>
      <c r="I2219" s="20" t="str">
        <f aca="false">IF(B2219="","",IF(G2219&lt;&gt;"",G2219,E2219))</f>
        <v/>
      </c>
      <c r="J2219" s="21" t="str">
        <f aca="false">IF(B2219="","",IF(H2219&lt;&gt;"",H2219,F2219))</f>
        <v/>
      </c>
      <c r="K2219" s="26" t="str">
        <f aca="false">IF(A2219="","",DATE(YEAR(A2219),MONTH(A2219),1))</f>
        <v/>
      </c>
      <c r="L2219" s="21" t="str">
        <f aca="false">IF(J2219="",IF(B2219="","",IF(N(C2219)&gt;=0,"Income","Expense")),IFERROR(INDEX(Lists!$B$2:$B$30,MATCH(J2219,Lists!$A$2:$A$30,0)),""))</f>
        <v/>
      </c>
      <c r="M2219" s="24"/>
      <c r="N2219" s="27" t="str">
        <f aca="false">IF(B2219="","",IFERROR(1000-SUMPRODUCT(MAX(ISNUMBER(SEARCH(Rules!$A$5:$A$204,B2219))*(Rules!$A$5:$A$204&lt;&gt;"")*(1000-ROW(Rules!$A$5:$A$204)))),""))</f>
        <v/>
      </c>
    </row>
    <row r="2220" customFormat="false" ht="15" hidden="false" customHeight="false" outlineLevel="0" collapsed="false">
      <c r="A2220" s="23"/>
      <c r="B2220" s="24"/>
      <c r="C2220" s="25"/>
      <c r="D2220" s="24"/>
      <c r="E2220" s="21" t="str">
        <f aca="false">IF(OR(B2220="",N(N2220)=0,N2220=1000),IF(B2220="","","Check"),INDEX(Rules!$B:$B,N2220))</f>
        <v/>
      </c>
      <c r="F2220" s="21" t="str">
        <f aca="false">IF(OR(B2220="",N(N2220)=0,N2220=1000),"",INDEX(Rules!$C:$C,N2220))</f>
        <v/>
      </c>
      <c r="G2220" s="24"/>
      <c r="H2220" s="24"/>
      <c r="I2220" s="20" t="str">
        <f aca="false">IF(B2220="","",IF(G2220&lt;&gt;"",G2220,E2220))</f>
        <v/>
      </c>
      <c r="J2220" s="21" t="str">
        <f aca="false">IF(B2220="","",IF(H2220&lt;&gt;"",H2220,F2220))</f>
        <v/>
      </c>
      <c r="K2220" s="26" t="str">
        <f aca="false">IF(A2220="","",DATE(YEAR(A2220),MONTH(A2220),1))</f>
        <v/>
      </c>
      <c r="L2220" s="21" t="str">
        <f aca="false">IF(J2220="",IF(B2220="","",IF(N(C2220)&gt;=0,"Income","Expense")),IFERROR(INDEX(Lists!$B$2:$B$30,MATCH(J2220,Lists!$A$2:$A$30,0)),""))</f>
        <v/>
      </c>
      <c r="M2220" s="24"/>
      <c r="N2220" s="27" t="str">
        <f aca="false">IF(B2220="","",IFERROR(1000-SUMPRODUCT(MAX(ISNUMBER(SEARCH(Rules!$A$5:$A$204,B2220))*(Rules!$A$5:$A$204&lt;&gt;"")*(1000-ROW(Rules!$A$5:$A$204)))),""))</f>
        <v/>
      </c>
    </row>
    <row r="2221" customFormat="false" ht="15" hidden="false" customHeight="false" outlineLevel="0" collapsed="false">
      <c r="A2221" s="23"/>
      <c r="B2221" s="24"/>
      <c r="C2221" s="25"/>
      <c r="D2221" s="24"/>
      <c r="E2221" s="21" t="str">
        <f aca="false">IF(OR(B2221="",N(N2221)=0,N2221=1000),IF(B2221="","","Check"),INDEX(Rules!$B:$B,N2221))</f>
        <v/>
      </c>
      <c r="F2221" s="21" t="str">
        <f aca="false">IF(OR(B2221="",N(N2221)=0,N2221=1000),"",INDEX(Rules!$C:$C,N2221))</f>
        <v/>
      </c>
      <c r="G2221" s="24"/>
      <c r="H2221" s="24"/>
      <c r="I2221" s="20" t="str">
        <f aca="false">IF(B2221="","",IF(G2221&lt;&gt;"",G2221,E2221))</f>
        <v/>
      </c>
      <c r="J2221" s="21" t="str">
        <f aca="false">IF(B2221="","",IF(H2221&lt;&gt;"",H2221,F2221))</f>
        <v/>
      </c>
      <c r="K2221" s="26" t="str">
        <f aca="false">IF(A2221="","",DATE(YEAR(A2221),MONTH(A2221),1))</f>
        <v/>
      </c>
      <c r="L2221" s="21" t="str">
        <f aca="false">IF(J2221="",IF(B2221="","",IF(N(C2221)&gt;=0,"Income","Expense")),IFERROR(INDEX(Lists!$B$2:$B$30,MATCH(J2221,Lists!$A$2:$A$30,0)),""))</f>
        <v/>
      </c>
      <c r="M2221" s="24"/>
      <c r="N2221" s="27" t="str">
        <f aca="false">IF(B2221="","",IFERROR(1000-SUMPRODUCT(MAX(ISNUMBER(SEARCH(Rules!$A$5:$A$204,B2221))*(Rules!$A$5:$A$204&lt;&gt;"")*(1000-ROW(Rules!$A$5:$A$204)))),""))</f>
        <v/>
      </c>
    </row>
    <row r="2222" customFormat="false" ht="15" hidden="false" customHeight="false" outlineLevel="0" collapsed="false">
      <c r="A2222" s="23"/>
      <c r="B2222" s="24"/>
      <c r="C2222" s="25"/>
      <c r="D2222" s="24"/>
      <c r="E2222" s="21" t="str">
        <f aca="false">IF(OR(B2222="",N(N2222)=0,N2222=1000),IF(B2222="","","Check"),INDEX(Rules!$B:$B,N2222))</f>
        <v/>
      </c>
      <c r="F2222" s="21" t="str">
        <f aca="false">IF(OR(B2222="",N(N2222)=0,N2222=1000),"",INDEX(Rules!$C:$C,N2222))</f>
        <v/>
      </c>
      <c r="G2222" s="24"/>
      <c r="H2222" s="24"/>
      <c r="I2222" s="20" t="str">
        <f aca="false">IF(B2222="","",IF(G2222&lt;&gt;"",G2222,E2222))</f>
        <v/>
      </c>
      <c r="J2222" s="21" t="str">
        <f aca="false">IF(B2222="","",IF(H2222&lt;&gt;"",H2222,F2222))</f>
        <v/>
      </c>
      <c r="K2222" s="26" t="str">
        <f aca="false">IF(A2222="","",DATE(YEAR(A2222),MONTH(A2222),1))</f>
        <v/>
      </c>
      <c r="L2222" s="21" t="str">
        <f aca="false">IF(J2222="",IF(B2222="","",IF(N(C2222)&gt;=0,"Income","Expense")),IFERROR(INDEX(Lists!$B$2:$B$30,MATCH(J2222,Lists!$A$2:$A$30,0)),""))</f>
        <v/>
      </c>
      <c r="M2222" s="24"/>
      <c r="N2222" s="27" t="str">
        <f aca="false">IF(B2222="","",IFERROR(1000-SUMPRODUCT(MAX(ISNUMBER(SEARCH(Rules!$A$5:$A$204,B2222))*(Rules!$A$5:$A$204&lt;&gt;"")*(1000-ROW(Rules!$A$5:$A$204)))),""))</f>
        <v/>
      </c>
    </row>
    <row r="2223" customFormat="false" ht="15" hidden="false" customHeight="false" outlineLevel="0" collapsed="false">
      <c r="A2223" s="23"/>
      <c r="B2223" s="24"/>
      <c r="C2223" s="25"/>
      <c r="D2223" s="24"/>
      <c r="E2223" s="21" t="str">
        <f aca="false">IF(OR(B2223="",N(N2223)=0,N2223=1000),IF(B2223="","","Check"),INDEX(Rules!$B:$B,N2223))</f>
        <v/>
      </c>
      <c r="F2223" s="21" t="str">
        <f aca="false">IF(OR(B2223="",N(N2223)=0,N2223=1000),"",INDEX(Rules!$C:$C,N2223))</f>
        <v/>
      </c>
      <c r="G2223" s="24"/>
      <c r="H2223" s="24"/>
      <c r="I2223" s="20" t="str">
        <f aca="false">IF(B2223="","",IF(G2223&lt;&gt;"",G2223,E2223))</f>
        <v/>
      </c>
      <c r="J2223" s="21" t="str">
        <f aca="false">IF(B2223="","",IF(H2223&lt;&gt;"",H2223,F2223))</f>
        <v/>
      </c>
      <c r="K2223" s="26" t="str">
        <f aca="false">IF(A2223="","",DATE(YEAR(A2223),MONTH(A2223),1))</f>
        <v/>
      </c>
      <c r="L2223" s="21" t="str">
        <f aca="false">IF(J2223="",IF(B2223="","",IF(N(C2223)&gt;=0,"Income","Expense")),IFERROR(INDEX(Lists!$B$2:$B$30,MATCH(J2223,Lists!$A$2:$A$30,0)),""))</f>
        <v/>
      </c>
      <c r="M2223" s="24"/>
      <c r="N2223" s="27" t="str">
        <f aca="false">IF(B2223="","",IFERROR(1000-SUMPRODUCT(MAX(ISNUMBER(SEARCH(Rules!$A$5:$A$204,B2223))*(Rules!$A$5:$A$204&lt;&gt;"")*(1000-ROW(Rules!$A$5:$A$204)))),""))</f>
        <v/>
      </c>
    </row>
    <row r="2224" customFormat="false" ht="15" hidden="false" customHeight="false" outlineLevel="0" collapsed="false">
      <c r="A2224" s="23"/>
      <c r="B2224" s="24"/>
      <c r="C2224" s="25"/>
      <c r="D2224" s="24"/>
      <c r="E2224" s="21" t="str">
        <f aca="false">IF(OR(B2224="",N(N2224)=0,N2224=1000),IF(B2224="","","Check"),INDEX(Rules!$B:$B,N2224))</f>
        <v/>
      </c>
      <c r="F2224" s="21" t="str">
        <f aca="false">IF(OR(B2224="",N(N2224)=0,N2224=1000),"",INDEX(Rules!$C:$C,N2224))</f>
        <v/>
      </c>
      <c r="G2224" s="24"/>
      <c r="H2224" s="24"/>
      <c r="I2224" s="20" t="str">
        <f aca="false">IF(B2224="","",IF(G2224&lt;&gt;"",G2224,E2224))</f>
        <v/>
      </c>
      <c r="J2224" s="21" t="str">
        <f aca="false">IF(B2224="","",IF(H2224&lt;&gt;"",H2224,F2224))</f>
        <v/>
      </c>
      <c r="K2224" s="26" t="str">
        <f aca="false">IF(A2224="","",DATE(YEAR(A2224),MONTH(A2224),1))</f>
        <v/>
      </c>
      <c r="L2224" s="21" t="str">
        <f aca="false">IF(J2224="",IF(B2224="","",IF(N(C2224)&gt;=0,"Income","Expense")),IFERROR(INDEX(Lists!$B$2:$B$30,MATCH(J2224,Lists!$A$2:$A$30,0)),""))</f>
        <v/>
      </c>
      <c r="M2224" s="24"/>
      <c r="N2224" s="27" t="str">
        <f aca="false">IF(B2224="","",IFERROR(1000-SUMPRODUCT(MAX(ISNUMBER(SEARCH(Rules!$A$5:$A$204,B2224))*(Rules!$A$5:$A$204&lt;&gt;"")*(1000-ROW(Rules!$A$5:$A$204)))),""))</f>
        <v/>
      </c>
    </row>
    <row r="2225" customFormat="false" ht="15" hidden="false" customHeight="false" outlineLevel="0" collapsed="false">
      <c r="A2225" s="23"/>
      <c r="B2225" s="24"/>
      <c r="C2225" s="25"/>
      <c r="D2225" s="24"/>
      <c r="E2225" s="21" t="str">
        <f aca="false">IF(OR(B2225="",N(N2225)=0,N2225=1000),IF(B2225="","","Check"),INDEX(Rules!$B:$B,N2225))</f>
        <v/>
      </c>
      <c r="F2225" s="21" t="str">
        <f aca="false">IF(OR(B2225="",N(N2225)=0,N2225=1000),"",INDEX(Rules!$C:$C,N2225))</f>
        <v/>
      </c>
      <c r="G2225" s="24"/>
      <c r="H2225" s="24"/>
      <c r="I2225" s="20" t="str">
        <f aca="false">IF(B2225="","",IF(G2225&lt;&gt;"",G2225,E2225))</f>
        <v/>
      </c>
      <c r="J2225" s="21" t="str">
        <f aca="false">IF(B2225="","",IF(H2225&lt;&gt;"",H2225,F2225))</f>
        <v/>
      </c>
      <c r="K2225" s="26" t="str">
        <f aca="false">IF(A2225="","",DATE(YEAR(A2225),MONTH(A2225),1))</f>
        <v/>
      </c>
      <c r="L2225" s="21" t="str">
        <f aca="false">IF(J2225="",IF(B2225="","",IF(N(C2225)&gt;=0,"Income","Expense")),IFERROR(INDEX(Lists!$B$2:$B$30,MATCH(J2225,Lists!$A$2:$A$30,0)),""))</f>
        <v/>
      </c>
      <c r="M2225" s="24"/>
      <c r="N2225" s="27" t="str">
        <f aca="false">IF(B2225="","",IFERROR(1000-SUMPRODUCT(MAX(ISNUMBER(SEARCH(Rules!$A$5:$A$204,B2225))*(Rules!$A$5:$A$204&lt;&gt;"")*(1000-ROW(Rules!$A$5:$A$204)))),""))</f>
        <v/>
      </c>
    </row>
    <row r="2226" customFormat="false" ht="15" hidden="false" customHeight="false" outlineLevel="0" collapsed="false">
      <c r="A2226" s="23"/>
      <c r="B2226" s="24"/>
      <c r="C2226" s="25"/>
      <c r="D2226" s="24"/>
      <c r="E2226" s="21" t="str">
        <f aca="false">IF(OR(B2226="",N(N2226)=0,N2226=1000),IF(B2226="","","Check"),INDEX(Rules!$B:$B,N2226))</f>
        <v/>
      </c>
      <c r="F2226" s="21" t="str">
        <f aca="false">IF(OR(B2226="",N(N2226)=0,N2226=1000),"",INDEX(Rules!$C:$C,N2226))</f>
        <v/>
      </c>
      <c r="G2226" s="24"/>
      <c r="H2226" s="24"/>
      <c r="I2226" s="20" t="str">
        <f aca="false">IF(B2226="","",IF(G2226&lt;&gt;"",G2226,E2226))</f>
        <v/>
      </c>
      <c r="J2226" s="21" t="str">
        <f aca="false">IF(B2226="","",IF(H2226&lt;&gt;"",H2226,F2226))</f>
        <v/>
      </c>
      <c r="K2226" s="26" t="str">
        <f aca="false">IF(A2226="","",DATE(YEAR(A2226),MONTH(A2226),1))</f>
        <v/>
      </c>
      <c r="L2226" s="21" t="str">
        <f aca="false">IF(J2226="",IF(B2226="","",IF(N(C2226)&gt;=0,"Income","Expense")),IFERROR(INDEX(Lists!$B$2:$B$30,MATCH(J2226,Lists!$A$2:$A$30,0)),""))</f>
        <v/>
      </c>
      <c r="M2226" s="24"/>
      <c r="N2226" s="27" t="str">
        <f aca="false">IF(B2226="","",IFERROR(1000-SUMPRODUCT(MAX(ISNUMBER(SEARCH(Rules!$A$5:$A$204,B2226))*(Rules!$A$5:$A$204&lt;&gt;"")*(1000-ROW(Rules!$A$5:$A$204)))),""))</f>
        <v/>
      </c>
    </row>
    <row r="2227" customFormat="false" ht="15" hidden="false" customHeight="false" outlineLevel="0" collapsed="false">
      <c r="A2227" s="23"/>
      <c r="B2227" s="24"/>
      <c r="C2227" s="25"/>
      <c r="D2227" s="24"/>
      <c r="E2227" s="21" t="str">
        <f aca="false">IF(OR(B2227="",N(N2227)=0,N2227=1000),IF(B2227="","","Check"),INDEX(Rules!$B:$B,N2227))</f>
        <v/>
      </c>
      <c r="F2227" s="21" t="str">
        <f aca="false">IF(OR(B2227="",N(N2227)=0,N2227=1000),"",INDEX(Rules!$C:$C,N2227))</f>
        <v/>
      </c>
      <c r="G2227" s="24"/>
      <c r="H2227" s="24"/>
      <c r="I2227" s="20" t="str">
        <f aca="false">IF(B2227="","",IF(G2227&lt;&gt;"",G2227,E2227))</f>
        <v/>
      </c>
      <c r="J2227" s="21" t="str">
        <f aca="false">IF(B2227="","",IF(H2227&lt;&gt;"",H2227,F2227))</f>
        <v/>
      </c>
      <c r="K2227" s="26" t="str">
        <f aca="false">IF(A2227="","",DATE(YEAR(A2227),MONTH(A2227),1))</f>
        <v/>
      </c>
      <c r="L2227" s="21" t="str">
        <f aca="false">IF(J2227="",IF(B2227="","",IF(N(C2227)&gt;=0,"Income","Expense")),IFERROR(INDEX(Lists!$B$2:$B$30,MATCH(J2227,Lists!$A$2:$A$30,0)),""))</f>
        <v/>
      </c>
      <c r="M2227" s="24"/>
      <c r="N2227" s="27" t="str">
        <f aca="false">IF(B2227="","",IFERROR(1000-SUMPRODUCT(MAX(ISNUMBER(SEARCH(Rules!$A$5:$A$204,B2227))*(Rules!$A$5:$A$204&lt;&gt;"")*(1000-ROW(Rules!$A$5:$A$204)))),""))</f>
        <v/>
      </c>
    </row>
    <row r="2228" customFormat="false" ht="15" hidden="false" customHeight="false" outlineLevel="0" collapsed="false">
      <c r="A2228" s="23"/>
      <c r="B2228" s="24"/>
      <c r="C2228" s="25"/>
      <c r="D2228" s="24"/>
      <c r="E2228" s="21" t="str">
        <f aca="false">IF(OR(B2228="",N(N2228)=0,N2228=1000),IF(B2228="","","Check"),INDEX(Rules!$B:$B,N2228))</f>
        <v/>
      </c>
      <c r="F2228" s="21" t="str">
        <f aca="false">IF(OR(B2228="",N(N2228)=0,N2228=1000),"",INDEX(Rules!$C:$C,N2228))</f>
        <v/>
      </c>
      <c r="G2228" s="24"/>
      <c r="H2228" s="24"/>
      <c r="I2228" s="20" t="str">
        <f aca="false">IF(B2228="","",IF(G2228&lt;&gt;"",G2228,E2228))</f>
        <v/>
      </c>
      <c r="J2228" s="21" t="str">
        <f aca="false">IF(B2228="","",IF(H2228&lt;&gt;"",H2228,F2228))</f>
        <v/>
      </c>
      <c r="K2228" s="26" t="str">
        <f aca="false">IF(A2228="","",DATE(YEAR(A2228),MONTH(A2228),1))</f>
        <v/>
      </c>
      <c r="L2228" s="21" t="str">
        <f aca="false">IF(J2228="",IF(B2228="","",IF(N(C2228)&gt;=0,"Income","Expense")),IFERROR(INDEX(Lists!$B$2:$B$30,MATCH(J2228,Lists!$A$2:$A$30,0)),""))</f>
        <v/>
      </c>
      <c r="M2228" s="24"/>
      <c r="N2228" s="27" t="str">
        <f aca="false">IF(B2228="","",IFERROR(1000-SUMPRODUCT(MAX(ISNUMBER(SEARCH(Rules!$A$5:$A$204,B2228))*(Rules!$A$5:$A$204&lt;&gt;"")*(1000-ROW(Rules!$A$5:$A$204)))),""))</f>
        <v/>
      </c>
    </row>
    <row r="2229" customFormat="false" ht="15" hidden="false" customHeight="false" outlineLevel="0" collapsed="false">
      <c r="A2229" s="23"/>
      <c r="B2229" s="24"/>
      <c r="C2229" s="25"/>
      <c r="D2229" s="24"/>
      <c r="E2229" s="21" t="str">
        <f aca="false">IF(OR(B2229="",N(N2229)=0,N2229=1000),IF(B2229="","","Check"),INDEX(Rules!$B:$B,N2229))</f>
        <v/>
      </c>
      <c r="F2229" s="21" t="str">
        <f aca="false">IF(OR(B2229="",N(N2229)=0,N2229=1000),"",INDEX(Rules!$C:$C,N2229))</f>
        <v/>
      </c>
      <c r="G2229" s="24"/>
      <c r="H2229" s="24"/>
      <c r="I2229" s="20" t="str">
        <f aca="false">IF(B2229="","",IF(G2229&lt;&gt;"",G2229,E2229))</f>
        <v/>
      </c>
      <c r="J2229" s="21" t="str">
        <f aca="false">IF(B2229="","",IF(H2229&lt;&gt;"",H2229,F2229))</f>
        <v/>
      </c>
      <c r="K2229" s="26" t="str">
        <f aca="false">IF(A2229="","",DATE(YEAR(A2229),MONTH(A2229),1))</f>
        <v/>
      </c>
      <c r="L2229" s="21" t="str">
        <f aca="false">IF(J2229="",IF(B2229="","",IF(N(C2229)&gt;=0,"Income","Expense")),IFERROR(INDEX(Lists!$B$2:$B$30,MATCH(J2229,Lists!$A$2:$A$30,0)),""))</f>
        <v/>
      </c>
      <c r="M2229" s="24"/>
      <c r="N2229" s="27" t="str">
        <f aca="false">IF(B2229="","",IFERROR(1000-SUMPRODUCT(MAX(ISNUMBER(SEARCH(Rules!$A$5:$A$204,B2229))*(Rules!$A$5:$A$204&lt;&gt;"")*(1000-ROW(Rules!$A$5:$A$204)))),""))</f>
        <v/>
      </c>
    </row>
    <row r="2230" customFormat="false" ht="15" hidden="false" customHeight="false" outlineLevel="0" collapsed="false">
      <c r="A2230" s="23"/>
      <c r="B2230" s="24"/>
      <c r="C2230" s="25"/>
      <c r="D2230" s="24"/>
      <c r="E2230" s="21" t="str">
        <f aca="false">IF(OR(B2230="",N(N2230)=0,N2230=1000),IF(B2230="","","Check"),INDEX(Rules!$B:$B,N2230))</f>
        <v/>
      </c>
      <c r="F2230" s="21" t="str">
        <f aca="false">IF(OR(B2230="",N(N2230)=0,N2230=1000),"",INDEX(Rules!$C:$C,N2230))</f>
        <v/>
      </c>
      <c r="G2230" s="24"/>
      <c r="H2230" s="24"/>
      <c r="I2230" s="20" t="str">
        <f aca="false">IF(B2230="","",IF(G2230&lt;&gt;"",G2230,E2230))</f>
        <v/>
      </c>
      <c r="J2230" s="21" t="str">
        <f aca="false">IF(B2230="","",IF(H2230&lt;&gt;"",H2230,F2230))</f>
        <v/>
      </c>
      <c r="K2230" s="26" t="str">
        <f aca="false">IF(A2230="","",DATE(YEAR(A2230),MONTH(A2230),1))</f>
        <v/>
      </c>
      <c r="L2230" s="21" t="str">
        <f aca="false">IF(J2230="",IF(B2230="","",IF(N(C2230)&gt;=0,"Income","Expense")),IFERROR(INDEX(Lists!$B$2:$B$30,MATCH(J2230,Lists!$A$2:$A$30,0)),""))</f>
        <v/>
      </c>
      <c r="M2230" s="24"/>
      <c r="N2230" s="27" t="str">
        <f aca="false">IF(B2230="","",IFERROR(1000-SUMPRODUCT(MAX(ISNUMBER(SEARCH(Rules!$A$5:$A$204,B2230))*(Rules!$A$5:$A$204&lt;&gt;"")*(1000-ROW(Rules!$A$5:$A$204)))),""))</f>
        <v/>
      </c>
    </row>
    <row r="2231" customFormat="false" ht="15" hidden="false" customHeight="false" outlineLevel="0" collapsed="false">
      <c r="A2231" s="23"/>
      <c r="B2231" s="24"/>
      <c r="C2231" s="25"/>
      <c r="D2231" s="24"/>
      <c r="E2231" s="21" t="str">
        <f aca="false">IF(OR(B2231="",N(N2231)=0,N2231=1000),IF(B2231="","","Check"),INDEX(Rules!$B:$B,N2231))</f>
        <v/>
      </c>
      <c r="F2231" s="21" t="str">
        <f aca="false">IF(OR(B2231="",N(N2231)=0,N2231=1000),"",INDEX(Rules!$C:$C,N2231))</f>
        <v/>
      </c>
      <c r="G2231" s="24"/>
      <c r="H2231" s="24"/>
      <c r="I2231" s="20" t="str">
        <f aca="false">IF(B2231="","",IF(G2231&lt;&gt;"",G2231,E2231))</f>
        <v/>
      </c>
      <c r="J2231" s="21" t="str">
        <f aca="false">IF(B2231="","",IF(H2231&lt;&gt;"",H2231,F2231))</f>
        <v/>
      </c>
      <c r="K2231" s="26" t="str">
        <f aca="false">IF(A2231="","",DATE(YEAR(A2231),MONTH(A2231),1))</f>
        <v/>
      </c>
      <c r="L2231" s="21" t="str">
        <f aca="false">IF(J2231="",IF(B2231="","",IF(N(C2231)&gt;=0,"Income","Expense")),IFERROR(INDEX(Lists!$B$2:$B$30,MATCH(J2231,Lists!$A$2:$A$30,0)),""))</f>
        <v/>
      </c>
      <c r="M2231" s="24"/>
      <c r="N2231" s="27" t="str">
        <f aca="false">IF(B2231="","",IFERROR(1000-SUMPRODUCT(MAX(ISNUMBER(SEARCH(Rules!$A$5:$A$204,B2231))*(Rules!$A$5:$A$204&lt;&gt;"")*(1000-ROW(Rules!$A$5:$A$204)))),""))</f>
        <v/>
      </c>
    </row>
    <row r="2232" customFormat="false" ht="15" hidden="false" customHeight="false" outlineLevel="0" collapsed="false">
      <c r="A2232" s="23"/>
      <c r="B2232" s="24"/>
      <c r="C2232" s="25"/>
      <c r="D2232" s="24"/>
      <c r="E2232" s="21" t="str">
        <f aca="false">IF(OR(B2232="",N(N2232)=0,N2232=1000),IF(B2232="","","Check"),INDEX(Rules!$B:$B,N2232))</f>
        <v/>
      </c>
      <c r="F2232" s="21" t="str">
        <f aca="false">IF(OR(B2232="",N(N2232)=0,N2232=1000),"",INDEX(Rules!$C:$C,N2232))</f>
        <v/>
      </c>
      <c r="G2232" s="24"/>
      <c r="H2232" s="24"/>
      <c r="I2232" s="20" t="str">
        <f aca="false">IF(B2232="","",IF(G2232&lt;&gt;"",G2232,E2232))</f>
        <v/>
      </c>
      <c r="J2232" s="21" t="str">
        <f aca="false">IF(B2232="","",IF(H2232&lt;&gt;"",H2232,F2232))</f>
        <v/>
      </c>
      <c r="K2232" s="26" t="str">
        <f aca="false">IF(A2232="","",DATE(YEAR(A2232),MONTH(A2232),1))</f>
        <v/>
      </c>
      <c r="L2232" s="21" t="str">
        <f aca="false">IF(J2232="",IF(B2232="","",IF(N(C2232)&gt;=0,"Income","Expense")),IFERROR(INDEX(Lists!$B$2:$B$30,MATCH(J2232,Lists!$A$2:$A$30,0)),""))</f>
        <v/>
      </c>
      <c r="M2232" s="24"/>
      <c r="N2232" s="27" t="str">
        <f aca="false">IF(B2232="","",IFERROR(1000-SUMPRODUCT(MAX(ISNUMBER(SEARCH(Rules!$A$5:$A$204,B2232))*(Rules!$A$5:$A$204&lt;&gt;"")*(1000-ROW(Rules!$A$5:$A$204)))),""))</f>
        <v/>
      </c>
    </row>
    <row r="2233" customFormat="false" ht="15" hidden="false" customHeight="false" outlineLevel="0" collapsed="false">
      <c r="A2233" s="23"/>
      <c r="B2233" s="24"/>
      <c r="C2233" s="25"/>
      <c r="D2233" s="24"/>
      <c r="E2233" s="21" t="str">
        <f aca="false">IF(OR(B2233="",N(N2233)=0,N2233=1000),IF(B2233="","","Check"),INDEX(Rules!$B:$B,N2233))</f>
        <v/>
      </c>
      <c r="F2233" s="21" t="str">
        <f aca="false">IF(OR(B2233="",N(N2233)=0,N2233=1000),"",INDEX(Rules!$C:$C,N2233))</f>
        <v/>
      </c>
      <c r="G2233" s="24"/>
      <c r="H2233" s="24"/>
      <c r="I2233" s="20" t="str">
        <f aca="false">IF(B2233="","",IF(G2233&lt;&gt;"",G2233,E2233))</f>
        <v/>
      </c>
      <c r="J2233" s="21" t="str">
        <f aca="false">IF(B2233="","",IF(H2233&lt;&gt;"",H2233,F2233))</f>
        <v/>
      </c>
      <c r="K2233" s="26" t="str">
        <f aca="false">IF(A2233="","",DATE(YEAR(A2233),MONTH(A2233),1))</f>
        <v/>
      </c>
      <c r="L2233" s="21" t="str">
        <f aca="false">IF(J2233="",IF(B2233="","",IF(N(C2233)&gt;=0,"Income","Expense")),IFERROR(INDEX(Lists!$B$2:$B$30,MATCH(J2233,Lists!$A$2:$A$30,0)),""))</f>
        <v/>
      </c>
      <c r="M2233" s="24"/>
      <c r="N2233" s="27" t="str">
        <f aca="false">IF(B2233="","",IFERROR(1000-SUMPRODUCT(MAX(ISNUMBER(SEARCH(Rules!$A$5:$A$204,B2233))*(Rules!$A$5:$A$204&lt;&gt;"")*(1000-ROW(Rules!$A$5:$A$204)))),""))</f>
        <v/>
      </c>
    </row>
    <row r="2234" customFormat="false" ht="15" hidden="false" customHeight="false" outlineLevel="0" collapsed="false">
      <c r="A2234" s="23"/>
      <c r="B2234" s="24"/>
      <c r="C2234" s="25"/>
      <c r="D2234" s="24"/>
      <c r="E2234" s="21" t="str">
        <f aca="false">IF(OR(B2234="",N(N2234)=0,N2234=1000),IF(B2234="","","Check"),INDEX(Rules!$B:$B,N2234))</f>
        <v/>
      </c>
      <c r="F2234" s="21" t="str">
        <f aca="false">IF(OR(B2234="",N(N2234)=0,N2234=1000),"",INDEX(Rules!$C:$C,N2234))</f>
        <v/>
      </c>
      <c r="G2234" s="24"/>
      <c r="H2234" s="24"/>
      <c r="I2234" s="20" t="str">
        <f aca="false">IF(B2234="","",IF(G2234&lt;&gt;"",G2234,E2234))</f>
        <v/>
      </c>
      <c r="J2234" s="21" t="str">
        <f aca="false">IF(B2234="","",IF(H2234&lt;&gt;"",H2234,F2234))</f>
        <v/>
      </c>
      <c r="K2234" s="26" t="str">
        <f aca="false">IF(A2234="","",DATE(YEAR(A2234),MONTH(A2234),1))</f>
        <v/>
      </c>
      <c r="L2234" s="21" t="str">
        <f aca="false">IF(J2234="",IF(B2234="","",IF(N(C2234)&gt;=0,"Income","Expense")),IFERROR(INDEX(Lists!$B$2:$B$30,MATCH(J2234,Lists!$A$2:$A$30,0)),""))</f>
        <v/>
      </c>
      <c r="M2234" s="24"/>
      <c r="N2234" s="27" t="str">
        <f aca="false">IF(B2234="","",IFERROR(1000-SUMPRODUCT(MAX(ISNUMBER(SEARCH(Rules!$A$5:$A$204,B2234))*(Rules!$A$5:$A$204&lt;&gt;"")*(1000-ROW(Rules!$A$5:$A$204)))),""))</f>
        <v/>
      </c>
    </row>
    <row r="2235" customFormat="false" ht="15" hidden="false" customHeight="false" outlineLevel="0" collapsed="false">
      <c r="A2235" s="23"/>
      <c r="B2235" s="24"/>
      <c r="C2235" s="25"/>
      <c r="D2235" s="24"/>
      <c r="E2235" s="21" t="str">
        <f aca="false">IF(OR(B2235="",N(N2235)=0,N2235=1000),IF(B2235="","","Check"),INDEX(Rules!$B:$B,N2235))</f>
        <v/>
      </c>
      <c r="F2235" s="21" t="str">
        <f aca="false">IF(OR(B2235="",N(N2235)=0,N2235=1000),"",INDEX(Rules!$C:$C,N2235))</f>
        <v/>
      </c>
      <c r="G2235" s="24"/>
      <c r="H2235" s="24"/>
      <c r="I2235" s="20" t="str">
        <f aca="false">IF(B2235="","",IF(G2235&lt;&gt;"",G2235,E2235))</f>
        <v/>
      </c>
      <c r="J2235" s="21" t="str">
        <f aca="false">IF(B2235="","",IF(H2235&lt;&gt;"",H2235,F2235))</f>
        <v/>
      </c>
      <c r="K2235" s="26" t="str">
        <f aca="false">IF(A2235="","",DATE(YEAR(A2235),MONTH(A2235),1))</f>
        <v/>
      </c>
      <c r="L2235" s="21" t="str">
        <f aca="false">IF(J2235="",IF(B2235="","",IF(N(C2235)&gt;=0,"Income","Expense")),IFERROR(INDEX(Lists!$B$2:$B$30,MATCH(J2235,Lists!$A$2:$A$30,0)),""))</f>
        <v/>
      </c>
      <c r="M2235" s="24"/>
      <c r="N2235" s="27" t="str">
        <f aca="false">IF(B2235="","",IFERROR(1000-SUMPRODUCT(MAX(ISNUMBER(SEARCH(Rules!$A$5:$A$204,B2235))*(Rules!$A$5:$A$204&lt;&gt;"")*(1000-ROW(Rules!$A$5:$A$204)))),""))</f>
        <v/>
      </c>
    </row>
    <row r="2236" customFormat="false" ht="15" hidden="false" customHeight="false" outlineLevel="0" collapsed="false">
      <c r="A2236" s="23"/>
      <c r="B2236" s="24"/>
      <c r="C2236" s="25"/>
      <c r="D2236" s="24"/>
      <c r="E2236" s="21" t="str">
        <f aca="false">IF(OR(B2236="",N(N2236)=0,N2236=1000),IF(B2236="","","Check"),INDEX(Rules!$B:$B,N2236))</f>
        <v/>
      </c>
      <c r="F2236" s="21" t="str">
        <f aca="false">IF(OR(B2236="",N(N2236)=0,N2236=1000),"",INDEX(Rules!$C:$C,N2236))</f>
        <v/>
      </c>
      <c r="G2236" s="24"/>
      <c r="H2236" s="24"/>
      <c r="I2236" s="20" t="str">
        <f aca="false">IF(B2236="","",IF(G2236&lt;&gt;"",G2236,E2236))</f>
        <v/>
      </c>
      <c r="J2236" s="21" t="str">
        <f aca="false">IF(B2236="","",IF(H2236&lt;&gt;"",H2236,F2236))</f>
        <v/>
      </c>
      <c r="K2236" s="26" t="str">
        <f aca="false">IF(A2236="","",DATE(YEAR(A2236),MONTH(A2236),1))</f>
        <v/>
      </c>
      <c r="L2236" s="21" t="str">
        <f aca="false">IF(J2236="",IF(B2236="","",IF(N(C2236)&gt;=0,"Income","Expense")),IFERROR(INDEX(Lists!$B$2:$B$30,MATCH(J2236,Lists!$A$2:$A$30,0)),""))</f>
        <v/>
      </c>
      <c r="M2236" s="24"/>
      <c r="N2236" s="27" t="str">
        <f aca="false">IF(B2236="","",IFERROR(1000-SUMPRODUCT(MAX(ISNUMBER(SEARCH(Rules!$A$5:$A$204,B2236))*(Rules!$A$5:$A$204&lt;&gt;"")*(1000-ROW(Rules!$A$5:$A$204)))),""))</f>
        <v/>
      </c>
    </row>
    <row r="2237" customFormat="false" ht="15" hidden="false" customHeight="false" outlineLevel="0" collapsed="false">
      <c r="A2237" s="23"/>
      <c r="B2237" s="24"/>
      <c r="C2237" s="25"/>
      <c r="D2237" s="24"/>
      <c r="E2237" s="21" t="str">
        <f aca="false">IF(OR(B2237="",N(N2237)=0,N2237=1000),IF(B2237="","","Check"),INDEX(Rules!$B:$B,N2237))</f>
        <v/>
      </c>
      <c r="F2237" s="21" t="str">
        <f aca="false">IF(OR(B2237="",N(N2237)=0,N2237=1000),"",INDEX(Rules!$C:$C,N2237))</f>
        <v/>
      </c>
      <c r="G2237" s="24"/>
      <c r="H2237" s="24"/>
      <c r="I2237" s="20" t="str">
        <f aca="false">IF(B2237="","",IF(G2237&lt;&gt;"",G2237,E2237))</f>
        <v/>
      </c>
      <c r="J2237" s="21" t="str">
        <f aca="false">IF(B2237="","",IF(H2237&lt;&gt;"",H2237,F2237))</f>
        <v/>
      </c>
      <c r="K2237" s="26" t="str">
        <f aca="false">IF(A2237="","",DATE(YEAR(A2237),MONTH(A2237),1))</f>
        <v/>
      </c>
      <c r="L2237" s="21" t="str">
        <f aca="false">IF(J2237="",IF(B2237="","",IF(N(C2237)&gt;=0,"Income","Expense")),IFERROR(INDEX(Lists!$B$2:$B$30,MATCH(J2237,Lists!$A$2:$A$30,0)),""))</f>
        <v/>
      </c>
      <c r="M2237" s="24"/>
      <c r="N2237" s="27" t="str">
        <f aca="false">IF(B2237="","",IFERROR(1000-SUMPRODUCT(MAX(ISNUMBER(SEARCH(Rules!$A$5:$A$204,B2237))*(Rules!$A$5:$A$204&lt;&gt;"")*(1000-ROW(Rules!$A$5:$A$204)))),""))</f>
        <v/>
      </c>
    </row>
    <row r="2238" customFormat="false" ht="15" hidden="false" customHeight="false" outlineLevel="0" collapsed="false">
      <c r="A2238" s="23"/>
      <c r="B2238" s="24"/>
      <c r="C2238" s="25"/>
      <c r="D2238" s="24"/>
      <c r="E2238" s="21" t="str">
        <f aca="false">IF(OR(B2238="",N(N2238)=0,N2238=1000),IF(B2238="","","Check"),INDEX(Rules!$B:$B,N2238))</f>
        <v/>
      </c>
      <c r="F2238" s="21" t="str">
        <f aca="false">IF(OR(B2238="",N(N2238)=0,N2238=1000),"",INDEX(Rules!$C:$C,N2238))</f>
        <v/>
      </c>
      <c r="G2238" s="24"/>
      <c r="H2238" s="24"/>
      <c r="I2238" s="20" t="str">
        <f aca="false">IF(B2238="","",IF(G2238&lt;&gt;"",G2238,E2238))</f>
        <v/>
      </c>
      <c r="J2238" s="21" t="str">
        <f aca="false">IF(B2238="","",IF(H2238&lt;&gt;"",H2238,F2238))</f>
        <v/>
      </c>
      <c r="K2238" s="26" t="str">
        <f aca="false">IF(A2238="","",DATE(YEAR(A2238),MONTH(A2238),1))</f>
        <v/>
      </c>
      <c r="L2238" s="21" t="str">
        <f aca="false">IF(J2238="",IF(B2238="","",IF(N(C2238)&gt;=0,"Income","Expense")),IFERROR(INDEX(Lists!$B$2:$B$30,MATCH(J2238,Lists!$A$2:$A$30,0)),""))</f>
        <v/>
      </c>
      <c r="M2238" s="24"/>
      <c r="N2238" s="27" t="str">
        <f aca="false">IF(B2238="","",IFERROR(1000-SUMPRODUCT(MAX(ISNUMBER(SEARCH(Rules!$A$5:$A$204,B2238))*(Rules!$A$5:$A$204&lt;&gt;"")*(1000-ROW(Rules!$A$5:$A$204)))),""))</f>
        <v/>
      </c>
    </row>
    <row r="2239" customFormat="false" ht="15" hidden="false" customHeight="false" outlineLevel="0" collapsed="false">
      <c r="A2239" s="23"/>
      <c r="B2239" s="24"/>
      <c r="C2239" s="25"/>
      <c r="D2239" s="24"/>
      <c r="E2239" s="21" t="str">
        <f aca="false">IF(OR(B2239="",N(N2239)=0,N2239=1000),IF(B2239="","","Check"),INDEX(Rules!$B:$B,N2239))</f>
        <v/>
      </c>
      <c r="F2239" s="21" t="str">
        <f aca="false">IF(OR(B2239="",N(N2239)=0,N2239=1000),"",INDEX(Rules!$C:$C,N2239))</f>
        <v/>
      </c>
      <c r="G2239" s="24"/>
      <c r="H2239" s="24"/>
      <c r="I2239" s="20" t="str">
        <f aca="false">IF(B2239="","",IF(G2239&lt;&gt;"",G2239,E2239))</f>
        <v/>
      </c>
      <c r="J2239" s="21" t="str">
        <f aca="false">IF(B2239="","",IF(H2239&lt;&gt;"",H2239,F2239))</f>
        <v/>
      </c>
      <c r="K2239" s="26" t="str">
        <f aca="false">IF(A2239="","",DATE(YEAR(A2239),MONTH(A2239),1))</f>
        <v/>
      </c>
      <c r="L2239" s="21" t="str">
        <f aca="false">IF(J2239="",IF(B2239="","",IF(N(C2239)&gt;=0,"Income","Expense")),IFERROR(INDEX(Lists!$B$2:$B$30,MATCH(J2239,Lists!$A$2:$A$30,0)),""))</f>
        <v/>
      </c>
      <c r="M2239" s="24"/>
      <c r="N2239" s="27" t="str">
        <f aca="false">IF(B2239="","",IFERROR(1000-SUMPRODUCT(MAX(ISNUMBER(SEARCH(Rules!$A$5:$A$204,B2239))*(Rules!$A$5:$A$204&lt;&gt;"")*(1000-ROW(Rules!$A$5:$A$204)))),""))</f>
        <v/>
      </c>
    </row>
    <row r="2240" customFormat="false" ht="15" hidden="false" customHeight="false" outlineLevel="0" collapsed="false">
      <c r="A2240" s="23"/>
      <c r="B2240" s="24"/>
      <c r="C2240" s="25"/>
      <c r="D2240" s="24"/>
      <c r="E2240" s="21" t="str">
        <f aca="false">IF(OR(B2240="",N(N2240)=0,N2240=1000),IF(B2240="","","Check"),INDEX(Rules!$B:$B,N2240))</f>
        <v/>
      </c>
      <c r="F2240" s="21" t="str">
        <f aca="false">IF(OR(B2240="",N(N2240)=0,N2240=1000),"",INDEX(Rules!$C:$C,N2240))</f>
        <v/>
      </c>
      <c r="G2240" s="24"/>
      <c r="H2240" s="24"/>
      <c r="I2240" s="20" t="str">
        <f aca="false">IF(B2240="","",IF(G2240&lt;&gt;"",G2240,E2240))</f>
        <v/>
      </c>
      <c r="J2240" s="21" t="str">
        <f aca="false">IF(B2240="","",IF(H2240&lt;&gt;"",H2240,F2240))</f>
        <v/>
      </c>
      <c r="K2240" s="26" t="str">
        <f aca="false">IF(A2240="","",DATE(YEAR(A2240),MONTH(A2240),1))</f>
        <v/>
      </c>
      <c r="L2240" s="21" t="str">
        <f aca="false">IF(J2240="",IF(B2240="","",IF(N(C2240)&gt;=0,"Income","Expense")),IFERROR(INDEX(Lists!$B$2:$B$30,MATCH(J2240,Lists!$A$2:$A$30,0)),""))</f>
        <v/>
      </c>
      <c r="M2240" s="24"/>
      <c r="N2240" s="27" t="str">
        <f aca="false">IF(B2240="","",IFERROR(1000-SUMPRODUCT(MAX(ISNUMBER(SEARCH(Rules!$A$5:$A$204,B2240))*(Rules!$A$5:$A$204&lt;&gt;"")*(1000-ROW(Rules!$A$5:$A$204)))),""))</f>
        <v/>
      </c>
    </row>
    <row r="2241" customFormat="false" ht="15" hidden="false" customHeight="false" outlineLevel="0" collapsed="false">
      <c r="A2241" s="23"/>
      <c r="B2241" s="24"/>
      <c r="C2241" s="25"/>
      <c r="D2241" s="24"/>
      <c r="E2241" s="21" t="str">
        <f aca="false">IF(OR(B2241="",N(N2241)=0,N2241=1000),IF(B2241="","","Check"),INDEX(Rules!$B:$B,N2241))</f>
        <v/>
      </c>
      <c r="F2241" s="21" t="str">
        <f aca="false">IF(OR(B2241="",N(N2241)=0,N2241=1000),"",INDEX(Rules!$C:$C,N2241))</f>
        <v/>
      </c>
      <c r="G2241" s="24"/>
      <c r="H2241" s="24"/>
      <c r="I2241" s="20" t="str">
        <f aca="false">IF(B2241="","",IF(G2241&lt;&gt;"",G2241,E2241))</f>
        <v/>
      </c>
      <c r="J2241" s="21" t="str">
        <f aca="false">IF(B2241="","",IF(H2241&lt;&gt;"",H2241,F2241))</f>
        <v/>
      </c>
      <c r="K2241" s="26" t="str">
        <f aca="false">IF(A2241="","",DATE(YEAR(A2241),MONTH(A2241),1))</f>
        <v/>
      </c>
      <c r="L2241" s="21" t="str">
        <f aca="false">IF(J2241="",IF(B2241="","",IF(N(C2241)&gt;=0,"Income","Expense")),IFERROR(INDEX(Lists!$B$2:$B$30,MATCH(J2241,Lists!$A$2:$A$30,0)),""))</f>
        <v/>
      </c>
      <c r="M2241" s="24"/>
      <c r="N2241" s="27" t="str">
        <f aca="false">IF(B2241="","",IFERROR(1000-SUMPRODUCT(MAX(ISNUMBER(SEARCH(Rules!$A$5:$A$204,B2241))*(Rules!$A$5:$A$204&lt;&gt;"")*(1000-ROW(Rules!$A$5:$A$204)))),""))</f>
        <v/>
      </c>
    </row>
    <row r="2242" customFormat="false" ht="15" hidden="false" customHeight="false" outlineLevel="0" collapsed="false">
      <c r="A2242" s="23"/>
      <c r="B2242" s="24"/>
      <c r="C2242" s="25"/>
      <c r="D2242" s="24"/>
      <c r="E2242" s="21" t="str">
        <f aca="false">IF(OR(B2242="",N(N2242)=0,N2242=1000),IF(B2242="","","Check"),INDEX(Rules!$B:$B,N2242))</f>
        <v/>
      </c>
      <c r="F2242" s="21" t="str">
        <f aca="false">IF(OR(B2242="",N(N2242)=0,N2242=1000),"",INDEX(Rules!$C:$C,N2242))</f>
        <v/>
      </c>
      <c r="G2242" s="24"/>
      <c r="H2242" s="24"/>
      <c r="I2242" s="20" t="str">
        <f aca="false">IF(B2242="","",IF(G2242&lt;&gt;"",G2242,E2242))</f>
        <v/>
      </c>
      <c r="J2242" s="21" t="str">
        <f aca="false">IF(B2242="","",IF(H2242&lt;&gt;"",H2242,F2242))</f>
        <v/>
      </c>
      <c r="K2242" s="26" t="str">
        <f aca="false">IF(A2242="","",DATE(YEAR(A2242),MONTH(A2242),1))</f>
        <v/>
      </c>
      <c r="L2242" s="21" t="str">
        <f aca="false">IF(J2242="",IF(B2242="","",IF(N(C2242)&gt;=0,"Income","Expense")),IFERROR(INDEX(Lists!$B$2:$B$30,MATCH(J2242,Lists!$A$2:$A$30,0)),""))</f>
        <v/>
      </c>
      <c r="M2242" s="24"/>
      <c r="N2242" s="27" t="str">
        <f aca="false">IF(B2242="","",IFERROR(1000-SUMPRODUCT(MAX(ISNUMBER(SEARCH(Rules!$A$5:$A$204,B2242))*(Rules!$A$5:$A$204&lt;&gt;"")*(1000-ROW(Rules!$A$5:$A$204)))),""))</f>
        <v/>
      </c>
    </row>
    <row r="2243" customFormat="false" ht="15" hidden="false" customHeight="false" outlineLevel="0" collapsed="false">
      <c r="A2243" s="23"/>
      <c r="B2243" s="24"/>
      <c r="C2243" s="25"/>
      <c r="D2243" s="24"/>
      <c r="E2243" s="21" t="str">
        <f aca="false">IF(OR(B2243="",N(N2243)=0,N2243=1000),IF(B2243="","","Check"),INDEX(Rules!$B:$B,N2243))</f>
        <v/>
      </c>
      <c r="F2243" s="21" t="str">
        <f aca="false">IF(OR(B2243="",N(N2243)=0,N2243=1000),"",INDEX(Rules!$C:$C,N2243))</f>
        <v/>
      </c>
      <c r="G2243" s="24"/>
      <c r="H2243" s="24"/>
      <c r="I2243" s="20" t="str">
        <f aca="false">IF(B2243="","",IF(G2243&lt;&gt;"",G2243,E2243))</f>
        <v/>
      </c>
      <c r="J2243" s="21" t="str">
        <f aca="false">IF(B2243="","",IF(H2243&lt;&gt;"",H2243,F2243))</f>
        <v/>
      </c>
      <c r="K2243" s="26" t="str">
        <f aca="false">IF(A2243="","",DATE(YEAR(A2243),MONTH(A2243),1))</f>
        <v/>
      </c>
      <c r="L2243" s="21" t="str">
        <f aca="false">IF(J2243="",IF(B2243="","",IF(N(C2243)&gt;=0,"Income","Expense")),IFERROR(INDEX(Lists!$B$2:$B$30,MATCH(J2243,Lists!$A$2:$A$30,0)),""))</f>
        <v/>
      </c>
      <c r="M2243" s="24"/>
      <c r="N2243" s="27" t="str">
        <f aca="false">IF(B2243="","",IFERROR(1000-SUMPRODUCT(MAX(ISNUMBER(SEARCH(Rules!$A$5:$A$204,B2243))*(Rules!$A$5:$A$204&lt;&gt;"")*(1000-ROW(Rules!$A$5:$A$204)))),""))</f>
        <v/>
      </c>
    </row>
    <row r="2244" customFormat="false" ht="15" hidden="false" customHeight="false" outlineLevel="0" collapsed="false">
      <c r="A2244" s="23"/>
      <c r="B2244" s="24"/>
      <c r="C2244" s="25"/>
      <c r="D2244" s="24"/>
      <c r="E2244" s="21" t="str">
        <f aca="false">IF(OR(B2244="",N(N2244)=0,N2244=1000),IF(B2244="","","Check"),INDEX(Rules!$B:$B,N2244))</f>
        <v/>
      </c>
      <c r="F2244" s="21" t="str">
        <f aca="false">IF(OR(B2244="",N(N2244)=0,N2244=1000),"",INDEX(Rules!$C:$C,N2244))</f>
        <v/>
      </c>
      <c r="G2244" s="24"/>
      <c r="H2244" s="24"/>
      <c r="I2244" s="20" t="str">
        <f aca="false">IF(B2244="","",IF(G2244&lt;&gt;"",G2244,E2244))</f>
        <v/>
      </c>
      <c r="J2244" s="21" t="str">
        <f aca="false">IF(B2244="","",IF(H2244&lt;&gt;"",H2244,F2244))</f>
        <v/>
      </c>
      <c r="K2244" s="26" t="str">
        <f aca="false">IF(A2244="","",DATE(YEAR(A2244),MONTH(A2244),1))</f>
        <v/>
      </c>
      <c r="L2244" s="21" t="str">
        <f aca="false">IF(J2244="",IF(B2244="","",IF(N(C2244)&gt;=0,"Income","Expense")),IFERROR(INDEX(Lists!$B$2:$B$30,MATCH(J2244,Lists!$A$2:$A$30,0)),""))</f>
        <v/>
      </c>
      <c r="M2244" s="24"/>
      <c r="N2244" s="27" t="str">
        <f aca="false">IF(B2244="","",IFERROR(1000-SUMPRODUCT(MAX(ISNUMBER(SEARCH(Rules!$A$5:$A$204,B2244))*(Rules!$A$5:$A$204&lt;&gt;"")*(1000-ROW(Rules!$A$5:$A$204)))),""))</f>
        <v/>
      </c>
    </row>
    <row r="2245" customFormat="false" ht="15" hidden="false" customHeight="false" outlineLevel="0" collapsed="false">
      <c r="A2245" s="23"/>
      <c r="B2245" s="24"/>
      <c r="C2245" s="25"/>
      <c r="D2245" s="24"/>
      <c r="E2245" s="21" t="str">
        <f aca="false">IF(OR(B2245="",N(N2245)=0,N2245=1000),IF(B2245="","","Check"),INDEX(Rules!$B:$B,N2245))</f>
        <v/>
      </c>
      <c r="F2245" s="21" t="str">
        <f aca="false">IF(OR(B2245="",N(N2245)=0,N2245=1000),"",INDEX(Rules!$C:$C,N2245))</f>
        <v/>
      </c>
      <c r="G2245" s="24"/>
      <c r="H2245" s="24"/>
      <c r="I2245" s="20" t="str">
        <f aca="false">IF(B2245="","",IF(G2245&lt;&gt;"",G2245,E2245))</f>
        <v/>
      </c>
      <c r="J2245" s="21" t="str">
        <f aca="false">IF(B2245="","",IF(H2245&lt;&gt;"",H2245,F2245))</f>
        <v/>
      </c>
      <c r="K2245" s="26" t="str">
        <f aca="false">IF(A2245="","",DATE(YEAR(A2245),MONTH(A2245),1))</f>
        <v/>
      </c>
      <c r="L2245" s="21" t="str">
        <f aca="false">IF(J2245="",IF(B2245="","",IF(N(C2245)&gt;=0,"Income","Expense")),IFERROR(INDEX(Lists!$B$2:$B$30,MATCH(J2245,Lists!$A$2:$A$30,0)),""))</f>
        <v/>
      </c>
      <c r="M2245" s="24"/>
      <c r="N2245" s="27" t="str">
        <f aca="false">IF(B2245="","",IFERROR(1000-SUMPRODUCT(MAX(ISNUMBER(SEARCH(Rules!$A$5:$A$204,B2245))*(Rules!$A$5:$A$204&lt;&gt;"")*(1000-ROW(Rules!$A$5:$A$204)))),""))</f>
        <v/>
      </c>
    </row>
    <row r="2246" customFormat="false" ht="15" hidden="false" customHeight="false" outlineLevel="0" collapsed="false">
      <c r="A2246" s="23"/>
      <c r="B2246" s="24"/>
      <c r="C2246" s="25"/>
      <c r="D2246" s="24"/>
      <c r="E2246" s="21" t="str">
        <f aca="false">IF(OR(B2246="",N(N2246)=0,N2246=1000),IF(B2246="","","Check"),INDEX(Rules!$B:$B,N2246))</f>
        <v/>
      </c>
      <c r="F2246" s="21" t="str">
        <f aca="false">IF(OR(B2246="",N(N2246)=0,N2246=1000),"",INDEX(Rules!$C:$C,N2246))</f>
        <v/>
      </c>
      <c r="G2246" s="24"/>
      <c r="H2246" s="24"/>
      <c r="I2246" s="20" t="str">
        <f aca="false">IF(B2246="","",IF(G2246&lt;&gt;"",G2246,E2246))</f>
        <v/>
      </c>
      <c r="J2246" s="21" t="str">
        <f aca="false">IF(B2246="","",IF(H2246&lt;&gt;"",H2246,F2246))</f>
        <v/>
      </c>
      <c r="K2246" s="26" t="str">
        <f aca="false">IF(A2246="","",DATE(YEAR(A2246),MONTH(A2246),1))</f>
        <v/>
      </c>
      <c r="L2246" s="21" t="str">
        <f aca="false">IF(J2246="",IF(B2246="","",IF(N(C2246)&gt;=0,"Income","Expense")),IFERROR(INDEX(Lists!$B$2:$B$30,MATCH(J2246,Lists!$A$2:$A$30,0)),""))</f>
        <v/>
      </c>
      <c r="M2246" s="24"/>
      <c r="N2246" s="27" t="str">
        <f aca="false">IF(B2246="","",IFERROR(1000-SUMPRODUCT(MAX(ISNUMBER(SEARCH(Rules!$A$5:$A$204,B2246))*(Rules!$A$5:$A$204&lt;&gt;"")*(1000-ROW(Rules!$A$5:$A$204)))),""))</f>
        <v/>
      </c>
    </row>
    <row r="2247" customFormat="false" ht="15" hidden="false" customHeight="false" outlineLevel="0" collapsed="false">
      <c r="A2247" s="23"/>
      <c r="B2247" s="24"/>
      <c r="C2247" s="25"/>
      <c r="D2247" s="24"/>
      <c r="E2247" s="21" t="str">
        <f aca="false">IF(OR(B2247="",N(N2247)=0,N2247=1000),IF(B2247="","","Check"),INDEX(Rules!$B:$B,N2247))</f>
        <v/>
      </c>
      <c r="F2247" s="21" t="str">
        <f aca="false">IF(OR(B2247="",N(N2247)=0,N2247=1000),"",INDEX(Rules!$C:$C,N2247))</f>
        <v/>
      </c>
      <c r="G2247" s="24"/>
      <c r="H2247" s="24"/>
      <c r="I2247" s="20" t="str">
        <f aca="false">IF(B2247="","",IF(G2247&lt;&gt;"",G2247,E2247))</f>
        <v/>
      </c>
      <c r="J2247" s="21" t="str">
        <f aca="false">IF(B2247="","",IF(H2247&lt;&gt;"",H2247,F2247))</f>
        <v/>
      </c>
      <c r="K2247" s="26" t="str">
        <f aca="false">IF(A2247="","",DATE(YEAR(A2247),MONTH(A2247),1))</f>
        <v/>
      </c>
      <c r="L2247" s="21" t="str">
        <f aca="false">IF(J2247="",IF(B2247="","",IF(N(C2247)&gt;=0,"Income","Expense")),IFERROR(INDEX(Lists!$B$2:$B$30,MATCH(J2247,Lists!$A$2:$A$30,0)),""))</f>
        <v/>
      </c>
      <c r="M2247" s="24"/>
      <c r="N2247" s="27" t="str">
        <f aca="false">IF(B2247="","",IFERROR(1000-SUMPRODUCT(MAX(ISNUMBER(SEARCH(Rules!$A$5:$A$204,B2247))*(Rules!$A$5:$A$204&lt;&gt;"")*(1000-ROW(Rules!$A$5:$A$204)))),""))</f>
        <v/>
      </c>
    </row>
    <row r="2248" customFormat="false" ht="15" hidden="false" customHeight="false" outlineLevel="0" collapsed="false">
      <c r="A2248" s="23"/>
      <c r="B2248" s="24"/>
      <c r="C2248" s="25"/>
      <c r="D2248" s="24"/>
      <c r="E2248" s="21" t="str">
        <f aca="false">IF(OR(B2248="",N(N2248)=0,N2248=1000),IF(B2248="","","Check"),INDEX(Rules!$B:$B,N2248))</f>
        <v/>
      </c>
      <c r="F2248" s="21" t="str">
        <f aca="false">IF(OR(B2248="",N(N2248)=0,N2248=1000),"",INDEX(Rules!$C:$C,N2248))</f>
        <v/>
      </c>
      <c r="G2248" s="24"/>
      <c r="H2248" s="24"/>
      <c r="I2248" s="20" t="str">
        <f aca="false">IF(B2248="","",IF(G2248&lt;&gt;"",G2248,E2248))</f>
        <v/>
      </c>
      <c r="J2248" s="21" t="str">
        <f aca="false">IF(B2248="","",IF(H2248&lt;&gt;"",H2248,F2248))</f>
        <v/>
      </c>
      <c r="K2248" s="26" t="str">
        <f aca="false">IF(A2248="","",DATE(YEAR(A2248),MONTH(A2248),1))</f>
        <v/>
      </c>
      <c r="L2248" s="21" t="str">
        <f aca="false">IF(J2248="",IF(B2248="","",IF(N(C2248)&gt;=0,"Income","Expense")),IFERROR(INDEX(Lists!$B$2:$B$30,MATCH(J2248,Lists!$A$2:$A$30,0)),""))</f>
        <v/>
      </c>
      <c r="M2248" s="24"/>
      <c r="N2248" s="27" t="str">
        <f aca="false">IF(B2248="","",IFERROR(1000-SUMPRODUCT(MAX(ISNUMBER(SEARCH(Rules!$A$5:$A$204,B2248))*(Rules!$A$5:$A$204&lt;&gt;"")*(1000-ROW(Rules!$A$5:$A$204)))),""))</f>
        <v/>
      </c>
    </row>
    <row r="2249" customFormat="false" ht="15" hidden="false" customHeight="false" outlineLevel="0" collapsed="false">
      <c r="A2249" s="23"/>
      <c r="B2249" s="24"/>
      <c r="C2249" s="25"/>
      <c r="D2249" s="24"/>
      <c r="E2249" s="21" t="str">
        <f aca="false">IF(OR(B2249="",N(N2249)=0,N2249=1000),IF(B2249="","","Check"),INDEX(Rules!$B:$B,N2249))</f>
        <v/>
      </c>
      <c r="F2249" s="21" t="str">
        <f aca="false">IF(OR(B2249="",N(N2249)=0,N2249=1000),"",INDEX(Rules!$C:$C,N2249))</f>
        <v/>
      </c>
      <c r="G2249" s="24"/>
      <c r="H2249" s="24"/>
      <c r="I2249" s="20" t="str">
        <f aca="false">IF(B2249="","",IF(G2249&lt;&gt;"",G2249,E2249))</f>
        <v/>
      </c>
      <c r="J2249" s="21" t="str">
        <f aca="false">IF(B2249="","",IF(H2249&lt;&gt;"",H2249,F2249))</f>
        <v/>
      </c>
      <c r="K2249" s="26" t="str">
        <f aca="false">IF(A2249="","",DATE(YEAR(A2249),MONTH(A2249),1))</f>
        <v/>
      </c>
      <c r="L2249" s="21" t="str">
        <f aca="false">IF(J2249="",IF(B2249="","",IF(N(C2249)&gt;=0,"Income","Expense")),IFERROR(INDEX(Lists!$B$2:$B$30,MATCH(J2249,Lists!$A$2:$A$30,0)),""))</f>
        <v/>
      </c>
      <c r="M2249" s="24"/>
      <c r="N2249" s="27" t="str">
        <f aca="false">IF(B2249="","",IFERROR(1000-SUMPRODUCT(MAX(ISNUMBER(SEARCH(Rules!$A$5:$A$204,B2249))*(Rules!$A$5:$A$204&lt;&gt;"")*(1000-ROW(Rules!$A$5:$A$204)))),""))</f>
        <v/>
      </c>
    </row>
    <row r="2250" customFormat="false" ht="15" hidden="false" customHeight="false" outlineLevel="0" collapsed="false">
      <c r="A2250" s="23"/>
      <c r="B2250" s="24"/>
      <c r="C2250" s="25"/>
      <c r="D2250" s="24"/>
      <c r="E2250" s="21" t="str">
        <f aca="false">IF(OR(B2250="",N(N2250)=0,N2250=1000),IF(B2250="","","Check"),INDEX(Rules!$B:$B,N2250))</f>
        <v/>
      </c>
      <c r="F2250" s="21" t="str">
        <f aca="false">IF(OR(B2250="",N(N2250)=0,N2250=1000),"",INDEX(Rules!$C:$C,N2250))</f>
        <v/>
      </c>
      <c r="G2250" s="24"/>
      <c r="H2250" s="24"/>
      <c r="I2250" s="20" t="str">
        <f aca="false">IF(B2250="","",IF(G2250&lt;&gt;"",G2250,E2250))</f>
        <v/>
      </c>
      <c r="J2250" s="21" t="str">
        <f aca="false">IF(B2250="","",IF(H2250&lt;&gt;"",H2250,F2250))</f>
        <v/>
      </c>
      <c r="K2250" s="26" t="str">
        <f aca="false">IF(A2250="","",DATE(YEAR(A2250),MONTH(A2250),1))</f>
        <v/>
      </c>
      <c r="L2250" s="21" t="str">
        <f aca="false">IF(J2250="",IF(B2250="","",IF(N(C2250)&gt;=0,"Income","Expense")),IFERROR(INDEX(Lists!$B$2:$B$30,MATCH(J2250,Lists!$A$2:$A$30,0)),""))</f>
        <v/>
      </c>
      <c r="M2250" s="24"/>
      <c r="N2250" s="27" t="str">
        <f aca="false">IF(B2250="","",IFERROR(1000-SUMPRODUCT(MAX(ISNUMBER(SEARCH(Rules!$A$5:$A$204,B2250))*(Rules!$A$5:$A$204&lt;&gt;"")*(1000-ROW(Rules!$A$5:$A$204)))),""))</f>
        <v/>
      </c>
    </row>
    <row r="2251" customFormat="false" ht="15" hidden="false" customHeight="false" outlineLevel="0" collapsed="false">
      <c r="A2251" s="23"/>
      <c r="B2251" s="24"/>
      <c r="C2251" s="25"/>
      <c r="D2251" s="24"/>
      <c r="E2251" s="21" t="str">
        <f aca="false">IF(OR(B2251="",N(N2251)=0,N2251=1000),IF(B2251="","","Check"),INDEX(Rules!$B:$B,N2251))</f>
        <v/>
      </c>
      <c r="F2251" s="21" t="str">
        <f aca="false">IF(OR(B2251="",N(N2251)=0,N2251=1000),"",INDEX(Rules!$C:$C,N2251))</f>
        <v/>
      </c>
      <c r="G2251" s="24"/>
      <c r="H2251" s="24"/>
      <c r="I2251" s="20" t="str">
        <f aca="false">IF(B2251="","",IF(G2251&lt;&gt;"",G2251,E2251))</f>
        <v/>
      </c>
      <c r="J2251" s="21" t="str">
        <f aca="false">IF(B2251="","",IF(H2251&lt;&gt;"",H2251,F2251))</f>
        <v/>
      </c>
      <c r="K2251" s="26" t="str">
        <f aca="false">IF(A2251="","",DATE(YEAR(A2251),MONTH(A2251),1))</f>
        <v/>
      </c>
      <c r="L2251" s="21" t="str">
        <f aca="false">IF(J2251="",IF(B2251="","",IF(N(C2251)&gt;=0,"Income","Expense")),IFERROR(INDEX(Lists!$B$2:$B$30,MATCH(J2251,Lists!$A$2:$A$30,0)),""))</f>
        <v/>
      </c>
      <c r="M2251" s="24"/>
      <c r="N2251" s="27" t="str">
        <f aca="false">IF(B2251="","",IFERROR(1000-SUMPRODUCT(MAX(ISNUMBER(SEARCH(Rules!$A$5:$A$204,B2251))*(Rules!$A$5:$A$204&lt;&gt;"")*(1000-ROW(Rules!$A$5:$A$204)))),""))</f>
        <v/>
      </c>
    </row>
    <row r="2252" customFormat="false" ht="15" hidden="false" customHeight="false" outlineLevel="0" collapsed="false">
      <c r="A2252" s="23"/>
      <c r="B2252" s="24"/>
      <c r="C2252" s="25"/>
      <c r="D2252" s="24"/>
      <c r="E2252" s="21" t="str">
        <f aca="false">IF(OR(B2252="",N(N2252)=0,N2252=1000),IF(B2252="","","Check"),INDEX(Rules!$B:$B,N2252))</f>
        <v/>
      </c>
      <c r="F2252" s="21" t="str">
        <f aca="false">IF(OR(B2252="",N(N2252)=0,N2252=1000),"",INDEX(Rules!$C:$C,N2252))</f>
        <v/>
      </c>
      <c r="G2252" s="24"/>
      <c r="H2252" s="24"/>
      <c r="I2252" s="20" t="str">
        <f aca="false">IF(B2252="","",IF(G2252&lt;&gt;"",G2252,E2252))</f>
        <v/>
      </c>
      <c r="J2252" s="21" t="str">
        <f aca="false">IF(B2252="","",IF(H2252&lt;&gt;"",H2252,F2252))</f>
        <v/>
      </c>
      <c r="K2252" s="26" t="str">
        <f aca="false">IF(A2252="","",DATE(YEAR(A2252),MONTH(A2252),1))</f>
        <v/>
      </c>
      <c r="L2252" s="21" t="str">
        <f aca="false">IF(J2252="",IF(B2252="","",IF(N(C2252)&gt;=0,"Income","Expense")),IFERROR(INDEX(Lists!$B$2:$B$30,MATCH(J2252,Lists!$A$2:$A$30,0)),""))</f>
        <v/>
      </c>
      <c r="M2252" s="24"/>
      <c r="N2252" s="27" t="str">
        <f aca="false">IF(B2252="","",IFERROR(1000-SUMPRODUCT(MAX(ISNUMBER(SEARCH(Rules!$A$5:$A$204,B2252))*(Rules!$A$5:$A$204&lt;&gt;"")*(1000-ROW(Rules!$A$5:$A$204)))),""))</f>
        <v/>
      </c>
    </row>
    <row r="2253" customFormat="false" ht="15" hidden="false" customHeight="false" outlineLevel="0" collapsed="false">
      <c r="A2253" s="23"/>
      <c r="B2253" s="24"/>
      <c r="C2253" s="25"/>
      <c r="D2253" s="24"/>
      <c r="E2253" s="21" t="str">
        <f aca="false">IF(OR(B2253="",N(N2253)=0,N2253=1000),IF(B2253="","","Check"),INDEX(Rules!$B:$B,N2253))</f>
        <v/>
      </c>
      <c r="F2253" s="21" t="str">
        <f aca="false">IF(OR(B2253="",N(N2253)=0,N2253=1000),"",INDEX(Rules!$C:$C,N2253))</f>
        <v/>
      </c>
      <c r="G2253" s="24"/>
      <c r="H2253" s="24"/>
      <c r="I2253" s="20" t="str">
        <f aca="false">IF(B2253="","",IF(G2253&lt;&gt;"",G2253,E2253))</f>
        <v/>
      </c>
      <c r="J2253" s="21" t="str">
        <f aca="false">IF(B2253="","",IF(H2253&lt;&gt;"",H2253,F2253))</f>
        <v/>
      </c>
      <c r="K2253" s="26" t="str">
        <f aca="false">IF(A2253="","",DATE(YEAR(A2253),MONTH(A2253),1))</f>
        <v/>
      </c>
      <c r="L2253" s="21" t="str">
        <f aca="false">IF(J2253="",IF(B2253="","",IF(N(C2253)&gt;=0,"Income","Expense")),IFERROR(INDEX(Lists!$B$2:$B$30,MATCH(J2253,Lists!$A$2:$A$30,0)),""))</f>
        <v/>
      </c>
      <c r="M2253" s="24"/>
      <c r="N2253" s="27" t="str">
        <f aca="false">IF(B2253="","",IFERROR(1000-SUMPRODUCT(MAX(ISNUMBER(SEARCH(Rules!$A$5:$A$204,B2253))*(Rules!$A$5:$A$204&lt;&gt;"")*(1000-ROW(Rules!$A$5:$A$204)))),""))</f>
        <v/>
      </c>
    </row>
    <row r="2254" customFormat="false" ht="15" hidden="false" customHeight="false" outlineLevel="0" collapsed="false">
      <c r="A2254" s="23"/>
      <c r="B2254" s="24"/>
      <c r="C2254" s="25"/>
      <c r="D2254" s="24"/>
      <c r="E2254" s="21" t="str">
        <f aca="false">IF(OR(B2254="",N(N2254)=0,N2254=1000),IF(B2254="","","Check"),INDEX(Rules!$B:$B,N2254))</f>
        <v/>
      </c>
      <c r="F2254" s="21" t="str">
        <f aca="false">IF(OR(B2254="",N(N2254)=0,N2254=1000),"",INDEX(Rules!$C:$C,N2254))</f>
        <v/>
      </c>
      <c r="G2254" s="24"/>
      <c r="H2254" s="24"/>
      <c r="I2254" s="20" t="str">
        <f aca="false">IF(B2254="","",IF(G2254&lt;&gt;"",G2254,E2254))</f>
        <v/>
      </c>
      <c r="J2254" s="21" t="str">
        <f aca="false">IF(B2254="","",IF(H2254&lt;&gt;"",H2254,F2254))</f>
        <v/>
      </c>
      <c r="K2254" s="26" t="str">
        <f aca="false">IF(A2254="","",DATE(YEAR(A2254),MONTH(A2254),1))</f>
        <v/>
      </c>
      <c r="L2254" s="21" t="str">
        <f aca="false">IF(J2254="",IF(B2254="","",IF(N(C2254)&gt;=0,"Income","Expense")),IFERROR(INDEX(Lists!$B$2:$B$30,MATCH(J2254,Lists!$A$2:$A$30,0)),""))</f>
        <v/>
      </c>
      <c r="M2254" s="24"/>
      <c r="N2254" s="27" t="str">
        <f aca="false">IF(B2254="","",IFERROR(1000-SUMPRODUCT(MAX(ISNUMBER(SEARCH(Rules!$A$5:$A$204,B2254))*(Rules!$A$5:$A$204&lt;&gt;"")*(1000-ROW(Rules!$A$5:$A$204)))),""))</f>
        <v/>
      </c>
    </row>
    <row r="2255" customFormat="false" ht="15" hidden="false" customHeight="false" outlineLevel="0" collapsed="false">
      <c r="A2255" s="23"/>
      <c r="B2255" s="24"/>
      <c r="C2255" s="25"/>
      <c r="D2255" s="24"/>
      <c r="E2255" s="21" t="str">
        <f aca="false">IF(OR(B2255="",N(N2255)=0,N2255=1000),IF(B2255="","","Check"),INDEX(Rules!$B:$B,N2255))</f>
        <v/>
      </c>
      <c r="F2255" s="21" t="str">
        <f aca="false">IF(OR(B2255="",N(N2255)=0,N2255=1000),"",INDEX(Rules!$C:$C,N2255))</f>
        <v/>
      </c>
      <c r="G2255" s="24"/>
      <c r="H2255" s="24"/>
      <c r="I2255" s="20" t="str">
        <f aca="false">IF(B2255="","",IF(G2255&lt;&gt;"",G2255,E2255))</f>
        <v/>
      </c>
      <c r="J2255" s="21" t="str">
        <f aca="false">IF(B2255="","",IF(H2255&lt;&gt;"",H2255,F2255))</f>
        <v/>
      </c>
      <c r="K2255" s="26" t="str">
        <f aca="false">IF(A2255="","",DATE(YEAR(A2255),MONTH(A2255),1))</f>
        <v/>
      </c>
      <c r="L2255" s="21" t="str">
        <f aca="false">IF(J2255="",IF(B2255="","",IF(N(C2255)&gt;=0,"Income","Expense")),IFERROR(INDEX(Lists!$B$2:$B$30,MATCH(J2255,Lists!$A$2:$A$30,0)),""))</f>
        <v/>
      </c>
      <c r="M2255" s="24"/>
      <c r="N2255" s="27" t="str">
        <f aca="false">IF(B2255="","",IFERROR(1000-SUMPRODUCT(MAX(ISNUMBER(SEARCH(Rules!$A$5:$A$204,B2255))*(Rules!$A$5:$A$204&lt;&gt;"")*(1000-ROW(Rules!$A$5:$A$204)))),""))</f>
        <v/>
      </c>
    </row>
    <row r="2256" customFormat="false" ht="15" hidden="false" customHeight="false" outlineLevel="0" collapsed="false">
      <c r="A2256" s="23"/>
      <c r="B2256" s="24"/>
      <c r="C2256" s="25"/>
      <c r="D2256" s="24"/>
      <c r="E2256" s="21" t="str">
        <f aca="false">IF(OR(B2256="",N(N2256)=0,N2256=1000),IF(B2256="","","Check"),INDEX(Rules!$B:$B,N2256))</f>
        <v/>
      </c>
      <c r="F2256" s="21" t="str">
        <f aca="false">IF(OR(B2256="",N(N2256)=0,N2256=1000),"",INDEX(Rules!$C:$C,N2256))</f>
        <v/>
      </c>
      <c r="G2256" s="24"/>
      <c r="H2256" s="24"/>
      <c r="I2256" s="20" t="str">
        <f aca="false">IF(B2256="","",IF(G2256&lt;&gt;"",G2256,E2256))</f>
        <v/>
      </c>
      <c r="J2256" s="21" t="str">
        <f aca="false">IF(B2256="","",IF(H2256&lt;&gt;"",H2256,F2256))</f>
        <v/>
      </c>
      <c r="K2256" s="26" t="str">
        <f aca="false">IF(A2256="","",DATE(YEAR(A2256),MONTH(A2256),1))</f>
        <v/>
      </c>
      <c r="L2256" s="21" t="str">
        <f aca="false">IF(J2256="",IF(B2256="","",IF(N(C2256)&gt;=0,"Income","Expense")),IFERROR(INDEX(Lists!$B$2:$B$30,MATCH(J2256,Lists!$A$2:$A$30,0)),""))</f>
        <v/>
      </c>
      <c r="M2256" s="24"/>
      <c r="N2256" s="27" t="str">
        <f aca="false">IF(B2256="","",IFERROR(1000-SUMPRODUCT(MAX(ISNUMBER(SEARCH(Rules!$A$5:$A$204,B2256))*(Rules!$A$5:$A$204&lt;&gt;"")*(1000-ROW(Rules!$A$5:$A$204)))),""))</f>
        <v/>
      </c>
    </row>
    <row r="2257" customFormat="false" ht="15" hidden="false" customHeight="false" outlineLevel="0" collapsed="false">
      <c r="A2257" s="23"/>
      <c r="B2257" s="24"/>
      <c r="C2257" s="25"/>
      <c r="D2257" s="24"/>
      <c r="E2257" s="21" t="str">
        <f aca="false">IF(OR(B2257="",N(N2257)=0,N2257=1000),IF(B2257="","","Check"),INDEX(Rules!$B:$B,N2257))</f>
        <v/>
      </c>
      <c r="F2257" s="21" t="str">
        <f aca="false">IF(OR(B2257="",N(N2257)=0,N2257=1000),"",INDEX(Rules!$C:$C,N2257))</f>
        <v/>
      </c>
      <c r="G2257" s="24"/>
      <c r="H2257" s="24"/>
      <c r="I2257" s="20" t="str">
        <f aca="false">IF(B2257="","",IF(G2257&lt;&gt;"",G2257,E2257))</f>
        <v/>
      </c>
      <c r="J2257" s="21" t="str">
        <f aca="false">IF(B2257="","",IF(H2257&lt;&gt;"",H2257,F2257))</f>
        <v/>
      </c>
      <c r="K2257" s="26" t="str">
        <f aca="false">IF(A2257="","",DATE(YEAR(A2257),MONTH(A2257),1))</f>
        <v/>
      </c>
      <c r="L2257" s="21" t="str">
        <f aca="false">IF(J2257="",IF(B2257="","",IF(N(C2257)&gt;=0,"Income","Expense")),IFERROR(INDEX(Lists!$B$2:$B$30,MATCH(J2257,Lists!$A$2:$A$30,0)),""))</f>
        <v/>
      </c>
      <c r="M2257" s="24"/>
      <c r="N2257" s="27" t="str">
        <f aca="false">IF(B2257="","",IFERROR(1000-SUMPRODUCT(MAX(ISNUMBER(SEARCH(Rules!$A$5:$A$204,B2257))*(Rules!$A$5:$A$204&lt;&gt;"")*(1000-ROW(Rules!$A$5:$A$204)))),""))</f>
        <v/>
      </c>
    </row>
    <row r="2258" customFormat="false" ht="15" hidden="false" customHeight="false" outlineLevel="0" collapsed="false">
      <c r="A2258" s="23"/>
      <c r="B2258" s="24"/>
      <c r="C2258" s="25"/>
      <c r="D2258" s="24"/>
      <c r="E2258" s="21" t="str">
        <f aca="false">IF(OR(B2258="",N(N2258)=0,N2258=1000),IF(B2258="","","Check"),INDEX(Rules!$B:$B,N2258))</f>
        <v/>
      </c>
      <c r="F2258" s="21" t="str">
        <f aca="false">IF(OR(B2258="",N(N2258)=0,N2258=1000),"",INDEX(Rules!$C:$C,N2258))</f>
        <v/>
      </c>
      <c r="G2258" s="24"/>
      <c r="H2258" s="24"/>
      <c r="I2258" s="20" t="str">
        <f aca="false">IF(B2258="","",IF(G2258&lt;&gt;"",G2258,E2258))</f>
        <v/>
      </c>
      <c r="J2258" s="21" t="str">
        <f aca="false">IF(B2258="","",IF(H2258&lt;&gt;"",H2258,F2258))</f>
        <v/>
      </c>
      <c r="K2258" s="26" t="str">
        <f aca="false">IF(A2258="","",DATE(YEAR(A2258),MONTH(A2258),1))</f>
        <v/>
      </c>
      <c r="L2258" s="21" t="str">
        <f aca="false">IF(J2258="",IF(B2258="","",IF(N(C2258)&gt;=0,"Income","Expense")),IFERROR(INDEX(Lists!$B$2:$B$30,MATCH(J2258,Lists!$A$2:$A$30,0)),""))</f>
        <v/>
      </c>
      <c r="M2258" s="24"/>
      <c r="N2258" s="27" t="str">
        <f aca="false">IF(B2258="","",IFERROR(1000-SUMPRODUCT(MAX(ISNUMBER(SEARCH(Rules!$A$5:$A$204,B2258))*(Rules!$A$5:$A$204&lt;&gt;"")*(1000-ROW(Rules!$A$5:$A$204)))),""))</f>
        <v/>
      </c>
    </row>
    <row r="2259" customFormat="false" ht="15" hidden="false" customHeight="false" outlineLevel="0" collapsed="false">
      <c r="A2259" s="23"/>
      <c r="B2259" s="24"/>
      <c r="C2259" s="25"/>
      <c r="D2259" s="24"/>
      <c r="E2259" s="21" t="str">
        <f aca="false">IF(OR(B2259="",N(N2259)=0,N2259=1000),IF(B2259="","","Check"),INDEX(Rules!$B:$B,N2259))</f>
        <v/>
      </c>
      <c r="F2259" s="21" t="str">
        <f aca="false">IF(OR(B2259="",N(N2259)=0,N2259=1000),"",INDEX(Rules!$C:$C,N2259))</f>
        <v/>
      </c>
      <c r="G2259" s="24"/>
      <c r="H2259" s="24"/>
      <c r="I2259" s="20" t="str">
        <f aca="false">IF(B2259="","",IF(G2259&lt;&gt;"",G2259,E2259))</f>
        <v/>
      </c>
      <c r="J2259" s="21" t="str">
        <f aca="false">IF(B2259="","",IF(H2259&lt;&gt;"",H2259,F2259))</f>
        <v/>
      </c>
      <c r="K2259" s="26" t="str">
        <f aca="false">IF(A2259="","",DATE(YEAR(A2259),MONTH(A2259),1))</f>
        <v/>
      </c>
      <c r="L2259" s="21" t="str">
        <f aca="false">IF(J2259="",IF(B2259="","",IF(N(C2259)&gt;=0,"Income","Expense")),IFERROR(INDEX(Lists!$B$2:$B$30,MATCH(J2259,Lists!$A$2:$A$30,0)),""))</f>
        <v/>
      </c>
      <c r="M2259" s="24"/>
      <c r="N2259" s="27" t="str">
        <f aca="false">IF(B2259="","",IFERROR(1000-SUMPRODUCT(MAX(ISNUMBER(SEARCH(Rules!$A$5:$A$204,B2259))*(Rules!$A$5:$A$204&lt;&gt;"")*(1000-ROW(Rules!$A$5:$A$204)))),""))</f>
        <v/>
      </c>
    </row>
    <row r="2260" customFormat="false" ht="15" hidden="false" customHeight="false" outlineLevel="0" collapsed="false">
      <c r="A2260" s="23"/>
      <c r="B2260" s="24"/>
      <c r="C2260" s="25"/>
      <c r="D2260" s="24"/>
      <c r="E2260" s="21" t="str">
        <f aca="false">IF(OR(B2260="",N(N2260)=0,N2260=1000),IF(B2260="","","Check"),INDEX(Rules!$B:$B,N2260))</f>
        <v/>
      </c>
      <c r="F2260" s="21" t="str">
        <f aca="false">IF(OR(B2260="",N(N2260)=0,N2260=1000),"",INDEX(Rules!$C:$C,N2260))</f>
        <v/>
      </c>
      <c r="G2260" s="24"/>
      <c r="H2260" s="24"/>
      <c r="I2260" s="20" t="str">
        <f aca="false">IF(B2260="","",IF(G2260&lt;&gt;"",G2260,E2260))</f>
        <v/>
      </c>
      <c r="J2260" s="21" t="str">
        <f aca="false">IF(B2260="","",IF(H2260&lt;&gt;"",H2260,F2260))</f>
        <v/>
      </c>
      <c r="K2260" s="26" t="str">
        <f aca="false">IF(A2260="","",DATE(YEAR(A2260),MONTH(A2260),1))</f>
        <v/>
      </c>
      <c r="L2260" s="21" t="str">
        <f aca="false">IF(J2260="",IF(B2260="","",IF(N(C2260)&gt;=0,"Income","Expense")),IFERROR(INDEX(Lists!$B$2:$B$30,MATCH(J2260,Lists!$A$2:$A$30,0)),""))</f>
        <v/>
      </c>
      <c r="M2260" s="24"/>
      <c r="N2260" s="27" t="str">
        <f aca="false">IF(B2260="","",IFERROR(1000-SUMPRODUCT(MAX(ISNUMBER(SEARCH(Rules!$A$5:$A$204,B2260))*(Rules!$A$5:$A$204&lt;&gt;"")*(1000-ROW(Rules!$A$5:$A$204)))),""))</f>
        <v/>
      </c>
    </row>
    <row r="2261" customFormat="false" ht="15" hidden="false" customHeight="false" outlineLevel="0" collapsed="false">
      <c r="A2261" s="23"/>
      <c r="B2261" s="24"/>
      <c r="C2261" s="25"/>
      <c r="D2261" s="24"/>
      <c r="E2261" s="21" t="str">
        <f aca="false">IF(OR(B2261="",N(N2261)=0,N2261=1000),IF(B2261="","","Check"),INDEX(Rules!$B:$B,N2261))</f>
        <v/>
      </c>
      <c r="F2261" s="21" t="str">
        <f aca="false">IF(OR(B2261="",N(N2261)=0,N2261=1000),"",INDEX(Rules!$C:$C,N2261))</f>
        <v/>
      </c>
      <c r="G2261" s="24"/>
      <c r="H2261" s="24"/>
      <c r="I2261" s="20" t="str">
        <f aca="false">IF(B2261="","",IF(G2261&lt;&gt;"",G2261,E2261))</f>
        <v/>
      </c>
      <c r="J2261" s="21" t="str">
        <f aca="false">IF(B2261="","",IF(H2261&lt;&gt;"",H2261,F2261))</f>
        <v/>
      </c>
      <c r="K2261" s="26" t="str">
        <f aca="false">IF(A2261="","",DATE(YEAR(A2261),MONTH(A2261),1))</f>
        <v/>
      </c>
      <c r="L2261" s="21" t="str">
        <f aca="false">IF(J2261="",IF(B2261="","",IF(N(C2261)&gt;=0,"Income","Expense")),IFERROR(INDEX(Lists!$B$2:$B$30,MATCH(J2261,Lists!$A$2:$A$30,0)),""))</f>
        <v/>
      </c>
      <c r="M2261" s="24"/>
      <c r="N2261" s="27" t="str">
        <f aca="false">IF(B2261="","",IFERROR(1000-SUMPRODUCT(MAX(ISNUMBER(SEARCH(Rules!$A$5:$A$204,B2261))*(Rules!$A$5:$A$204&lt;&gt;"")*(1000-ROW(Rules!$A$5:$A$204)))),""))</f>
        <v/>
      </c>
    </row>
    <row r="2262" customFormat="false" ht="15" hidden="false" customHeight="false" outlineLevel="0" collapsed="false">
      <c r="A2262" s="23"/>
      <c r="B2262" s="24"/>
      <c r="C2262" s="25"/>
      <c r="D2262" s="24"/>
      <c r="E2262" s="21" t="str">
        <f aca="false">IF(OR(B2262="",N(N2262)=0,N2262=1000),IF(B2262="","","Check"),INDEX(Rules!$B:$B,N2262))</f>
        <v/>
      </c>
      <c r="F2262" s="21" t="str">
        <f aca="false">IF(OR(B2262="",N(N2262)=0,N2262=1000),"",INDEX(Rules!$C:$C,N2262))</f>
        <v/>
      </c>
      <c r="G2262" s="24"/>
      <c r="H2262" s="24"/>
      <c r="I2262" s="20" t="str">
        <f aca="false">IF(B2262="","",IF(G2262&lt;&gt;"",G2262,E2262))</f>
        <v/>
      </c>
      <c r="J2262" s="21" t="str">
        <f aca="false">IF(B2262="","",IF(H2262&lt;&gt;"",H2262,F2262))</f>
        <v/>
      </c>
      <c r="K2262" s="26" t="str">
        <f aca="false">IF(A2262="","",DATE(YEAR(A2262),MONTH(A2262),1))</f>
        <v/>
      </c>
      <c r="L2262" s="21" t="str">
        <f aca="false">IF(J2262="",IF(B2262="","",IF(N(C2262)&gt;=0,"Income","Expense")),IFERROR(INDEX(Lists!$B$2:$B$30,MATCH(J2262,Lists!$A$2:$A$30,0)),""))</f>
        <v/>
      </c>
      <c r="M2262" s="24"/>
      <c r="N2262" s="27" t="str">
        <f aca="false">IF(B2262="","",IFERROR(1000-SUMPRODUCT(MAX(ISNUMBER(SEARCH(Rules!$A$5:$A$204,B2262))*(Rules!$A$5:$A$204&lt;&gt;"")*(1000-ROW(Rules!$A$5:$A$204)))),""))</f>
        <v/>
      </c>
    </row>
    <row r="2263" customFormat="false" ht="15" hidden="false" customHeight="false" outlineLevel="0" collapsed="false">
      <c r="A2263" s="23"/>
      <c r="B2263" s="24"/>
      <c r="C2263" s="25"/>
      <c r="D2263" s="24"/>
      <c r="E2263" s="21" t="str">
        <f aca="false">IF(OR(B2263="",N(N2263)=0,N2263=1000),IF(B2263="","","Check"),INDEX(Rules!$B:$B,N2263))</f>
        <v/>
      </c>
      <c r="F2263" s="21" t="str">
        <f aca="false">IF(OR(B2263="",N(N2263)=0,N2263=1000),"",INDEX(Rules!$C:$C,N2263))</f>
        <v/>
      </c>
      <c r="G2263" s="24"/>
      <c r="H2263" s="24"/>
      <c r="I2263" s="20" t="str">
        <f aca="false">IF(B2263="","",IF(G2263&lt;&gt;"",G2263,E2263))</f>
        <v/>
      </c>
      <c r="J2263" s="21" t="str">
        <f aca="false">IF(B2263="","",IF(H2263&lt;&gt;"",H2263,F2263))</f>
        <v/>
      </c>
      <c r="K2263" s="26" t="str">
        <f aca="false">IF(A2263="","",DATE(YEAR(A2263),MONTH(A2263),1))</f>
        <v/>
      </c>
      <c r="L2263" s="21" t="str">
        <f aca="false">IF(J2263="",IF(B2263="","",IF(N(C2263)&gt;=0,"Income","Expense")),IFERROR(INDEX(Lists!$B$2:$B$30,MATCH(J2263,Lists!$A$2:$A$30,0)),""))</f>
        <v/>
      </c>
      <c r="M2263" s="24"/>
      <c r="N2263" s="27" t="str">
        <f aca="false">IF(B2263="","",IFERROR(1000-SUMPRODUCT(MAX(ISNUMBER(SEARCH(Rules!$A$5:$A$204,B2263))*(Rules!$A$5:$A$204&lt;&gt;"")*(1000-ROW(Rules!$A$5:$A$204)))),""))</f>
        <v/>
      </c>
    </row>
    <row r="2264" customFormat="false" ht="15" hidden="false" customHeight="false" outlineLevel="0" collapsed="false">
      <c r="A2264" s="23"/>
      <c r="B2264" s="24"/>
      <c r="C2264" s="25"/>
      <c r="D2264" s="24"/>
      <c r="E2264" s="21" t="str">
        <f aca="false">IF(OR(B2264="",N(N2264)=0,N2264=1000),IF(B2264="","","Check"),INDEX(Rules!$B:$B,N2264))</f>
        <v/>
      </c>
      <c r="F2264" s="21" t="str">
        <f aca="false">IF(OR(B2264="",N(N2264)=0,N2264=1000),"",INDEX(Rules!$C:$C,N2264))</f>
        <v/>
      </c>
      <c r="G2264" s="24"/>
      <c r="H2264" s="24"/>
      <c r="I2264" s="20" t="str">
        <f aca="false">IF(B2264="","",IF(G2264&lt;&gt;"",G2264,E2264))</f>
        <v/>
      </c>
      <c r="J2264" s="21" t="str">
        <f aca="false">IF(B2264="","",IF(H2264&lt;&gt;"",H2264,F2264))</f>
        <v/>
      </c>
      <c r="K2264" s="26" t="str">
        <f aca="false">IF(A2264="","",DATE(YEAR(A2264),MONTH(A2264),1))</f>
        <v/>
      </c>
      <c r="L2264" s="21" t="str">
        <f aca="false">IF(J2264="",IF(B2264="","",IF(N(C2264)&gt;=0,"Income","Expense")),IFERROR(INDEX(Lists!$B$2:$B$30,MATCH(J2264,Lists!$A$2:$A$30,0)),""))</f>
        <v/>
      </c>
      <c r="M2264" s="24"/>
      <c r="N2264" s="27" t="str">
        <f aca="false">IF(B2264="","",IFERROR(1000-SUMPRODUCT(MAX(ISNUMBER(SEARCH(Rules!$A$5:$A$204,B2264))*(Rules!$A$5:$A$204&lt;&gt;"")*(1000-ROW(Rules!$A$5:$A$204)))),""))</f>
        <v/>
      </c>
    </row>
    <row r="2265" customFormat="false" ht="15" hidden="false" customHeight="false" outlineLevel="0" collapsed="false">
      <c r="A2265" s="23"/>
      <c r="B2265" s="24"/>
      <c r="C2265" s="25"/>
      <c r="D2265" s="24"/>
      <c r="E2265" s="21" t="str">
        <f aca="false">IF(OR(B2265="",N(N2265)=0,N2265=1000),IF(B2265="","","Check"),INDEX(Rules!$B:$B,N2265))</f>
        <v/>
      </c>
      <c r="F2265" s="21" t="str">
        <f aca="false">IF(OR(B2265="",N(N2265)=0,N2265=1000),"",INDEX(Rules!$C:$C,N2265))</f>
        <v/>
      </c>
      <c r="G2265" s="24"/>
      <c r="H2265" s="24"/>
      <c r="I2265" s="20" t="str">
        <f aca="false">IF(B2265="","",IF(G2265&lt;&gt;"",G2265,E2265))</f>
        <v/>
      </c>
      <c r="J2265" s="21" t="str">
        <f aca="false">IF(B2265="","",IF(H2265&lt;&gt;"",H2265,F2265))</f>
        <v/>
      </c>
      <c r="K2265" s="26" t="str">
        <f aca="false">IF(A2265="","",DATE(YEAR(A2265),MONTH(A2265),1))</f>
        <v/>
      </c>
      <c r="L2265" s="21" t="str">
        <f aca="false">IF(J2265="",IF(B2265="","",IF(N(C2265)&gt;=0,"Income","Expense")),IFERROR(INDEX(Lists!$B$2:$B$30,MATCH(J2265,Lists!$A$2:$A$30,0)),""))</f>
        <v/>
      </c>
      <c r="M2265" s="24"/>
      <c r="N2265" s="27" t="str">
        <f aca="false">IF(B2265="","",IFERROR(1000-SUMPRODUCT(MAX(ISNUMBER(SEARCH(Rules!$A$5:$A$204,B2265))*(Rules!$A$5:$A$204&lt;&gt;"")*(1000-ROW(Rules!$A$5:$A$204)))),""))</f>
        <v/>
      </c>
    </row>
    <row r="2266" customFormat="false" ht="15" hidden="false" customHeight="false" outlineLevel="0" collapsed="false">
      <c r="A2266" s="23"/>
      <c r="B2266" s="24"/>
      <c r="C2266" s="25"/>
      <c r="D2266" s="24"/>
      <c r="E2266" s="21" t="str">
        <f aca="false">IF(OR(B2266="",N(N2266)=0,N2266=1000),IF(B2266="","","Check"),INDEX(Rules!$B:$B,N2266))</f>
        <v/>
      </c>
      <c r="F2266" s="21" t="str">
        <f aca="false">IF(OR(B2266="",N(N2266)=0,N2266=1000),"",INDEX(Rules!$C:$C,N2266))</f>
        <v/>
      </c>
      <c r="G2266" s="24"/>
      <c r="H2266" s="24"/>
      <c r="I2266" s="20" t="str">
        <f aca="false">IF(B2266="","",IF(G2266&lt;&gt;"",G2266,E2266))</f>
        <v/>
      </c>
      <c r="J2266" s="21" t="str">
        <f aca="false">IF(B2266="","",IF(H2266&lt;&gt;"",H2266,F2266))</f>
        <v/>
      </c>
      <c r="K2266" s="26" t="str">
        <f aca="false">IF(A2266="","",DATE(YEAR(A2266),MONTH(A2266),1))</f>
        <v/>
      </c>
      <c r="L2266" s="21" t="str">
        <f aca="false">IF(J2266="",IF(B2266="","",IF(N(C2266)&gt;=0,"Income","Expense")),IFERROR(INDEX(Lists!$B$2:$B$30,MATCH(J2266,Lists!$A$2:$A$30,0)),""))</f>
        <v/>
      </c>
      <c r="M2266" s="24"/>
      <c r="N2266" s="27" t="str">
        <f aca="false">IF(B2266="","",IFERROR(1000-SUMPRODUCT(MAX(ISNUMBER(SEARCH(Rules!$A$5:$A$204,B2266))*(Rules!$A$5:$A$204&lt;&gt;"")*(1000-ROW(Rules!$A$5:$A$204)))),""))</f>
        <v/>
      </c>
    </row>
    <row r="2267" customFormat="false" ht="15" hidden="false" customHeight="false" outlineLevel="0" collapsed="false">
      <c r="A2267" s="23"/>
      <c r="B2267" s="24"/>
      <c r="C2267" s="25"/>
      <c r="D2267" s="24"/>
      <c r="E2267" s="21" t="str">
        <f aca="false">IF(OR(B2267="",N(N2267)=0,N2267=1000),IF(B2267="","","Check"),INDEX(Rules!$B:$B,N2267))</f>
        <v/>
      </c>
      <c r="F2267" s="21" t="str">
        <f aca="false">IF(OR(B2267="",N(N2267)=0,N2267=1000),"",INDEX(Rules!$C:$C,N2267))</f>
        <v/>
      </c>
      <c r="G2267" s="24"/>
      <c r="H2267" s="24"/>
      <c r="I2267" s="20" t="str">
        <f aca="false">IF(B2267="","",IF(G2267&lt;&gt;"",G2267,E2267))</f>
        <v/>
      </c>
      <c r="J2267" s="21" t="str">
        <f aca="false">IF(B2267="","",IF(H2267&lt;&gt;"",H2267,F2267))</f>
        <v/>
      </c>
      <c r="K2267" s="26" t="str">
        <f aca="false">IF(A2267="","",DATE(YEAR(A2267),MONTH(A2267),1))</f>
        <v/>
      </c>
      <c r="L2267" s="21" t="str">
        <f aca="false">IF(J2267="",IF(B2267="","",IF(N(C2267)&gt;=0,"Income","Expense")),IFERROR(INDEX(Lists!$B$2:$B$30,MATCH(J2267,Lists!$A$2:$A$30,0)),""))</f>
        <v/>
      </c>
      <c r="M2267" s="24"/>
      <c r="N2267" s="27" t="str">
        <f aca="false">IF(B2267="","",IFERROR(1000-SUMPRODUCT(MAX(ISNUMBER(SEARCH(Rules!$A$5:$A$204,B2267))*(Rules!$A$5:$A$204&lt;&gt;"")*(1000-ROW(Rules!$A$5:$A$204)))),""))</f>
        <v/>
      </c>
    </row>
    <row r="2268" customFormat="false" ht="15" hidden="false" customHeight="false" outlineLevel="0" collapsed="false">
      <c r="A2268" s="23"/>
      <c r="B2268" s="24"/>
      <c r="C2268" s="25"/>
      <c r="D2268" s="24"/>
      <c r="E2268" s="21" t="str">
        <f aca="false">IF(OR(B2268="",N(N2268)=0,N2268=1000),IF(B2268="","","Check"),INDEX(Rules!$B:$B,N2268))</f>
        <v/>
      </c>
      <c r="F2268" s="21" t="str">
        <f aca="false">IF(OR(B2268="",N(N2268)=0,N2268=1000),"",INDEX(Rules!$C:$C,N2268))</f>
        <v/>
      </c>
      <c r="G2268" s="24"/>
      <c r="H2268" s="24"/>
      <c r="I2268" s="20" t="str">
        <f aca="false">IF(B2268="","",IF(G2268&lt;&gt;"",G2268,E2268))</f>
        <v/>
      </c>
      <c r="J2268" s="21" t="str">
        <f aca="false">IF(B2268="","",IF(H2268&lt;&gt;"",H2268,F2268))</f>
        <v/>
      </c>
      <c r="K2268" s="26" t="str">
        <f aca="false">IF(A2268="","",DATE(YEAR(A2268),MONTH(A2268),1))</f>
        <v/>
      </c>
      <c r="L2268" s="21" t="str">
        <f aca="false">IF(J2268="",IF(B2268="","",IF(N(C2268)&gt;=0,"Income","Expense")),IFERROR(INDEX(Lists!$B$2:$B$30,MATCH(J2268,Lists!$A$2:$A$30,0)),""))</f>
        <v/>
      </c>
      <c r="M2268" s="24"/>
      <c r="N2268" s="27" t="str">
        <f aca="false">IF(B2268="","",IFERROR(1000-SUMPRODUCT(MAX(ISNUMBER(SEARCH(Rules!$A$5:$A$204,B2268))*(Rules!$A$5:$A$204&lt;&gt;"")*(1000-ROW(Rules!$A$5:$A$204)))),""))</f>
        <v/>
      </c>
    </row>
    <row r="2269" customFormat="false" ht="15" hidden="false" customHeight="false" outlineLevel="0" collapsed="false">
      <c r="A2269" s="23"/>
      <c r="B2269" s="24"/>
      <c r="C2269" s="25"/>
      <c r="D2269" s="24"/>
      <c r="E2269" s="21" t="str">
        <f aca="false">IF(OR(B2269="",N(N2269)=0,N2269=1000),IF(B2269="","","Check"),INDEX(Rules!$B:$B,N2269))</f>
        <v/>
      </c>
      <c r="F2269" s="21" t="str">
        <f aca="false">IF(OR(B2269="",N(N2269)=0,N2269=1000),"",INDEX(Rules!$C:$C,N2269))</f>
        <v/>
      </c>
      <c r="G2269" s="24"/>
      <c r="H2269" s="24"/>
      <c r="I2269" s="20" t="str">
        <f aca="false">IF(B2269="","",IF(G2269&lt;&gt;"",G2269,E2269))</f>
        <v/>
      </c>
      <c r="J2269" s="21" t="str">
        <f aca="false">IF(B2269="","",IF(H2269&lt;&gt;"",H2269,F2269))</f>
        <v/>
      </c>
      <c r="K2269" s="26" t="str">
        <f aca="false">IF(A2269="","",DATE(YEAR(A2269),MONTH(A2269),1))</f>
        <v/>
      </c>
      <c r="L2269" s="21" t="str">
        <f aca="false">IF(J2269="",IF(B2269="","",IF(N(C2269)&gt;=0,"Income","Expense")),IFERROR(INDEX(Lists!$B$2:$B$30,MATCH(J2269,Lists!$A$2:$A$30,0)),""))</f>
        <v/>
      </c>
      <c r="M2269" s="24"/>
      <c r="N2269" s="27" t="str">
        <f aca="false">IF(B2269="","",IFERROR(1000-SUMPRODUCT(MAX(ISNUMBER(SEARCH(Rules!$A$5:$A$204,B2269))*(Rules!$A$5:$A$204&lt;&gt;"")*(1000-ROW(Rules!$A$5:$A$204)))),""))</f>
        <v/>
      </c>
    </row>
    <row r="2270" customFormat="false" ht="15" hidden="false" customHeight="false" outlineLevel="0" collapsed="false">
      <c r="A2270" s="23"/>
      <c r="B2270" s="24"/>
      <c r="C2270" s="25"/>
      <c r="D2270" s="24"/>
      <c r="E2270" s="21" t="str">
        <f aca="false">IF(OR(B2270="",N(N2270)=0,N2270=1000),IF(B2270="","","Check"),INDEX(Rules!$B:$B,N2270))</f>
        <v/>
      </c>
      <c r="F2270" s="21" t="str">
        <f aca="false">IF(OR(B2270="",N(N2270)=0,N2270=1000),"",INDEX(Rules!$C:$C,N2270))</f>
        <v/>
      </c>
      <c r="G2270" s="24"/>
      <c r="H2270" s="24"/>
      <c r="I2270" s="20" t="str">
        <f aca="false">IF(B2270="","",IF(G2270&lt;&gt;"",G2270,E2270))</f>
        <v/>
      </c>
      <c r="J2270" s="21" t="str">
        <f aca="false">IF(B2270="","",IF(H2270&lt;&gt;"",H2270,F2270))</f>
        <v/>
      </c>
      <c r="K2270" s="26" t="str">
        <f aca="false">IF(A2270="","",DATE(YEAR(A2270),MONTH(A2270),1))</f>
        <v/>
      </c>
      <c r="L2270" s="21" t="str">
        <f aca="false">IF(J2270="",IF(B2270="","",IF(N(C2270)&gt;=0,"Income","Expense")),IFERROR(INDEX(Lists!$B$2:$B$30,MATCH(J2270,Lists!$A$2:$A$30,0)),""))</f>
        <v/>
      </c>
      <c r="M2270" s="24"/>
      <c r="N2270" s="27" t="str">
        <f aca="false">IF(B2270="","",IFERROR(1000-SUMPRODUCT(MAX(ISNUMBER(SEARCH(Rules!$A$5:$A$204,B2270))*(Rules!$A$5:$A$204&lt;&gt;"")*(1000-ROW(Rules!$A$5:$A$204)))),""))</f>
        <v/>
      </c>
    </row>
    <row r="2271" customFormat="false" ht="15" hidden="false" customHeight="false" outlineLevel="0" collapsed="false">
      <c r="A2271" s="23"/>
      <c r="B2271" s="24"/>
      <c r="C2271" s="25"/>
      <c r="D2271" s="24"/>
      <c r="E2271" s="21" t="str">
        <f aca="false">IF(OR(B2271="",N(N2271)=0,N2271=1000),IF(B2271="","","Check"),INDEX(Rules!$B:$B,N2271))</f>
        <v/>
      </c>
      <c r="F2271" s="21" t="str">
        <f aca="false">IF(OR(B2271="",N(N2271)=0,N2271=1000),"",INDEX(Rules!$C:$C,N2271))</f>
        <v/>
      </c>
      <c r="G2271" s="24"/>
      <c r="H2271" s="24"/>
      <c r="I2271" s="20" t="str">
        <f aca="false">IF(B2271="","",IF(G2271&lt;&gt;"",G2271,E2271))</f>
        <v/>
      </c>
      <c r="J2271" s="21" t="str">
        <f aca="false">IF(B2271="","",IF(H2271&lt;&gt;"",H2271,F2271))</f>
        <v/>
      </c>
      <c r="K2271" s="26" t="str">
        <f aca="false">IF(A2271="","",DATE(YEAR(A2271),MONTH(A2271),1))</f>
        <v/>
      </c>
      <c r="L2271" s="21" t="str">
        <f aca="false">IF(J2271="",IF(B2271="","",IF(N(C2271)&gt;=0,"Income","Expense")),IFERROR(INDEX(Lists!$B$2:$B$30,MATCH(J2271,Lists!$A$2:$A$30,0)),""))</f>
        <v/>
      </c>
      <c r="M2271" s="24"/>
      <c r="N2271" s="27" t="str">
        <f aca="false">IF(B2271="","",IFERROR(1000-SUMPRODUCT(MAX(ISNUMBER(SEARCH(Rules!$A$5:$A$204,B2271))*(Rules!$A$5:$A$204&lt;&gt;"")*(1000-ROW(Rules!$A$5:$A$204)))),""))</f>
        <v/>
      </c>
    </row>
    <row r="2272" customFormat="false" ht="15" hidden="false" customHeight="false" outlineLevel="0" collapsed="false">
      <c r="A2272" s="23"/>
      <c r="B2272" s="24"/>
      <c r="C2272" s="25"/>
      <c r="D2272" s="24"/>
      <c r="E2272" s="21" t="str">
        <f aca="false">IF(OR(B2272="",N(N2272)=0,N2272=1000),IF(B2272="","","Check"),INDEX(Rules!$B:$B,N2272))</f>
        <v/>
      </c>
      <c r="F2272" s="21" t="str">
        <f aca="false">IF(OR(B2272="",N(N2272)=0,N2272=1000),"",INDEX(Rules!$C:$C,N2272))</f>
        <v/>
      </c>
      <c r="G2272" s="24"/>
      <c r="H2272" s="24"/>
      <c r="I2272" s="20" t="str">
        <f aca="false">IF(B2272="","",IF(G2272&lt;&gt;"",G2272,E2272))</f>
        <v/>
      </c>
      <c r="J2272" s="21" t="str">
        <f aca="false">IF(B2272="","",IF(H2272&lt;&gt;"",H2272,F2272))</f>
        <v/>
      </c>
      <c r="K2272" s="26" t="str">
        <f aca="false">IF(A2272="","",DATE(YEAR(A2272),MONTH(A2272),1))</f>
        <v/>
      </c>
      <c r="L2272" s="21" t="str">
        <f aca="false">IF(J2272="",IF(B2272="","",IF(N(C2272)&gt;=0,"Income","Expense")),IFERROR(INDEX(Lists!$B$2:$B$30,MATCH(J2272,Lists!$A$2:$A$30,0)),""))</f>
        <v/>
      </c>
      <c r="M2272" s="24"/>
      <c r="N2272" s="27" t="str">
        <f aca="false">IF(B2272="","",IFERROR(1000-SUMPRODUCT(MAX(ISNUMBER(SEARCH(Rules!$A$5:$A$204,B2272))*(Rules!$A$5:$A$204&lt;&gt;"")*(1000-ROW(Rules!$A$5:$A$204)))),""))</f>
        <v/>
      </c>
    </row>
    <row r="2273" customFormat="false" ht="15" hidden="false" customHeight="false" outlineLevel="0" collapsed="false">
      <c r="A2273" s="23"/>
      <c r="B2273" s="24"/>
      <c r="C2273" s="25"/>
      <c r="D2273" s="24"/>
      <c r="E2273" s="21" t="str">
        <f aca="false">IF(OR(B2273="",N(N2273)=0,N2273=1000),IF(B2273="","","Check"),INDEX(Rules!$B:$B,N2273))</f>
        <v/>
      </c>
      <c r="F2273" s="21" t="str">
        <f aca="false">IF(OR(B2273="",N(N2273)=0,N2273=1000),"",INDEX(Rules!$C:$C,N2273))</f>
        <v/>
      </c>
      <c r="G2273" s="24"/>
      <c r="H2273" s="24"/>
      <c r="I2273" s="20" t="str">
        <f aca="false">IF(B2273="","",IF(G2273&lt;&gt;"",G2273,E2273))</f>
        <v/>
      </c>
      <c r="J2273" s="21" t="str">
        <f aca="false">IF(B2273="","",IF(H2273&lt;&gt;"",H2273,F2273))</f>
        <v/>
      </c>
      <c r="K2273" s="26" t="str">
        <f aca="false">IF(A2273="","",DATE(YEAR(A2273),MONTH(A2273),1))</f>
        <v/>
      </c>
      <c r="L2273" s="21" t="str">
        <f aca="false">IF(J2273="",IF(B2273="","",IF(N(C2273)&gt;=0,"Income","Expense")),IFERROR(INDEX(Lists!$B$2:$B$30,MATCH(J2273,Lists!$A$2:$A$30,0)),""))</f>
        <v/>
      </c>
      <c r="M2273" s="24"/>
      <c r="N2273" s="27" t="str">
        <f aca="false">IF(B2273="","",IFERROR(1000-SUMPRODUCT(MAX(ISNUMBER(SEARCH(Rules!$A$5:$A$204,B2273))*(Rules!$A$5:$A$204&lt;&gt;"")*(1000-ROW(Rules!$A$5:$A$204)))),""))</f>
        <v/>
      </c>
    </row>
    <row r="2274" customFormat="false" ht="15" hidden="false" customHeight="false" outlineLevel="0" collapsed="false">
      <c r="A2274" s="23"/>
      <c r="B2274" s="24"/>
      <c r="C2274" s="25"/>
      <c r="D2274" s="24"/>
      <c r="E2274" s="21" t="str">
        <f aca="false">IF(OR(B2274="",N(N2274)=0,N2274=1000),IF(B2274="","","Check"),INDEX(Rules!$B:$B,N2274))</f>
        <v/>
      </c>
      <c r="F2274" s="21" t="str">
        <f aca="false">IF(OR(B2274="",N(N2274)=0,N2274=1000),"",INDEX(Rules!$C:$C,N2274))</f>
        <v/>
      </c>
      <c r="G2274" s="24"/>
      <c r="H2274" s="24"/>
      <c r="I2274" s="20" t="str">
        <f aca="false">IF(B2274="","",IF(G2274&lt;&gt;"",G2274,E2274))</f>
        <v/>
      </c>
      <c r="J2274" s="21" t="str">
        <f aca="false">IF(B2274="","",IF(H2274&lt;&gt;"",H2274,F2274))</f>
        <v/>
      </c>
      <c r="K2274" s="26" t="str">
        <f aca="false">IF(A2274="","",DATE(YEAR(A2274),MONTH(A2274),1))</f>
        <v/>
      </c>
      <c r="L2274" s="21" t="str">
        <f aca="false">IF(J2274="",IF(B2274="","",IF(N(C2274)&gt;=0,"Income","Expense")),IFERROR(INDEX(Lists!$B$2:$B$30,MATCH(J2274,Lists!$A$2:$A$30,0)),""))</f>
        <v/>
      </c>
      <c r="M2274" s="24"/>
      <c r="N2274" s="27" t="str">
        <f aca="false">IF(B2274="","",IFERROR(1000-SUMPRODUCT(MAX(ISNUMBER(SEARCH(Rules!$A$5:$A$204,B2274))*(Rules!$A$5:$A$204&lt;&gt;"")*(1000-ROW(Rules!$A$5:$A$204)))),""))</f>
        <v/>
      </c>
    </row>
    <row r="2275" customFormat="false" ht="15" hidden="false" customHeight="false" outlineLevel="0" collapsed="false">
      <c r="A2275" s="23"/>
      <c r="B2275" s="24"/>
      <c r="C2275" s="25"/>
      <c r="D2275" s="24"/>
      <c r="E2275" s="21" t="str">
        <f aca="false">IF(OR(B2275="",N(N2275)=0,N2275=1000),IF(B2275="","","Check"),INDEX(Rules!$B:$B,N2275))</f>
        <v/>
      </c>
      <c r="F2275" s="21" t="str">
        <f aca="false">IF(OR(B2275="",N(N2275)=0,N2275=1000),"",INDEX(Rules!$C:$C,N2275))</f>
        <v/>
      </c>
      <c r="G2275" s="24"/>
      <c r="H2275" s="24"/>
      <c r="I2275" s="20" t="str">
        <f aca="false">IF(B2275="","",IF(G2275&lt;&gt;"",G2275,E2275))</f>
        <v/>
      </c>
      <c r="J2275" s="21" t="str">
        <f aca="false">IF(B2275="","",IF(H2275&lt;&gt;"",H2275,F2275))</f>
        <v/>
      </c>
      <c r="K2275" s="26" t="str">
        <f aca="false">IF(A2275="","",DATE(YEAR(A2275),MONTH(A2275),1))</f>
        <v/>
      </c>
      <c r="L2275" s="21" t="str">
        <f aca="false">IF(J2275="",IF(B2275="","",IF(N(C2275)&gt;=0,"Income","Expense")),IFERROR(INDEX(Lists!$B$2:$B$30,MATCH(J2275,Lists!$A$2:$A$30,0)),""))</f>
        <v/>
      </c>
      <c r="M2275" s="24"/>
      <c r="N2275" s="27" t="str">
        <f aca="false">IF(B2275="","",IFERROR(1000-SUMPRODUCT(MAX(ISNUMBER(SEARCH(Rules!$A$5:$A$204,B2275))*(Rules!$A$5:$A$204&lt;&gt;"")*(1000-ROW(Rules!$A$5:$A$204)))),""))</f>
        <v/>
      </c>
    </row>
    <row r="2276" customFormat="false" ht="15" hidden="false" customHeight="false" outlineLevel="0" collapsed="false">
      <c r="A2276" s="23"/>
      <c r="B2276" s="24"/>
      <c r="C2276" s="25"/>
      <c r="D2276" s="24"/>
      <c r="E2276" s="21" t="str">
        <f aca="false">IF(OR(B2276="",N(N2276)=0,N2276=1000),IF(B2276="","","Check"),INDEX(Rules!$B:$B,N2276))</f>
        <v/>
      </c>
      <c r="F2276" s="21" t="str">
        <f aca="false">IF(OR(B2276="",N(N2276)=0,N2276=1000),"",INDEX(Rules!$C:$C,N2276))</f>
        <v/>
      </c>
      <c r="G2276" s="24"/>
      <c r="H2276" s="24"/>
      <c r="I2276" s="20" t="str">
        <f aca="false">IF(B2276="","",IF(G2276&lt;&gt;"",G2276,E2276))</f>
        <v/>
      </c>
      <c r="J2276" s="21" t="str">
        <f aca="false">IF(B2276="","",IF(H2276&lt;&gt;"",H2276,F2276))</f>
        <v/>
      </c>
      <c r="K2276" s="26" t="str">
        <f aca="false">IF(A2276="","",DATE(YEAR(A2276),MONTH(A2276),1))</f>
        <v/>
      </c>
      <c r="L2276" s="21" t="str">
        <f aca="false">IF(J2276="",IF(B2276="","",IF(N(C2276)&gt;=0,"Income","Expense")),IFERROR(INDEX(Lists!$B$2:$B$30,MATCH(J2276,Lists!$A$2:$A$30,0)),""))</f>
        <v/>
      </c>
      <c r="M2276" s="24"/>
      <c r="N2276" s="27" t="str">
        <f aca="false">IF(B2276="","",IFERROR(1000-SUMPRODUCT(MAX(ISNUMBER(SEARCH(Rules!$A$5:$A$204,B2276))*(Rules!$A$5:$A$204&lt;&gt;"")*(1000-ROW(Rules!$A$5:$A$204)))),""))</f>
        <v/>
      </c>
    </row>
    <row r="2277" customFormat="false" ht="15" hidden="false" customHeight="false" outlineLevel="0" collapsed="false">
      <c r="A2277" s="23"/>
      <c r="B2277" s="24"/>
      <c r="C2277" s="25"/>
      <c r="D2277" s="24"/>
      <c r="E2277" s="21" t="str">
        <f aca="false">IF(OR(B2277="",N(N2277)=0,N2277=1000),IF(B2277="","","Check"),INDEX(Rules!$B:$B,N2277))</f>
        <v/>
      </c>
      <c r="F2277" s="21" t="str">
        <f aca="false">IF(OR(B2277="",N(N2277)=0,N2277=1000),"",INDEX(Rules!$C:$C,N2277))</f>
        <v/>
      </c>
      <c r="G2277" s="24"/>
      <c r="H2277" s="24"/>
      <c r="I2277" s="20" t="str">
        <f aca="false">IF(B2277="","",IF(G2277&lt;&gt;"",G2277,E2277))</f>
        <v/>
      </c>
      <c r="J2277" s="21" t="str">
        <f aca="false">IF(B2277="","",IF(H2277&lt;&gt;"",H2277,F2277))</f>
        <v/>
      </c>
      <c r="K2277" s="26" t="str">
        <f aca="false">IF(A2277="","",DATE(YEAR(A2277),MONTH(A2277),1))</f>
        <v/>
      </c>
      <c r="L2277" s="21" t="str">
        <f aca="false">IF(J2277="",IF(B2277="","",IF(N(C2277)&gt;=0,"Income","Expense")),IFERROR(INDEX(Lists!$B$2:$B$30,MATCH(J2277,Lists!$A$2:$A$30,0)),""))</f>
        <v/>
      </c>
      <c r="M2277" s="24"/>
      <c r="N2277" s="27" t="str">
        <f aca="false">IF(B2277="","",IFERROR(1000-SUMPRODUCT(MAX(ISNUMBER(SEARCH(Rules!$A$5:$A$204,B2277))*(Rules!$A$5:$A$204&lt;&gt;"")*(1000-ROW(Rules!$A$5:$A$204)))),""))</f>
        <v/>
      </c>
    </row>
    <row r="2278" customFormat="false" ht="15" hidden="false" customHeight="false" outlineLevel="0" collapsed="false">
      <c r="A2278" s="23"/>
      <c r="B2278" s="24"/>
      <c r="C2278" s="25"/>
      <c r="D2278" s="24"/>
      <c r="E2278" s="21" t="str">
        <f aca="false">IF(OR(B2278="",N(N2278)=0,N2278=1000),IF(B2278="","","Check"),INDEX(Rules!$B:$B,N2278))</f>
        <v/>
      </c>
      <c r="F2278" s="21" t="str">
        <f aca="false">IF(OR(B2278="",N(N2278)=0,N2278=1000),"",INDEX(Rules!$C:$C,N2278))</f>
        <v/>
      </c>
      <c r="G2278" s="24"/>
      <c r="H2278" s="24"/>
      <c r="I2278" s="20" t="str">
        <f aca="false">IF(B2278="","",IF(G2278&lt;&gt;"",G2278,E2278))</f>
        <v/>
      </c>
      <c r="J2278" s="21" t="str">
        <f aca="false">IF(B2278="","",IF(H2278&lt;&gt;"",H2278,F2278))</f>
        <v/>
      </c>
      <c r="K2278" s="26" t="str">
        <f aca="false">IF(A2278="","",DATE(YEAR(A2278),MONTH(A2278),1))</f>
        <v/>
      </c>
      <c r="L2278" s="21" t="str">
        <f aca="false">IF(J2278="",IF(B2278="","",IF(N(C2278)&gt;=0,"Income","Expense")),IFERROR(INDEX(Lists!$B$2:$B$30,MATCH(J2278,Lists!$A$2:$A$30,0)),""))</f>
        <v/>
      </c>
      <c r="M2278" s="24"/>
      <c r="N2278" s="27" t="str">
        <f aca="false">IF(B2278="","",IFERROR(1000-SUMPRODUCT(MAX(ISNUMBER(SEARCH(Rules!$A$5:$A$204,B2278))*(Rules!$A$5:$A$204&lt;&gt;"")*(1000-ROW(Rules!$A$5:$A$204)))),""))</f>
        <v/>
      </c>
    </row>
    <row r="2279" customFormat="false" ht="15" hidden="false" customHeight="false" outlineLevel="0" collapsed="false">
      <c r="A2279" s="23"/>
      <c r="B2279" s="24"/>
      <c r="C2279" s="25"/>
      <c r="D2279" s="24"/>
      <c r="E2279" s="21" t="str">
        <f aca="false">IF(OR(B2279="",N(N2279)=0,N2279=1000),IF(B2279="","","Check"),INDEX(Rules!$B:$B,N2279))</f>
        <v/>
      </c>
      <c r="F2279" s="21" t="str">
        <f aca="false">IF(OR(B2279="",N(N2279)=0,N2279=1000),"",INDEX(Rules!$C:$C,N2279))</f>
        <v/>
      </c>
      <c r="G2279" s="24"/>
      <c r="H2279" s="24"/>
      <c r="I2279" s="20" t="str">
        <f aca="false">IF(B2279="","",IF(G2279&lt;&gt;"",G2279,E2279))</f>
        <v/>
      </c>
      <c r="J2279" s="21" t="str">
        <f aca="false">IF(B2279="","",IF(H2279&lt;&gt;"",H2279,F2279))</f>
        <v/>
      </c>
      <c r="K2279" s="26" t="str">
        <f aca="false">IF(A2279="","",DATE(YEAR(A2279),MONTH(A2279),1))</f>
        <v/>
      </c>
      <c r="L2279" s="21" t="str">
        <f aca="false">IF(J2279="",IF(B2279="","",IF(N(C2279)&gt;=0,"Income","Expense")),IFERROR(INDEX(Lists!$B$2:$B$30,MATCH(J2279,Lists!$A$2:$A$30,0)),""))</f>
        <v/>
      </c>
      <c r="M2279" s="24"/>
      <c r="N2279" s="27" t="str">
        <f aca="false">IF(B2279="","",IFERROR(1000-SUMPRODUCT(MAX(ISNUMBER(SEARCH(Rules!$A$5:$A$204,B2279))*(Rules!$A$5:$A$204&lt;&gt;"")*(1000-ROW(Rules!$A$5:$A$204)))),""))</f>
        <v/>
      </c>
    </row>
    <row r="2280" customFormat="false" ht="15" hidden="false" customHeight="false" outlineLevel="0" collapsed="false">
      <c r="A2280" s="23"/>
      <c r="B2280" s="24"/>
      <c r="C2280" s="25"/>
      <c r="D2280" s="24"/>
      <c r="E2280" s="21" t="str">
        <f aca="false">IF(OR(B2280="",N(N2280)=0,N2280=1000),IF(B2280="","","Check"),INDEX(Rules!$B:$B,N2280))</f>
        <v/>
      </c>
      <c r="F2280" s="21" t="str">
        <f aca="false">IF(OR(B2280="",N(N2280)=0,N2280=1000),"",INDEX(Rules!$C:$C,N2280))</f>
        <v/>
      </c>
      <c r="G2280" s="24"/>
      <c r="H2280" s="24"/>
      <c r="I2280" s="20" t="str">
        <f aca="false">IF(B2280="","",IF(G2280&lt;&gt;"",G2280,E2280))</f>
        <v/>
      </c>
      <c r="J2280" s="21" t="str">
        <f aca="false">IF(B2280="","",IF(H2280&lt;&gt;"",H2280,F2280))</f>
        <v/>
      </c>
      <c r="K2280" s="26" t="str">
        <f aca="false">IF(A2280="","",DATE(YEAR(A2280),MONTH(A2280),1))</f>
        <v/>
      </c>
      <c r="L2280" s="21" t="str">
        <f aca="false">IF(J2280="",IF(B2280="","",IF(N(C2280)&gt;=0,"Income","Expense")),IFERROR(INDEX(Lists!$B$2:$B$30,MATCH(J2280,Lists!$A$2:$A$30,0)),""))</f>
        <v/>
      </c>
      <c r="M2280" s="24"/>
      <c r="N2280" s="27" t="str">
        <f aca="false">IF(B2280="","",IFERROR(1000-SUMPRODUCT(MAX(ISNUMBER(SEARCH(Rules!$A$5:$A$204,B2280))*(Rules!$A$5:$A$204&lt;&gt;"")*(1000-ROW(Rules!$A$5:$A$204)))),""))</f>
        <v/>
      </c>
    </row>
    <row r="2281" customFormat="false" ht="15" hidden="false" customHeight="false" outlineLevel="0" collapsed="false">
      <c r="A2281" s="23"/>
      <c r="B2281" s="24"/>
      <c r="C2281" s="25"/>
      <c r="D2281" s="24"/>
      <c r="E2281" s="21" t="str">
        <f aca="false">IF(OR(B2281="",N(N2281)=0,N2281=1000),IF(B2281="","","Check"),INDEX(Rules!$B:$B,N2281))</f>
        <v/>
      </c>
      <c r="F2281" s="21" t="str">
        <f aca="false">IF(OR(B2281="",N(N2281)=0,N2281=1000),"",INDEX(Rules!$C:$C,N2281))</f>
        <v/>
      </c>
      <c r="G2281" s="24"/>
      <c r="H2281" s="24"/>
      <c r="I2281" s="20" t="str">
        <f aca="false">IF(B2281="","",IF(G2281&lt;&gt;"",G2281,E2281))</f>
        <v/>
      </c>
      <c r="J2281" s="21" t="str">
        <f aca="false">IF(B2281="","",IF(H2281&lt;&gt;"",H2281,F2281))</f>
        <v/>
      </c>
      <c r="K2281" s="26" t="str">
        <f aca="false">IF(A2281="","",DATE(YEAR(A2281),MONTH(A2281),1))</f>
        <v/>
      </c>
      <c r="L2281" s="21" t="str">
        <f aca="false">IF(J2281="",IF(B2281="","",IF(N(C2281)&gt;=0,"Income","Expense")),IFERROR(INDEX(Lists!$B$2:$B$30,MATCH(J2281,Lists!$A$2:$A$30,0)),""))</f>
        <v/>
      </c>
      <c r="M2281" s="24"/>
      <c r="N2281" s="27" t="str">
        <f aca="false">IF(B2281="","",IFERROR(1000-SUMPRODUCT(MAX(ISNUMBER(SEARCH(Rules!$A$5:$A$204,B2281))*(Rules!$A$5:$A$204&lt;&gt;"")*(1000-ROW(Rules!$A$5:$A$204)))),""))</f>
        <v/>
      </c>
    </row>
    <row r="2282" customFormat="false" ht="15" hidden="false" customHeight="false" outlineLevel="0" collapsed="false">
      <c r="A2282" s="23"/>
      <c r="B2282" s="24"/>
      <c r="C2282" s="25"/>
      <c r="D2282" s="24"/>
      <c r="E2282" s="21" t="str">
        <f aca="false">IF(OR(B2282="",N(N2282)=0,N2282=1000),IF(B2282="","","Check"),INDEX(Rules!$B:$B,N2282))</f>
        <v/>
      </c>
      <c r="F2282" s="21" t="str">
        <f aca="false">IF(OR(B2282="",N(N2282)=0,N2282=1000),"",INDEX(Rules!$C:$C,N2282))</f>
        <v/>
      </c>
      <c r="G2282" s="24"/>
      <c r="H2282" s="24"/>
      <c r="I2282" s="20" t="str">
        <f aca="false">IF(B2282="","",IF(G2282&lt;&gt;"",G2282,E2282))</f>
        <v/>
      </c>
      <c r="J2282" s="21" t="str">
        <f aca="false">IF(B2282="","",IF(H2282&lt;&gt;"",H2282,F2282))</f>
        <v/>
      </c>
      <c r="K2282" s="26" t="str">
        <f aca="false">IF(A2282="","",DATE(YEAR(A2282),MONTH(A2282),1))</f>
        <v/>
      </c>
      <c r="L2282" s="21" t="str">
        <f aca="false">IF(J2282="",IF(B2282="","",IF(N(C2282)&gt;=0,"Income","Expense")),IFERROR(INDEX(Lists!$B$2:$B$30,MATCH(J2282,Lists!$A$2:$A$30,0)),""))</f>
        <v/>
      </c>
      <c r="M2282" s="24"/>
      <c r="N2282" s="27" t="str">
        <f aca="false">IF(B2282="","",IFERROR(1000-SUMPRODUCT(MAX(ISNUMBER(SEARCH(Rules!$A$5:$A$204,B2282))*(Rules!$A$5:$A$204&lt;&gt;"")*(1000-ROW(Rules!$A$5:$A$204)))),""))</f>
        <v/>
      </c>
    </row>
    <row r="2283" customFormat="false" ht="15" hidden="false" customHeight="false" outlineLevel="0" collapsed="false">
      <c r="A2283" s="23"/>
      <c r="B2283" s="24"/>
      <c r="C2283" s="25"/>
      <c r="D2283" s="24"/>
      <c r="E2283" s="21" t="str">
        <f aca="false">IF(OR(B2283="",N(N2283)=0,N2283=1000),IF(B2283="","","Check"),INDEX(Rules!$B:$B,N2283))</f>
        <v/>
      </c>
      <c r="F2283" s="21" t="str">
        <f aca="false">IF(OR(B2283="",N(N2283)=0,N2283=1000),"",INDEX(Rules!$C:$C,N2283))</f>
        <v/>
      </c>
      <c r="G2283" s="24"/>
      <c r="H2283" s="24"/>
      <c r="I2283" s="20" t="str">
        <f aca="false">IF(B2283="","",IF(G2283&lt;&gt;"",G2283,E2283))</f>
        <v/>
      </c>
      <c r="J2283" s="21" t="str">
        <f aca="false">IF(B2283="","",IF(H2283&lt;&gt;"",H2283,F2283))</f>
        <v/>
      </c>
      <c r="K2283" s="26" t="str">
        <f aca="false">IF(A2283="","",DATE(YEAR(A2283),MONTH(A2283),1))</f>
        <v/>
      </c>
      <c r="L2283" s="21" t="str">
        <f aca="false">IF(J2283="",IF(B2283="","",IF(N(C2283)&gt;=0,"Income","Expense")),IFERROR(INDEX(Lists!$B$2:$B$30,MATCH(J2283,Lists!$A$2:$A$30,0)),""))</f>
        <v/>
      </c>
      <c r="M2283" s="24"/>
      <c r="N2283" s="27" t="str">
        <f aca="false">IF(B2283="","",IFERROR(1000-SUMPRODUCT(MAX(ISNUMBER(SEARCH(Rules!$A$5:$A$204,B2283))*(Rules!$A$5:$A$204&lt;&gt;"")*(1000-ROW(Rules!$A$5:$A$204)))),""))</f>
        <v/>
      </c>
    </row>
    <row r="2284" customFormat="false" ht="15" hidden="false" customHeight="false" outlineLevel="0" collapsed="false">
      <c r="A2284" s="23"/>
      <c r="B2284" s="24"/>
      <c r="C2284" s="25"/>
      <c r="D2284" s="24"/>
      <c r="E2284" s="21" t="str">
        <f aca="false">IF(OR(B2284="",N(N2284)=0,N2284=1000),IF(B2284="","","Check"),INDEX(Rules!$B:$B,N2284))</f>
        <v/>
      </c>
      <c r="F2284" s="21" t="str">
        <f aca="false">IF(OR(B2284="",N(N2284)=0,N2284=1000),"",INDEX(Rules!$C:$C,N2284))</f>
        <v/>
      </c>
      <c r="G2284" s="24"/>
      <c r="H2284" s="24"/>
      <c r="I2284" s="20" t="str">
        <f aca="false">IF(B2284="","",IF(G2284&lt;&gt;"",G2284,E2284))</f>
        <v/>
      </c>
      <c r="J2284" s="21" t="str">
        <f aca="false">IF(B2284="","",IF(H2284&lt;&gt;"",H2284,F2284))</f>
        <v/>
      </c>
      <c r="K2284" s="26" t="str">
        <f aca="false">IF(A2284="","",DATE(YEAR(A2284),MONTH(A2284),1))</f>
        <v/>
      </c>
      <c r="L2284" s="21" t="str">
        <f aca="false">IF(J2284="",IF(B2284="","",IF(N(C2284)&gt;=0,"Income","Expense")),IFERROR(INDEX(Lists!$B$2:$B$30,MATCH(J2284,Lists!$A$2:$A$30,0)),""))</f>
        <v/>
      </c>
      <c r="M2284" s="24"/>
      <c r="N2284" s="27" t="str">
        <f aca="false">IF(B2284="","",IFERROR(1000-SUMPRODUCT(MAX(ISNUMBER(SEARCH(Rules!$A$5:$A$204,B2284))*(Rules!$A$5:$A$204&lt;&gt;"")*(1000-ROW(Rules!$A$5:$A$204)))),""))</f>
        <v/>
      </c>
    </row>
    <row r="2285" customFormat="false" ht="15" hidden="false" customHeight="false" outlineLevel="0" collapsed="false">
      <c r="A2285" s="23"/>
      <c r="B2285" s="24"/>
      <c r="C2285" s="25"/>
      <c r="D2285" s="24"/>
      <c r="E2285" s="21" t="str">
        <f aca="false">IF(OR(B2285="",N(N2285)=0,N2285=1000),IF(B2285="","","Check"),INDEX(Rules!$B:$B,N2285))</f>
        <v/>
      </c>
      <c r="F2285" s="21" t="str">
        <f aca="false">IF(OR(B2285="",N(N2285)=0,N2285=1000),"",INDEX(Rules!$C:$C,N2285))</f>
        <v/>
      </c>
      <c r="G2285" s="24"/>
      <c r="H2285" s="24"/>
      <c r="I2285" s="20" t="str">
        <f aca="false">IF(B2285="","",IF(G2285&lt;&gt;"",G2285,E2285))</f>
        <v/>
      </c>
      <c r="J2285" s="21" t="str">
        <f aca="false">IF(B2285="","",IF(H2285&lt;&gt;"",H2285,F2285))</f>
        <v/>
      </c>
      <c r="K2285" s="26" t="str">
        <f aca="false">IF(A2285="","",DATE(YEAR(A2285),MONTH(A2285),1))</f>
        <v/>
      </c>
      <c r="L2285" s="21" t="str">
        <f aca="false">IF(J2285="",IF(B2285="","",IF(N(C2285)&gt;=0,"Income","Expense")),IFERROR(INDEX(Lists!$B$2:$B$30,MATCH(J2285,Lists!$A$2:$A$30,0)),""))</f>
        <v/>
      </c>
      <c r="M2285" s="24"/>
      <c r="N2285" s="27" t="str">
        <f aca="false">IF(B2285="","",IFERROR(1000-SUMPRODUCT(MAX(ISNUMBER(SEARCH(Rules!$A$5:$A$204,B2285))*(Rules!$A$5:$A$204&lt;&gt;"")*(1000-ROW(Rules!$A$5:$A$204)))),""))</f>
        <v/>
      </c>
    </row>
    <row r="2286" customFormat="false" ht="15" hidden="false" customHeight="false" outlineLevel="0" collapsed="false">
      <c r="A2286" s="23"/>
      <c r="B2286" s="24"/>
      <c r="C2286" s="25"/>
      <c r="D2286" s="24"/>
      <c r="E2286" s="21" t="str">
        <f aca="false">IF(OR(B2286="",N(N2286)=0,N2286=1000),IF(B2286="","","Check"),INDEX(Rules!$B:$B,N2286))</f>
        <v/>
      </c>
      <c r="F2286" s="21" t="str">
        <f aca="false">IF(OR(B2286="",N(N2286)=0,N2286=1000),"",INDEX(Rules!$C:$C,N2286))</f>
        <v/>
      </c>
      <c r="G2286" s="24"/>
      <c r="H2286" s="24"/>
      <c r="I2286" s="20" t="str">
        <f aca="false">IF(B2286="","",IF(G2286&lt;&gt;"",G2286,E2286))</f>
        <v/>
      </c>
      <c r="J2286" s="21" t="str">
        <f aca="false">IF(B2286="","",IF(H2286&lt;&gt;"",H2286,F2286))</f>
        <v/>
      </c>
      <c r="K2286" s="26" t="str">
        <f aca="false">IF(A2286="","",DATE(YEAR(A2286),MONTH(A2286),1))</f>
        <v/>
      </c>
      <c r="L2286" s="21" t="str">
        <f aca="false">IF(J2286="",IF(B2286="","",IF(N(C2286)&gt;=0,"Income","Expense")),IFERROR(INDEX(Lists!$B$2:$B$30,MATCH(J2286,Lists!$A$2:$A$30,0)),""))</f>
        <v/>
      </c>
      <c r="M2286" s="24"/>
      <c r="N2286" s="27" t="str">
        <f aca="false">IF(B2286="","",IFERROR(1000-SUMPRODUCT(MAX(ISNUMBER(SEARCH(Rules!$A$5:$A$204,B2286))*(Rules!$A$5:$A$204&lt;&gt;"")*(1000-ROW(Rules!$A$5:$A$204)))),""))</f>
        <v/>
      </c>
    </row>
    <row r="2287" customFormat="false" ht="15" hidden="false" customHeight="false" outlineLevel="0" collapsed="false">
      <c r="A2287" s="23"/>
      <c r="B2287" s="24"/>
      <c r="C2287" s="25"/>
      <c r="D2287" s="24"/>
      <c r="E2287" s="21" t="str">
        <f aca="false">IF(OR(B2287="",N(N2287)=0,N2287=1000),IF(B2287="","","Check"),INDEX(Rules!$B:$B,N2287))</f>
        <v/>
      </c>
      <c r="F2287" s="21" t="str">
        <f aca="false">IF(OR(B2287="",N(N2287)=0,N2287=1000),"",INDEX(Rules!$C:$C,N2287))</f>
        <v/>
      </c>
      <c r="G2287" s="24"/>
      <c r="H2287" s="24"/>
      <c r="I2287" s="20" t="str">
        <f aca="false">IF(B2287="","",IF(G2287&lt;&gt;"",G2287,E2287))</f>
        <v/>
      </c>
      <c r="J2287" s="21" t="str">
        <f aca="false">IF(B2287="","",IF(H2287&lt;&gt;"",H2287,F2287))</f>
        <v/>
      </c>
      <c r="K2287" s="26" t="str">
        <f aca="false">IF(A2287="","",DATE(YEAR(A2287),MONTH(A2287),1))</f>
        <v/>
      </c>
      <c r="L2287" s="21" t="str">
        <f aca="false">IF(J2287="",IF(B2287="","",IF(N(C2287)&gt;=0,"Income","Expense")),IFERROR(INDEX(Lists!$B$2:$B$30,MATCH(J2287,Lists!$A$2:$A$30,0)),""))</f>
        <v/>
      </c>
      <c r="M2287" s="24"/>
      <c r="N2287" s="27" t="str">
        <f aca="false">IF(B2287="","",IFERROR(1000-SUMPRODUCT(MAX(ISNUMBER(SEARCH(Rules!$A$5:$A$204,B2287))*(Rules!$A$5:$A$204&lt;&gt;"")*(1000-ROW(Rules!$A$5:$A$204)))),""))</f>
        <v/>
      </c>
    </row>
    <row r="2288" customFormat="false" ht="15" hidden="false" customHeight="false" outlineLevel="0" collapsed="false">
      <c r="A2288" s="23"/>
      <c r="B2288" s="24"/>
      <c r="C2288" s="25"/>
      <c r="D2288" s="24"/>
      <c r="E2288" s="21" t="str">
        <f aca="false">IF(OR(B2288="",N(N2288)=0,N2288=1000),IF(B2288="","","Check"),INDEX(Rules!$B:$B,N2288))</f>
        <v/>
      </c>
      <c r="F2288" s="21" t="str">
        <f aca="false">IF(OR(B2288="",N(N2288)=0,N2288=1000),"",INDEX(Rules!$C:$C,N2288))</f>
        <v/>
      </c>
      <c r="G2288" s="24"/>
      <c r="H2288" s="24"/>
      <c r="I2288" s="20" t="str">
        <f aca="false">IF(B2288="","",IF(G2288&lt;&gt;"",G2288,E2288))</f>
        <v/>
      </c>
      <c r="J2288" s="21" t="str">
        <f aca="false">IF(B2288="","",IF(H2288&lt;&gt;"",H2288,F2288))</f>
        <v/>
      </c>
      <c r="K2288" s="26" t="str">
        <f aca="false">IF(A2288="","",DATE(YEAR(A2288),MONTH(A2288),1))</f>
        <v/>
      </c>
      <c r="L2288" s="21" t="str">
        <f aca="false">IF(J2288="",IF(B2288="","",IF(N(C2288)&gt;=0,"Income","Expense")),IFERROR(INDEX(Lists!$B$2:$B$30,MATCH(J2288,Lists!$A$2:$A$30,0)),""))</f>
        <v/>
      </c>
      <c r="M2288" s="24"/>
      <c r="N2288" s="27" t="str">
        <f aca="false">IF(B2288="","",IFERROR(1000-SUMPRODUCT(MAX(ISNUMBER(SEARCH(Rules!$A$5:$A$204,B2288))*(Rules!$A$5:$A$204&lt;&gt;"")*(1000-ROW(Rules!$A$5:$A$204)))),""))</f>
        <v/>
      </c>
    </row>
    <row r="2289" customFormat="false" ht="15" hidden="false" customHeight="false" outlineLevel="0" collapsed="false">
      <c r="A2289" s="23"/>
      <c r="B2289" s="24"/>
      <c r="C2289" s="25"/>
      <c r="D2289" s="24"/>
      <c r="E2289" s="21" t="str">
        <f aca="false">IF(OR(B2289="",N(N2289)=0,N2289=1000),IF(B2289="","","Check"),INDEX(Rules!$B:$B,N2289))</f>
        <v/>
      </c>
      <c r="F2289" s="21" t="str">
        <f aca="false">IF(OR(B2289="",N(N2289)=0,N2289=1000),"",INDEX(Rules!$C:$C,N2289))</f>
        <v/>
      </c>
      <c r="G2289" s="24"/>
      <c r="H2289" s="24"/>
      <c r="I2289" s="20" t="str">
        <f aca="false">IF(B2289="","",IF(G2289&lt;&gt;"",G2289,E2289))</f>
        <v/>
      </c>
      <c r="J2289" s="21" t="str">
        <f aca="false">IF(B2289="","",IF(H2289&lt;&gt;"",H2289,F2289))</f>
        <v/>
      </c>
      <c r="K2289" s="26" t="str">
        <f aca="false">IF(A2289="","",DATE(YEAR(A2289),MONTH(A2289),1))</f>
        <v/>
      </c>
      <c r="L2289" s="21" t="str">
        <f aca="false">IF(J2289="",IF(B2289="","",IF(N(C2289)&gt;=0,"Income","Expense")),IFERROR(INDEX(Lists!$B$2:$B$30,MATCH(J2289,Lists!$A$2:$A$30,0)),""))</f>
        <v/>
      </c>
      <c r="M2289" s="24"/>
      <c r="N2289" s="27" t="str">
        <f aca="false">IF(B2289="","",IFERROR(1000-SUMPRODUCT(MAX(ISNUMBER(SEARCH(Rules!$A$5:$A$204,B2289))*(Rules!$A$5:$A$204&lt;&gt;"")*(1000-ROW(Rules!$A$5:$A$204)))),""))</f>
        <v/>
      </c>
    </row>
    <row r="2290" customFormat="false" ht="15" hidden="false" customHeight="false" outlineLevel="0" collapsed="false">
      <c r="A2290" s="23"/>
      <c r="B2290" s="24"/>
      <c r="C2290" s="25"/>
      <c r="D2290" s="24"/>
      <c r="E2290" s="21" t="str">
        <f aca="false">IF(OR(B2290="",N(N2290)=0,N2290=1000),IF(B2290="","","Check"),INDEX(Rules!$B:$B,N2290))</f>
        <v/>
      </c>
      <c r="F2290" s="21" t="str">
        <f aca="false">IF(OR(B2290="",N(N2290)=0,N2290=1000),"",INDEX(Rules!$C:$C,N2290))</f>
        <v/>
      </c>
      <c r="G2290" s="24"/>
      <c r="H2290" s="24"/>
      <c r="I2290" s="20" t="str">
        <f aca="false">IF(B2290="","",IF(G2290&lt;&gt;"",G2290,E2290))</f>
        <v/>
      </c>
      <c r="J2290" s="21" t="str">
        <f aca="false">IF(B2290="","",IF(H2290&lt;&gt;"",H2290,F2290))</f>
        <v/>
      </c>
      <c r="K2290" s="26" t="str">
        <f aca="false">IF(A2290="","",DATE(YEAR(A2290),MONTH(A2290),1))</f>
        <v/>
      </c>
      <c r="L2290" s="21" t="str">
        <f aca="false">IF(J2290="",IF(B2290="","",IF(N(C2290)&gt;=0,"Income","Expense")),IFERROR(INDEX(Lists!$B$2:$B$30,MATCH(J2290,Lists!$A$2:$A$30,0)),""))</f>
        <v/>
      </c>
      <c r="M2290" s="24"/>
      <c r="N2290" s="27" t="str">
        <f aca="false">IF(B2290="","",IFERROR(1000-SUMPRODUCT(MAX(ISNUMBER(SEARCH(Rules!$A$5:$A$204,B2290))*(Rules!$A$5:$A$204&lt;&gt;"")*(1000-ROW(Rules!$A$5:$A$204)))),""))</f>
        <v/>
      </c>
    </row>
    <row r="2291" customFormat="false" ht="15" hidden="false" customHeight="false" outlineLevel="0" collapsed="false">
      <c r="A2291" s="23"/>
      <c r="B2291" s="24"/>
      <c r="C2291" s="25"/>
      <c r="D2291" s="24"/>
      <c r="E2291" s="21" t="str">
        <f aca="false">IF(OR(B2291="",N(N2291)=0,N2291=1000),IF(B2291="","","Check"),INDEX(Rules!$B:$B,N2291))</f>
        <v/>
      </c>
      <c r="F2291" s="21" t="str">
        <f aca="false">IF(OR(B2291="",N(N2291)=0,N2291=1000),"",INDEX(Rules!$C:$C,N2291))</f>
        <v/>
      </c>
      <c r="G2291" s="24"/>
      <c r="H2291" s="24"/>
      <c r="I2291" s="20" t="str">
        <f aca="false">IF(B2291="","",IF(G2291&lt;&gt;"",G2291,E2291))</f>
        <v/>
      </c>
      <c r="J2291" s="21" t="str">
        <f aca="false">IF(B2291="","",IF(H2291&lt;&gt;"",H2291,F2291))</f>
        <v/>
      </c>
      <c r="K2291" s="26" t="str">
        <f aca="false">IF(A2291="","",DATE(YEAR(A2291),MONTH(A2291),1))</f>
        <v/>
      </c>
      <c r="L2291" s="21" t="str">
        <f aca="false">IF(J2291="",IF(B2291="","",IF(N(C2291)&gt;=0,"Income","Expense")),IFERROR(INDEX(Lists!$B$2:$B$30,MATCH(J2291,Lists!$A$2:$A$30,0)),""))</f>
        <v/>
      </c>
      <c r="M2291" s="24"/>
      <c r="N2291" s="27" t="str">
        <f aca="false">IF(B2291="","",IFERROR(1000-SUMPRODUCT(MAX(ISNUMBER(SEARCH(Rules!$A$5:$A$204,B2291))*(Rules!$A$5:$A$204&lt;&gt;"")*(1000-ROW(Rules!$A$5:$A$204)))),""))</f>
        <v/>
      </c>
    </row>
    <row r="2292" customFormat="false" ht="15" hidden="false" customHeight="false" outlineLevel="0" collapsed="false">
      <c r="A2292" s="23"/>
      <c r="B2292" s="24"/>
      <c r="C2292" s="25"/>
      <c r="D2292" s="24"/>
      <c r="E2292" s="21" t="str">
        <f aca="false">IF(OR(B2292="",N(N2292)=0,N2292=1000),IF(B2292="","","Check"),INDEX(Rules!$B:$B,N2292))</f>
        <v/>
      </c>
      <c r="F2292" s="21" t="str">
        <f aca="false">IF(OR(B2292="",N(N2292)=0,N2292=1000),"",INDEX(Rules!$C:$C,N2292))</f>
        <v/>
      </c>
      <c r="G2292" s="24"/>
      <c r="H2292" s="24"/>
      <c r="I2292" s="20" t="str">
        <f aca="false">IF(B2292="","",IF(G2292&lt;&gt;"",G2292,E2292))</f>
        <v/>
      </c>
      <c r="J2292" s="21" t="str">
        <f aca="false">IF(B2292="","",IF(H2292&lt;&gt;"",H2292,F2292))</f>
        <v/>
      </c>
      <c r="K2292" s="26" t="str">
        <f aca="false">IF(A2292="","",DATE(YEAR(A2292),MONTH(A2292),1))</f>
        <v/>
      </c>
      <c r="L2292" s="21" t="str">
        <f aca="false">IF(J2292="",IF(B2292="","",IF(N(C2292)&gt;=0,"Income","Expense")),IFERROR(INDEX(Lists!$B$2:$B$30,MATCH(J2292,Lists!$A$2:$A$30,0)),""))</f>
        <v/>
      </c>
      <c r="M2292" s="24"/>
      <c r="N2292" s="27" t="str">
        <f aca="false">IF(B2292="","",IFERROR(1000-SUMPRODUCT(MAX(ISNUMBER(SEARCH(Rules!$A$5:$A$204,B2292))*(Rules!$A$5:$A$204&lt;&gt;"")*(1000-ROW(Rules!$A$5:$A$204)))),""))</f>
        <v/>
      </c>
    </row>
    <row r="2293" customFormat="false" ht="15" hidden="false" customHeight="false" outlineLevel="0" collapsed="false">
      <c r="A2293" s="23"/>
      <c r="B2293" s="24"/>
      <c r="C2293" s="25"/>
      <c r="D2293" s="24"/>
      <c r="E2293" s="21" t="str">
        <f aca="false">IF(OR(B2293="",N(N2293)=0,N2293=1000),IF(B2293="","","Check"),INDEX(Rules!$B:$B,N2293))</f>
        <v/>
      </c>
      <c r="F2293" s="21" t="str">
        <f aca="false">IF(OR(B2293="",N(N2293)=0,N2293=1000),"",INDEX(Rules!$C:$C,N2293))</f>
        <v/>
      </c>
      <c r="G2293" s="24"/>
      <c r="H2293" s="24"/>
      <c r="I2293" s="20" t="str">
        <f aca="false">IF(B2293="","",IF(G2293&lt;&gt;"",G2293,E2293))</f>
        <v/>
      </c>
      <c r="J2293" s="21" t="str">
        <f aca="false">IF(B2293="","",IF(H2293&lt;&gt;"",H2293,F2293))</f>
        <v/>
      </c>
      <c r="K2293" s="26" t="str">
        <f aca="false">IF(A2293="","",DATE(YEAR(A2293),MONTH(A2293),1))</f>
        <v/>
      </c>
      <c r="L2293" s="21" t="str">
        <f aca="false">IF(J2293="",IF(B2293="","",IF(N(C2293)&gt;=0,"Income","Expense")),IFERROR(INDEX(Lists!$B$2:$B$30,MATCH(J2293,Lists!$A$2:$A$30,0)),""))</f>
        <v/>
      </c>
      <c r="M2293" s="24"/>
      <c r="N2293" s="27" t="str">
        <f aca="false">IF(B2293="","",IFERROR(1000-SUMPRODUCT(MAX(ISNUMBER(SEARCH(Rules!$A$5:$A$204,B2293))*(Rules!$A$5:$A$204&lt;&gt;"")*(1000-ROW(Rules!$A$5:$A$204)))),""))</f>
        <v/>
      </c>
    </row>
    <row r="2294" customFormat="false" ht="15" hidden="false" customHeight="false" outlineLevel="0" collapsed="false">
      <c r="A2294" s="23"/>
      <c r="B2294" s="24"/>
      <c r="C2294" s="25"/>
      <c r="D2294" s="24"/>
      <c r="E2294" s="21" t="str">
        <f aca="false">IF(OR(B2294="",N(N2294)=0,N2294=1000),IF(B2294="","","Check"),INDEX(Rules!$B:$B,N2294))</f>
        <v/>
      </c>
      <c r="F2294" s="21" t="str">
        <f aca="false">IF(OR(B2294="",N(N2294)=0,N2294=1000),"",INDEX(Rules!$C:$C,N2294))</f>
        <v/>
      </c>
      <c r="G2294" s="24"/>
      <c r="H2294" s="24"/>
      <c r="I2294" s="20" t="str">
        <f aca="false">IF(B2294="","",IF(G2294&lt;&gt;"",G2294,E2294))</f>
        <v/>
      </c>
      <c r="J2294" s="21" t="str">
        <f aca="false">IF(B2294="","",IF(H2294&lt;&gt;"",H2294,F2294))</f>
        <v/>
      </c>
      <c r="K2294" s="26" t="str">
        <f aca="false">IF(A2294="","",DATE(YEAR(A2294),MONTH(A2294),1))</f>
        <v/>
      </c>
      <c r="L2294" s="21" t="str">
        <f aca="false">IF(J2294="",IF(B2294="","",IF(N(C2294)&gt;=0,"Income","Expense")),IFERROR(INDEX(Lists!$B$2:$B$30,MATCH(J2294,Lists!$A$2:$A$30,0)),""))</f>
        <v/>
      </c>
      <c r="M2294" s="24"/>
      <c r="N2294" s="27" t="str">
        <f aca="false">IF(B2294="","",IFERROR(1000-SUMPRODUCT(MAX(ISNUMBER(SEARCH(Rules!$A$5:$A$204,B2294))*(Rules!$A$5:$A$204&lt;&gt;"")*(1000-ROW(Rules!$A$5:$A$204)))),""))</f>
        <v/>
      </c>
    </row>
    <row r="2295" customFormat="false" ht="15" hidden="false" customHeight="false" outlineLevel="0" collapsed="false">
      <c r="A2295" s="23"/>
      <c r="B2295" s="24"/>
      <c r="C2295" s="25"/>
      <c r="D2295" s="24"/>
      <c r="E2295" s="21" t="str">
        <f aca="false">IF(OR(B2295="",N(N2295)=0,N2295=1000),IF(B2295="","","Check"),INDEX(Rules!$B:$B,N2295))</f>
        <v/>
      </c>
      <c r="F2295" s="21" t="str">
        <f aca="false">IF(OR(B2295="",N(N2295)=0,N2295=1000),"",INDEX(Rules!$C:$C,N2295))</f>
        <v/>
      </c>
      <c r="G2295" s="24"/>
      <c r="H2295" s="24"/>
      <c r="I2295" s="20" t="str">
        <f aca="false">IF(B2295="","",IF(G2295&lt;&gt;"",G2295,E2295))</f>
        <v/>
      </c>
      <c r="J2295" s="21" t="str">
        <f aca="false">IF(B2295="","",IF(H2295&lt;&gt;"",H2295,F2295))</f>
        <v/>
      </c>
      <c r="K2295" s="26" t="str">
        <f aca="false">IF(A2295="","",DATE(YEAR(A2295),MONTH(A2295),1))</f>
        <v/>
      </c>
      <c r="L2295" s="21" t="str">
        <f aca="false">IF(J2295="",IF(B2295="","",IF(N(C2295)&gt;=0,"Income","Expense")),IFERROR(INDEX(Lists!$B$2:$B$30,MATCH(J2295,Lists!$A$2:$A$30,0)),""))</f>
        <v/>
      </c>
      <c r="M2295" s="24"/>
      <c r="N2295" s="27" t="str">
        <f aca="false">IF(B2295="","",IFERROR(1000-SUMPRODUCT(MAX(ISNUMBER(SEARCH(Rules!$A$5:$A$204,B2295))*(Rules!$A$5:$A$204&lt;&gt;"")*(1000-ROW(Rules!$A$5:$A$204)))),""))</f>
        <v/>
      </c>
    </row>
    <row r="2296" customFormat="false" ht="15" hidden="false" customHeight="false" outlineLevel="0" collapsed="false">
      <c r="A2296" s="23"/>
      <c r="B2296" s="24"/>
      <c r="C2296" s="25"/>
      <c r="D2296" s="24"/>
      <c r="E2296" s="21" t="str">
        <f aca="false">IF(OR(B2296="",N(N2296)=0,N2296=1000),IF(B2296="","","Check"),INDEX(Rules!$B:$B,N2296))</f>
        <v/>
      </c>
      <c r="F2296" s="21" t="str">
        <f aca="false">IF(OR(B2296="",N(N2296)=0,N2296=1000),"",INDEX(Rules!$C:$C,N2296))</f>
        <v/>
      </c>
      <c r="G2296" s="24"/>
      <c r="H2296" s="24"/>
      <c r="I2296" s="20" t="str">
        <f aca="false">IF(B2296="","",IF(G2296&lt;&gt;"",G2296,E2296))</f>
        <v/>
      </c>
      <c r="J2296" s="21" t="str">
        <f aca="false">IF(B2296="","",IF(H2296&lt;&gt;"",H2296,F2296))</f>
        <v/>
      </c>
      <c r="K2296" s="26" t="str">
        <f aca="false">IF(A2296="","",DATE(YEAR(A2296),MONTH(A2296),1))</f>
        <v/>
      </c>
      <c r="L2296" s="21" t="str">
        <f aca="false">IF(J2296="",IF(B2296="","",IF(N(C2296)&gt;=0,"Income","Expense")),IFERROR(INDEX(Lists!$B$2:$B$30,MATCH(J2296,Lists!$A$2:$A$30,0)),""))</f>
        <v/>
      </c>
      <c r="M2296" s="24"/>
      <c r="N2296" s="27" t="str">
        <f aca="false">IF(B2296="","",IFERROR(1000-SUMPRODUCT(MAX(ISNUMBER(SEARCH(Rules!$A$5:$A$204,B2296))*(Rules!$A$5:$A$204&lt;&gt;"")*(1000-ROW(Rules!$A$5:$A$204)))),""))</f>
        <v/>
      </c>
    </row>
    <row r="2297" customFormat="false" ht="15" hidden="false" customHeight="false" outlineLevel="0" collapsed="false">
      <c r="A2297" s="23"/>
      <c r="B2297" s="24"/>
      <c r="C2297" s="25"/>
      <c r="D2297" s="24"/>
      <c r="E2297" s="21" t="str">
        <f aca="false">IF(OR(B2297="",N(N2297)=0,N2297=1000),IF(B2297="","","Check"),INDEX(Rules!$B:$B,N2297))</f>
        <v/>
      </c>
      <c r="F2297" s="21" t="str">
        <f aca="false">IF(OR(B2297="",N(N2297)=0,N2297=1000),"",INDEX(Rules!$C:$C,N2297))</f>
        <v/>
      </c>
      <c r="G2297" s="24"/>
      <c r="H2297" s="24"/>
      <c r="I2297" s="20" t="str">
        <f aca="false">IF(B2297="","",IF(G2297&lt;&gt;"",G2297,E2297))</f>
        <v/>
      </c>
      <c r="J2297" s="21" t="str">
        <f aca="false">IF(B2297="","",IF(H2297&lt;&gt;"",H2297,F2297))</f>
        <v/>
      </c>
      <c r="K2297" s="26" t="str">
        <f aca="false">IF(A2297="","",DATE(YEAR(A2297),MONTH(A2297),1))</f>
        <v/>
      </c>
      <c r="L2297" s="21" t="str">
        <f aca="false">IF(J2297="",IF(B2297="","",IF(N(C2297)&gt;=0,"Income","Expense")),IFERROR(INDEX(Lists!$B$2:$B$30,MATCH(J2297,Lists!$A$2:$A$30,0)),""))</f>
        <v/>
      </c>
      <c r="M2297" s="24"/>
      <c r="N2297" s="27" t="str">
        <f aca="false">IF(B2297="","",IFERROR(1000-SUMPRODUCT(MAX(ISNUMBER(SEARCH(Rules!$A$5:$A$204,B2297))*(Rules!$A$5:$A$204&lt;&gt;"")*(1000-ROW(Rules!$A$5:$A$204)))),""))</f>
        <v/>
      </c>
    </row>
    <row r="2298" customFormat="false" ht="15" hidden="false" customHeight="false" outlineLevel="0" collapsed="false">
      <c r="A2298" s="23"/>
      <c r="B2298" s="24"/>
      <c r="C2298" s="25"/>
      <c r="D2298" s="24"/>
      <c r="E2298" s="21" t="str">
        <f aca="false">IF(OR(B2298="",N(N2298)=0,N2298=1000),IF(B2298="","","Check"),INDEX(Rules!$B:$B,N2298))</f>
        <v/>
      </c>
      <c r="F2298" s="21" t="str">
        <f aca="false">IF(OR(B2298="",N(N2298)=0,N2298=1000),"",INDEX(Rules!$C:$C,N2298))</f>
        <v/>
      </c>
      <c r="G2298" s="24"/>
      <c r="H2298" s="24"/>
      <c r="I2298" s="20" t="str">
        <f aca="false">IF(B2298="","",IF(G2298&lt;&gt;"",G2298,E2298))</f>
        <v/>
      </c>
      <c r="J2298" s="21" t="str">
        <f aca="false">IF(B2298="","",IF(H2298&lt;&gt;"",H2298,F2298))</f>
        <v/>
      </c>
      <c r="K2298" s="26" t="str">
        <f aca="false">IF(A2298="","",DATE(YEAR(A2298),MONTH(A2298),1))</f>
        <v/>
      </c>
      <c r="L2298" s="21" t="str">
        <f aca="false">IF(J2298="",IF(B2298="","",IF(N(C2298)&gt;=0,"Income","Expense")),IFERROR(INDEX(Lists!$B$2:$B$30,MATCH(J2298,Lists!$A$2:$A$30,0)),""))</f>
        <v/>
      </c>
      <c r="M2298" s="24"/>
      <c r="N2298" s="27" t="str">
        <f aca="false">IF(B2298="","",IFERROR(1000-SUMPRODUCT(MAX(ISNUMBER(SEARCH(Rules!$A$5:$A$204,B2298))*(Rules!$A$5:$A$204&lt;&gt;"")*(1000-ROW(Rules!$A$5:$A$204)))),""))</f>
        <v/>
      </c>
    </row>
    <row r="2299" customFormat="false" ht="15" hidden="false" customHeight="false" outlineLevel="0" collapsed="false">
      <c r="A2299" s="23"/>
      <c r="B2299" s="24"/>
      <c r="C2299" s="25"/>
      <c r="D2299" s="24"/>
      <c r="E2299" s="21" t="str">
        <f aca="false">IF(OR(B2299="",N(N2299)=0,N2299=1000),IF(B2299="","","Check"),INDEX(Rules!$B:$B,N2299))</f>
        <v/>
      </c>
      <c r="F2299" s="21" t="str">
        <f aca="false">IF(OR(B2299="",N(N2299)=0,N2299=1000),"",INDEX(Rules!$C:$C,N2299))</f>
        <v/>
      </c>
      <c r="G2299" s="24"/>
      <c r="H2299" s="24"/>
      <c r="I2299" s="20" t="str">
        <f aca="false">IF(B2299="","",IF(G2299&lt;&gt;"",G2299,E2299))</f>
        <v/>
      </c>
      <c r="J2299" s="21" t="str">
        <f aca="false">IF(B2299="","",IF(H2299&lt;&gt;"",H2299,F2299))</f>
        <v/>
      </c>
      <c r="K2299" s="26" t="str">
        <f aca="false">IF(A2299="","",DATE(YEAR(A2299),MONTH(A2299),1))</f>
        <v/>
      </c>
      <c r="L2299" s="21" t="str">
        <f aca="false">IF(J2299="",IF(B2299="","",IF(N(C2299)&gt;=0,"Income","Expense")),IFERROR(INDEX(Lists!$B$2:$B$30,MATCH(J2299,Lists!$A$2:$A$30,0)),""))</f>
        <v/>
      </c>
      <c r="M2299" s="24"/>
      <c r="N2299" s="27" t="str">
        <f aca="false">IF(B2299="","",IFERROR(1000-SUMPRODUCT(MAX(ISNUMBER(SEARCH(Rules!$A$5:$A$204,B2299))*(Rules!$A$5:$A$204&lt;&gt;"")*(1000-ROW(Rules!$A$5:$A$204)))),""))</f>
        <v/>
      </c>
    </row>
    <row r="2300" customFormat="false" ht="15" hidden="false" customHeight="false" outlineLevel="0" collapsed="false">
      <c r="A2300" s="23"/>
      <c r="B2300" s="24"/>
      <c r="C2300" s="25"/>
      <c r="D2300" s="24"/>
      <c r="E2300" s="21" t="str">
        <f aca="false">IF(OR(B2300="",N(N2300)=0,N2300=1000),IF(B2300="","","Check"),INDEX(Rules!$B:$B,N2300))</f>
        <v/>
      </c>
      <c r="F2300" s="21" t="str">
        <f aca="false">IF(OR(B2300="",N(N2300)=0,N2300=1000),"",INDEX(Rules!$C:$C,N2300))</f>
        <v/>
      </c>
      <c r="G2300" s="24"/>
      <c r="H2300" s="24"/>
      <c r="I2300" s="20" t="str">
        <f aca="false">IF(B2300="","",IF(G2300&lt;&gt;"",G2300,E2300))</f>
        <v/>
      </c>
      <c r="J2300" s="21" t="str">
        <f aca="false">IF(B2300="","",IF(H2300&lt;&gt;"",H2300,F2300))</f>
        <v/>
      </c>
      <c r="K2300" s="26" t="str">
        <f aca="false">IF(A2300="","",DATE(YEAR(A2300),MONTH(A2300),1))</f>
        <v/>
      </c>
      <c r="L2300" s="21" t="str">
        <f aca="false">IF(J2300="",IF(B2300="","",IF(N(C2300)&gt;=0,"Income","Expense")),IFERROR(INDEX(Lists!$B$2:$B$30,MATCH(J2300,Lists!$A$2:$A$30,0)),""))</f>
        <v/>
      </c>
      <c r="M2300" s="24"/>
      <c r="N2300" s="27" t="str">
        <f aca="false">IF(B2300="","",IFERROR(1000-SUMPRODUCT(MAX(ISNUMBER(SEARCH(Rules!$A$5:$A$204,B2300))*(Rules!$A$5:$A$204&lt;&gt;"")*(1000-ROW(Rules!$A$5:$A$204)))),""))</f>
        <v/>
      </c>
    </row>
    <row r="2301" customFormat="false" ht="15" hidden="false" customHeight="false" outlineLevel="0" collapsed="false">
      <c r="A2301" s="23"/>
      <c r="B2301" s="24"/>
      <c r="C2301" s="25"/>
      <c r="D2301" s="24"/>
      <c r="E2301" s="21" t="str">
        <f aca="false">IF(OR(B2301="",N(N2301)=0,N2301=1000),IF(B2301="","","Check"),INDEX(Rules!$B:$B,N2301))</f>
        <v/>
      </c>
      <c r="F2301" s="21" t="str">
        <f aca="false">IF(OR(B2301="",N(N2301)=0,N2301=1000),"",INDEX(Rules!$C:$C,N2301))</f>
        <v/>
      </c>
      <c r="G2301" s="24"/>
      <c r="H2301" s="24"/>
      <c r="I2301" s="20" t="str">
        <f aca="false">IF(B2301="","",IF(G2301&lt;&gt;"",G2301,E2301))</f>
        <v/>
      </c>
      <c r="J2301" s="21" t="str">
        <f aca="false">IF(B2301="","",IF(H2301&lt;&gt;"",H2301,F2301))</f>
        <v/>
      </c>
      <c r="K2301" s="26" t="str">
        <f aca="false">IF(A2301="","",DATE(YEAR(A2301),MONTH(A2301),1))</f>
        <v/>
      </c>
      <c r="L2301" s="21" t="str">
        <f aca="false">IF(J2301="",IF(B2301="","",IF(N(C2301)&gt;=0,"Income","Expense")),IFERROR(INDEX(Lists!$B$2:$B$30,MATCH(J2301,Lists!$A$2:$A$30,0)),""))</f>
        <v/>
      </c>
      <c r="M2301" s="24"/>
      <c r="N2301" s="27" t="str">
        <f aca="false">IF(B2301="","",IFERROR(1000-SUMPRODUCT(MAX(ISNUMBER(SEARCH(Rules!$A$5:$A$204,B2301))*(Rules!$A$5:$A$204&lt;&gt;"")*(1000-ROW(Rules!$A$5:$A$204)))),""))</f>
        <v/>
      </c>
    </row>
    <row r="2302" customFormat="false" ht="15" hidden="false" customHeight="false" outlineLevel="0" collapsed="false">
      <c r="A2302" s="23"/>
      <c r="B2302" s="24"/>
      <c r="C2302" s="25"/>
      <c r="D2302" s="24"/>
      <c r="E2302" s="21" t="str">
        <f aca="false">IF(OR(B2302="",N(N2302)=0,N2302=1000),IF(B2302="","","Check"),INDEX(Rules!$B:$B,N2302))</f>
        <v/>
      </c>
      <c r="F2302" s="21" t="str">
        <f aca="false">IF(OR(B2302="",N(N2302)=0,N2302=1000),"",INDEX(Rules!$C:$C,N2302))</f>
        <v/>
      </c>
      <c r="G2302" s="24"/>
      <c r="H2302" s="24"/>
      <c r="I2302" s="20" t="str">
        <f aca="false">IF(B2302="","",IF(G2302&lt;&gt;"",G2302,E2302))</f>
        <v/>
      </c>
      <c r="J2302" s="21" t="str">
        <f aca="false">IF(B2302="","",IF(H2302&lt;&gt;"",H2302,F2302))</f>
        <v/>
      </c>
      <c r="K2302" s="26" t="str">
        <f aca="false">IF(A2302="","",DATE(YEAR(A2302),MONTH(A2302),1))</f>
        <v/>
      </c>
      <c r="L2302" s="21" t="str">
        <f aca="false">IF(J2302="",IF(B2302="","",IF(N(C2302)&gt;=0,"Income","Expense")),IFERROR(INDEX(Lists!$B$2:$B$30,MATCH(J2302,Lists!$A$2:$A$30,0)),""))</f>
        <v/>
      </c>
      <c r="M2302" s="24"/>
      <c r="N2302" s="27" t="str">
        <f aca="false">IF(B2302="","",IFERROR(1000-SUMPRODUCT(MAX(ISNUMBER(SEARCH(Rules!$A$5:$A$204,B2302))*(Rules!$A$5:$A$204&lt;&gt;"")*(1000-ROW(Rules!$A$5:$A$204)))),""))</f>
        <v/>
      </c>
    </row>
    <row r="2303" customFormat="false" ht="15" hidden="false" customHeight="false" outlineLevel="0" collapsed="false">
      <c r="A2303" s="23"/>
      <c r="B2303" s="24"/>
      <c r="C2303" s="25"/>
      <c r="D2303" s="24"/>
      <c r="E2303" s="21" t="str">
        <f aca="false">IF(OR(B2303="",N(N2303)=0,N2303=1000),IF(B2303="","","Check"),INDEX(Rules!$B:$B,N2303))</f>
        <v/>
      </c>
      <c r="F2303" s="21" t="str">
        <f aca="false">IF(OR(B2303="",N(N2303)=0,N2303=1000),"",INDEX(Rules!$C:$C,N2303))</f>
        <v/>
      </c>
      <c r="G2303" s="24"/>
      <c r="H2303" s="24"/>
      <c r="I2303" s="20" t="str">
        <f aca="false">IF(B2303="","",IF(G2303&lt;&gt;"",G2303,E2303))</f>
        <v/>
      </c>
      <c r="J2303" s="21" t="str">
        <f aca="false">IF(B2303="","",IF(H2303&lt;&gt;"",H2303,F2303))</f>
        <v/>
      </c>
      <c r="K2303" s="26" t="str">
        <f aca="false">IF(A2303="","",DATE(YEAR(A2303),MONTH(A2303),1))</f>
        <v/>
      </c>
      <c r="L2303" s="21" t="str">
        <f aca="false">IF(J2303="",IF(B2303="","",IF(N(C2303)&gt;=0,"Income","Expense")),IFERROR(INDEX(Lists!$B$2:$B$30,MATCH(J2303,Lists!$A$2:$A$30,0)),""))</f>
        <v/>
      </c>
      <c r="M2303" s="24"/>
      <c r="N2303" s="27" t="str">
        <f aca="false">IF(B2303="","",IFERROR(1000-SUMPRODUCT(MAX(ISNUMBER(SEARCH(Rules!$A$5:$A$204,B2303))*(Rules!$A$5:$A$204&lt;&gt;"")*(1000-ROW(Rules!$A$5:$A$204)))),""))</f>
        <v/>
      </c>
    </row>
    <row r="2304" customFormat="false" ht="15" hidden="false" customHeight="false" outlineLevel="0" collapsed="false">
      <c r="A2304" s="23"/>
      <c r="B2304" s="24"/>
      <c r="C2304" s="25"/>
      <c r="D2304" s="24"/>
      <c r="E2304" s="21" t="str">
        <f aca="false">IF(OR(B2304="",N(N2304)=0,N2304=1000),IF(B2304="","","Check"),INDEX(Rules!$B:$B,N2304))</f>
        <v/>
      </c>
      <c r="F2304" s="21" t="str">
        <f aca="false">IF(OR(B2304="",N(N2304)=0,N2304=1000),"",INDEX(Rules!$C:$C,N2304))</f>
        <v/>
      </c>
      <c r="G2304" s="24"/>
      <c r="H2304" s="24"/>
      <c r="I2304" s="20" t="str">
        <f aca="false">IF(B2304="","",IF(G2304&lt;&gt;"",G2304,E2304))</f>
        <v/>
      </c>
      <c r="J2304" s="21" t="str">
        <f aca="false">IF(B2304="","",IF(H2304&lt;&gt;"",H2304,F2304))</f>
        <v/>
      </c>
      <c r="K2304" s="26" t="str">
        <f aca="false">IF(A2304="","",DATE(YEAR(A2304),MONTH(A2304),1))</f>
        <v/>
      </c>
      <c r="L2304" s="21" t="str">
        <f aca="false">IF(J2304="",IF(B2304="","",IF(N(C2304)&gt;=0,"Income","Expense")),IFERROR(INDEX(Lists!$B$2:$B$30,MATCH(J2304,Lists!$A$2:$A$30,0)),""))</f>
        <v/>
      </c>
      <c r="M2304" s="24"/>
      <c r="N2304" s="27" t="str">
        <f aca="false">IF(B2304="","",IFERROR(1000-SUMPRODUCT(MAX(ISNUMBER(SEARCH(Rules!$A$5:$A$204,B2304))*(Rules!$A$5:$A$204&lt;&gt;"")*(1000-ROW(Rules!$A$5:$A$204)))),""))</f>
        <v/>
      </c>
    </row>
    <row r="2305" customFormat="false" ht="15" hidden="false" customHeight="false" outlineLevel="0" collapsed="false">
      <c r="A2305" s="23"/>
      <c r="B2305" s="24"/>
      <c r="C2305" s="25"/>
      <c r="D2305" s="24"/>
      <c r="E2305" s="21" t="str">
        <f aca="false">IF(OR(B2305="",N(N2305)=0,N2305=1000),IF(B2305="","","Check"),INDEX(Rules!$B:$B,N2305))</f>
        <v/>
      </c>
      <c r="F2305" s="21" t="str">
        <f aca="false">IF(OR(B2305="",N(N2305)=0,N2305=1000),"",INDEX(Rules!$C:$C,N2305))</f>
        <v/>
      </c>
      <c r="G2305" s="24"/>
      <c r="H2305" s="24"/>
      <c r="I2305" s="20" t="str">
        <f aca="false">IF(B2305="","",IF(G2305&lt;&gt;"",G2305,E2305))</f>
        <v/>
      </c>
      <c r="J2305" s="21" t="str">
        <f aca="false">IF(B2305="","",IF(H2305&lt;&gt;"",H2305,F2305))</f>
        <v/>
      </c>
      <c r="K2305" s="26" t="str">
        <f aca="false">IF(A2305="","",DATE(YEAR(A2305),MONTH(A2305),1))</f>
        <v/>
      </c>
      <c r="L2305" s="21" t="str">
        <f aca="false">IF(J2305="",IF(B2305="","",IF(N(C2305)&gt;=0,"Income","Expense")),IFERROR(INDEX(Lists!$B$2:$B$30,MATCH(J2305,Lists!$A$2:$A$30,0)),""))</f>
        <v/>
      </c>
      <c r="M2305" s="24"/>
      <c r="N2305" s="27" t="str">
        <f aca="false">IF(B2305="","",IFERROR(1000-SUMPRODUCT(MAX(ISNUMBER(SEARCH(Rules!$A$5:$A$204,B2305))*(Rules!$A$5:$A$204&lt;&gt;"")*(1000-ROW(Rules!$A$5:$A$204)))),""))</f>
        <v/>
      </c>
    </row>
    <row r="2306" customFormat="false" ht="15" hidden="false" customHeight="false" outlineLevel="0" collapsed="false">
      <c r="A2306" s="23"/>
      <c r="B2306" s="24"/>
      <c r="C2306" s="25"/>
      <c r="D2306" s="24"/>
      <c r="E2306" s="21" t="str">
        <f aca="false">IF(OR(B2306="",N(N2306)=0,N2306=1000),IF(B2306="","","Check"),INDEX(Rules!$B:$B,N2306))</f>
        <v/>
      </c>
      <c r="F2306" s="21" t="str">
        <f aca="false">IF(OR(B2306="",N(N2306)=0,N2306=1000),"",INDEX(Rules!$C:$C,N2306))</f>
        <v/>
      </c>
      <c r="G2306" s="24"/>
      <c r="H2306" s="24"/>
      <c r="I2306" s="20" t="str">
        <f aca="false">IF(B2306="","",IF(G2306&lt;&gt;"",G2306,E2306))</f>
        <v/>
      </c>
      <c r="J2306" s="21" t="str">
        <f aca="false">IF(B2306="","",IF(H2306&lt;&gt;"",H2306,F2306))</f>
        <v/>
      </c>
      <c r="K2306" s="26" t="str">
        <f aca="false">IF(A2306="","",DATE(YEAR(A2306),MONTH(A2306),1))</f>
        <v/>
      </c>
      <c r="L2306" s="21" t="str">
        <f aca="false">IF(J2306="",IF(B2306="","",IF(N(C2306)&gt;=0,"Income","Expense")),IFERROR(INDEX(Lists!$B$2:$B$30,MATCH(J2306,Lists!$A$2:$A$30,0)),""))</f>
        <v/>
      </c>
      <c r="M2306" s="24"/>
      <c r="N2306" s="27" t="str">
        <f aca="false">IF(B2306="","",IFERROR(1000-SUMPRODUCT(MAX(ISNUMBER(SEARCH(Rules!$A$5:$A$204,B2306))*(Rules!$A$5:$A$204&lt;&gt;"")*(1000-ROW(Rules!$A$5:$A$204)))),""))</f>
        <v/>
      </c>
    </row>
    <row r="2307" customFormat="false" ht="15" hidden="false" customHeight="false" outlineLevel="0" collapsed="false">
      <c r="A2307" s="23"/>
      <c r="B2307" s="24"/>
      <c r="C2307" s="25"/>
      <c r="D2307" s="24"/>
      <c r="E2307" s="21" t="str">
        <f aca="false">IF(OR(B2307="",N(N2307)=0,N2307=1000),IF(B2307="","","Check"),INDEX(Rules!$B:$B,N2307))</f>
        <v/>
      </c>
      <c r="F2307" s="21" t="str">
        <f aca="false">IF(OR(B2307="",N(N2307)=0,N2307=1000),"",INDEX(Rules!$C:$C,N2307))</f>
        <v/>
      </c>
      <c r="G2307" s="24"/>
      <c r="H2307" s="24"/>
      <c r="I2307" s="20" t="str">
        <f aca="false">IF(B2307="","",IF(G2307&lt;&gt;"",G2307,E2307))</f>
        <v/>
      </c>
      <c r="J2307" s="21" t="str">
        <f aca="false">IF(B2307="","",IF(H2307&lt;&gt;"",H2307,F2307))</f>
        <v/>
      </c>
      <c r="K2307" s="26" t="str">
        <f aca="false">IF(A2307="","",DATE(YEAR(A2307),MONTH(A2307),1))</f>
        <v/>
      </c>
      <c r="L2307" s="21" t="str">
        <f aca="false">IF(J2307="",IF(B2307="","",IF(N(C2307)&gt;=0,"Income","Expense")),IFERROR(INDEX(Lists!$B$2:$B$30,MATCH(J2307,Lists!$A$2:$A$30,0)),""))</f>
        <v/>
      </c>
      <c r="M2307" s="24"/>
      <c r="N2307" s="27" t="str">
        <f aca="false">IF(B2307="","",IFERROR(1000-SUMPRODUCT(MAX(ISNUMBER(SEARCH(Rules!$A$5:$A$204,B2307))*(Rules!$A$5:$A$204&lt;&gt;"")*(1000-ROW(Rules!$A$5:$A$204)))),""))</f>
        <v/>
      </c>
    </row>
    <row r="2308" customFormat="false" ht="15" hidden="false" customHeight="false" outlineLevel="0" collapsed="false">
      <c r="A2308" s="23"/>
      <c r="B2308" s="24"/>
      <c r="C2308" s="25"/>
      <c r="D2308" s="24"/>
      <c r="E2308" s="21" t="str">
        <f aca="false">IF(OR(B2308="",N(N2308)=0,N2308=1000),IF(B2308="","","Check"),INDEX(Rules!$B:$B,N2308))</f>
        <v/>
      </c>
      <c r="F2308" s="21" t="str">
        <f aca="false">IF(OR(B2308="",N(N2308)=0,N2308=1000),"",INDEX(Rules!$C:$C,N2308))</f>
        <v/>
      </c>
      <c r="G2308" s="24"/>
      <c r="H2308" s="24"/>
      <c r="I2308" s="20" t="str">
        <f aca="false">IF(B2308="","",IF(G2308&lt;&gt;"",G2308,E2308))</f>
        <v/>
      </c>
      <c r="J2308" s="21" t="str">
        <f aca="false">IF(B2308="","",IF(H2308&lt;&gt;"",H2308,F2308))</f>
        <v/>
      </c>
      <c r="K2308" s="26" t="str">
        <f aca="false">IF(A2308="","",DATE(YEAR(A2308),MONTH(A2308),1))</f>
        <v/>
      </c>
      <c r="L2308" s="21" t="str">
        <f aca="false">IF(J2308="",IF(B2308="","",IF(N(C2308)&gt;=0,"Income","Expense")),IFERROR(INDEX(Lists!$B$2:$B$30,MATCH(J2308,Lists!$A$2:$A$30,0)),""))</f>
        <v/>
      </c>
      <c r="M2308" s="24"/>
      <c r="N2308" s="27" t="str">
        <f aca="false">IF(B2308="","",IFERROR(1000-SUMPRODUCT(MAX(ISNUMBER(SEARCH(Rules!$A$5:$A$204,B2308))*(Rules!$A$5:$A$204&lt;&gt;"")*(1000-ROW(Rules!$A$5:$A$204)))),""))</f>
        <v/>
      </c>
    </row>
    <row r="2309" customFormat="false" ht="15" hidden="false" customHeight="false" outlineLevel="0" collapsed="false">
      <c r="A2309" s="23"/>
      <c r="B2309" s="24"/>
      <c r="C2309" s="25"/>
      <c r="D2309" s="24"/>
      <c r="E2309" s="21" t="str">
        <f aca="false">IF(OR(B2309="",N(N2309)=0,N2309=1000),IF(B2309="","","Check"),INDEX(Rules!$B:$B,N2309))</f>
        <v/>
      </c>
      <c r="F2309" s="21" t="str">
        <f aca="false">IF(OR(B2309="",N(N2309)=0,N2309=1000),"",INDEX(Rules!$C:$C,N2309))</f>
        <v/>
      </c>
      <c r="G2309" s="24"/>
      <c r="H2309" s="24"/>
      <c r="I2309" s="20" t="str">
        <f aca="false">IF(B2309="","",IF(G2309&lt;&gt;"",G2309,E2309))</f>
        <v/>
      </c>
      <c r="J2309" s="21" t="str">
        <f aca="false">IF(B2309="","",IF(H2309&lt;&gt;"",H2309,F2309))</f>
        <v/>
      </c>
      <c r="K2309" s="26" t="str">
        <f aca="false">IF(A2309="","",DATE(YEAR(A2309),MONTH(A2309),1))</f>
        <v/>
      </c>
      <c r="L2309" s="21" t="str">
        <f aca="false">IF(J2309="",IF(B2309="","",IF(N(C2309)&gt;=0,"Income","Expense")),IFERROR(INDEX(Lists!$B$2:$B$30,MATCH(J2309,Lists!$A$2:$A$30,0)),""))</f>
        <v/>
      </c>
      <c r="M2309" s="24"/>
      <c r="N2309" s="27" t="str">
        <f aca="false">IF(B2309="","",IFERROR(1000-SUMPRODUCT(MAX(ISNUMBER(SEARCH(Rules!$A$5:$A$204,B2309))*(Rules!$A$5:$A$204&lt;&gt;"")*(1000-ROW(Rules!$A$5:$A$204)))),""))</f>
        <v/>
      </c>
    </row>
    <row r="2310" customFormat="false" ht="15" hidden="false" customHeight="false" outlineLevel="0" collapsed="false">
      <c r="A2310" s="23"/>
      <c r="B2310" s="24"/>
      <c r="C2310" s="25"/>
      <c r="D2310" s="24"/>
      <c r="E2310" s="21" t="str">
        <f aca="false">IF(OR(B2310="",N(N2310)=0,N2310=1000),IF(B2310="","","Check"),INDEX(Rules!$B:$B,N2310))</f>
        <v/>
      </c>
      <c r="F2310" s="21" t="str">
        <f aca="false">IF(OR(B2310="",N(N2310)=0,N2310=1000),"",INDEX(Rules!$C:$C,N2310))</f>
        <v/>
      </c>
      <c r="G2310" s="24"/>
      <c r="H2310" s="24"/>
      <c r="I2310" s="20" t="str">
        <f aca="false">IF(B2310="","",IF(G2310&lt;&gt;"",G2310,E2310))</f>
        <v/>
      </c>
      <c r="J2310" s="21" t="str">
        <f aca="false">IF(B2310="","",IF(H2310&lt;&gt;"",H2310,F2310))</f>
        <v/>
      </c>
      <c r="K2310" s="26" t="str">
        <f aca="false">IF(A2310="","",DATE(YEAR(A2310),MONTH(A2310),1))</f>
        <v/>
      </c>
      <c r="L2310" s="21" t="str">
        <f aca="false">IF(J2310="",IF(B2310="","",IF(N(C2310)&gt;=0,"Income","Expense")),IFERROR(INDEX(Lists!$B$2:$B$30,MATCH(J2310,Lists!$A$2:$A$30,0)),""))</f>
        <v/>
      </c>
      <c r="M2310" s="24"/>
      <c r="N2310" s="27" t="str">
        <f aca="false">IF(B2310="","",IFERROR(1000-SUMPRODUCT(MAX(ISNUMBER(SEARCH(Rules!$A$5:$A$204,B2310))*(Rules!$A$5:$A$204&lt;&gt;"")*(1000-ROW(Rules!$A$5:$A$204)))),""))</f>
        <v/>
      </c>
    </row>
    <row r="2311" customFormat="false" ht="15" hidden="false" customHeight="false" outlineLevel="0" collapsed="false">
      <c r="A2311" s="23"/>
      <c r="B2311" s="24"/>
      <c r="C2311" s="25"/>
      <c r="D2311" s="24"/>
      <c r="E2311" s="21" t="str">
        <f aca="false">IF(OR(B2311="",N(N2311)=0,N2311=1000),IF(B2311="","","Check"),INDEX(Rules!$B:$B,N2311))</f>
        <v/>
      </c>
      <c r="F2311" s="21" t="str">
        <f aca="false">IF(OR(B2311="",N(N2311)=0,N2311=1000),"",INDEX(Rules!$C:$C,N2311))</f>
        <v/>
      </c>
      <c r="G2311" s="24"/>
      <c r="H2311" s="24"/>
      <c r="I2311" s="20" t="str">
        <f aca="false">IF(B2311="","",IF(G2311&lt;&gt;"",G2311,E2311))</f>
        <v/>
      </c>
      <c r="J2311" s="21" t="str">
        <f aca="false">IF(B2311="","",IF(H2311&lt;&gt;"",H2311,F2311))</f>
        <v/>
      </c>
      <c r="K2311" s="26" t="str">
        <f aca="false">IF(A2311="","",DATE(YEAR(A2311),MONTH(A2311),1))</f>
        <v/>
      </c>
      <c r="L2311" s="21" t="str">
        <f aca="false">IF(J2311="",IF(B2311="","",IF(N(C2311)&gt;=0,"Income","Expense")),IFERROR(INDEX(Lists!$B$2:$B$30,MATCH(J2311,Lists!$A$2:$A$30,0)),""))</f>
        <v/>
      </c>
      <c r="M2311" s="24"/>
      <c r="N2311" s="27" t="str">
        <f aca="false">IF(B2311="","",IFERROR(1000-SUMPRODUCT(MAX(ISNUMBER(SEARCH(Rules!$A$5:$A$204,B2311))*(Rules!$A$5:$A$204&lt;&gt;"")*(1000-ROW(Rules!$A$5:$A$204)))),""))</f>
        <v/>
      </c>
    </row>
    <row r="2312" customFormat="false" ht="15" hidden="false" customHeight="false" outlineLevel="0" collapsed="false">
      <c r="A2312" s="23"/>
      <c r="B2312" s="24"/>
      <c r="C2312" s="25"/>
      <c r="D2312" s="24"/>
      <c r="E2312" s="21" t="str">
        <f aca="false">IF(OR(B2312="",N(N2312)=0,N2312=1000),IF(B2312="","","Check"),INDEX(Rules!$B:$B,N2312))</f>
        <v/>
      </c>
      <c r="F2312" s="21" t="str">
        <f aca="false">IF(OR(B2312="",N(N2312)=0,N2312=1000),"",INDEX(Rules!$C:$C,N2312))</f>
        <v/>
      </c>
      <c r="G2312" s="24"/>
      <c r="H2312" s="24"/>
      <c r="I2312" s="20" t="str">
        <f aca="false">IF(B2312="","",IF(G2312&lt;&gt;"",G2312,E2312))</f>
        <v/>
      </c>
      <c r="J2312" s="21" t="str">
        <f aca="false">IF(B2312="","",IF(H2312&lt;&gt;"",H2312,F2312))</f>
        <v/>
      </c>
      <c r="K2312" s="26" t="str">
        <f aca="false">IF(A2312="","",DATE(YEAR(A2312),MONTH(A2312),1))</f>
        <v/>
      </c>
      <c r="L2312" s="21" t="str">
        <f aca="false">IF(J2312="",IF(B2312="","",IF(N(C2312)&gt;=0,"Income","Expense")),IFERROR(INDEX(Lists!$B$2:$B$30,MATCH(J2312,Lists!$A$2:$A$30,0)),""))</f>
        <v/>
      </c>
      <c r="M2312" s="24"/>
      <c r="N2312" s="27" t="str">
        <f aca="false">IF(B2312="","",IFERROR(1000-SUMPRODUCT(MAX(ISNUMBER(SEARCH(Rules!$A$5:$A$204,B2312))*(Rules!$A$5:$A$204&lt;&gt;"")*(1000-ROW(Rules!$A$5:$A$204)))),""))</f>
        <v/>
      </c>
    </row>
    <row r="2313" customFormat="false" ht="15" hidden="false" customHeight="false" outlineLevel="0" collapsed="false">
      <c r="A2313" s="23"/>
      <c r="B2313" s="24"/>
      <c r="C2313" s="25"/>
      <c r="D2313" s="24"/>
      <c r="E2313" s="21" t="str">
        <f aca="false">IF(OR(B2313="",N(N2313)=0,N2313=1000),IF(B2313="","","Check"),INDEX(Rules!$B:$B,N2313))</f>
        <v/>
      </c>
      <c r="F2313" s="21" t="str">
        <f aca="false">IF(OR(B2313="",N(N2313)=0,N2313=1000),"",INDEX(Rules!$C:$C,N2313))</f>
        <v/>
      </c>
      <c r="G2313" s="24"/>
      <c r="H2313" s="24"/>
      <c r="I2313" s="20" t="str">
        <f aca="false">IF(B2313="","",IF(G2313&lt;&gt;"",G2313,E2313))</f>
        <v/>
      </c>
      <c r="J2313" s="21" t="str">
        <f aca="false">IF(B2313="","",IF(H2313&lt;&gt;"",H2313,F2313))</f>
        <v/>
      </c>
      <c r="K2313" s="26" t="str">
        <f aca="false">IF(A2313="","",DATE(YEAR(A2313),MONTH(A2313),1))</f>
        <v/>
      </c>
      <c r="L2313" s="21" t="str">
        <f aca="false">IF(J2313="",IF(B2313="","",IF(N(C2313)&gt;=0,"Income","Expense")),IFERROR(INDEX(Lists!$B$2:$B$30,MATCH(J2313,Lists!$A$2:$A$30,0)),""))</f>
        <v/>
      </c>
      <c r="M2313" s="24"/>
      <c r="N2313" s="27" t="str">
        <f aca="false">IF(B2313="","",IFERROR(1000-SUMPRODUCT(MAX(ISNUMBER(SEARCH(Rules!$A$5:$A$204,B2313))*(Rules!$A$5:$A$204&lt;&gt;"")*(1000-ROW(Rules!$A$5:$A$204)))),""))</f>
        <v/>
      </c>
    </row>
    <row r="2314" customFormat="false" ht="15" hidden="false" customHeight="false" outlineLevel="0" collapsed="false">
      <c r="A2314" s="23"/>
      <c r="B2314" s="24"/>
      <c r="C2314" s="25"/>
      <c r="D2314" s="24"/>
      <c r="E2314" s="21" t="str">
        <f aca="false">IF(OR(B2314="",N(N2314)=0,N2314=1000),IF(B2314="","","Check"),INDEX(Rules!$B:$B,N2314))</f>
        <v/>
      </c>
      <c r="F2314" s="21" t="str">
        <f aca="false">IF(OR(B2314="",N(N2314)=0,N2314=1000),"",INDEX(Rules!$C:$C,N2314))</f>
        <v/>
      </c>
      <c r="G2314" s="24"/>
      <c r="H2314" s="24"/>
      <c r="I2314" s="20" t="str">
        <f aca="false">IF(B2314="","",IF(G2314&lt;&gt;"",G2314,E2314))</f>
        <v/>
      </c>
      <c r="J2314" s="21" t="str">
        <f aca="false">IF(B2314="","",IF(H2314&lt;&gt;"",H2314,F2314))</f>
        <v/>
      </c>
      <c r="K2314" s="26" t="str">
        <f aca="false">IF(A2314="","",DATE(YEAR(A2314),MONTH(A2314),1))</f>
        <v/>
      </c>
      <c r="L2314" s="21" t="str">
        <f aca="false">IF(J2314="",IF(B2314="","",IF(N(C2314)&gt;=0,"Income","Expense")),IFERROR(INDEX(Lists!$B$2:$B$30,MATCH(J2314,Lists!$A$2:$A$30,0)),""))</f>
        <v/>
      </c>
      <c r="M2314" s="24"/>
      <c r="N2314" s="27" t="str">
        <f aca="false">IF(B2314="","",IFERROR(1000-SUMPRODUCT(MAX(ISNUMBER(SEARCH(Rules!$A$5:$A$204,B2314))*(Rules!$A$5:$A$204&lt;&gt;"")*(1000-ROW(Rules!$A$5:$A$204)))),""))</f>
        <v/>
      </c>
    </row>
    <row r="2315" customFormat="false" ht="15" hidden="false" customHeight="false" outlineLevel="0" collapsed="false">
      <c r="A2315" s="23"/>
      <c r="B2315" s="24"/>
      <c r="C2315" s="25"/>
      <c r="D2315" s="24"/>
      <c r="E2315" s="21" t="str">
        <f aca="false">IF(OR(B2315="",N(N2315)=0,N2315=1000),IF(B2315="","","Check"),INDEX(Rules!$B:$B,N2315))</f>
        <v/>
      </c>
      <c r="F2315" s="21" t="str">
        <f aca="false">IF(OR(B2315="",N(N2315)=0,N2315=1000),"",INDEX(Rules!$C:$C,N2315))</f>
        <v/>
      </c>
      <c r="G2315" s="24"/>
      <c r="H2315" s="24"/>
      <c r="I2315" s="20" t="str">
        <f aca="false">IF(B2315="","",IF(G2315&lt;&gt;"",G2315,E2315))</f>
        <v/>
      </c>
      <c r="J2315" s="21" t="str">
        <f aca="false">IF(B2315="","",IF(H2315&lt;&gt;"",H2315,F2315))</f>
        <v/>
      </c>
      <c r="K2315" s="26" t="str">
        <f aca="false">IF(A2315="","",DATE(YEAR(A2315),MONTH(A2315),1))</f>
        <v/>
      </c>
      <c r="L2315" s="21" t="str">
        <f aca="false">IF(J2315="",IF(B2315="","",IF(N(C2315)&gt;=0,"Income","Expense")),IFERROR(INDEX(Lists!$B$2:$B$30,MATCH(J2315,Lists!$A$2:$A$30,0)),""))</f>
        <v/>
      </c>
      <c r="M2315" s="24"/>
      <c r="N2315" s="27" t="str">
        <f aca="false">IF(B2315="","",IFERROR(1000-SUMPRODUCT(MAX(ISNUMBER(SEARCH(Rules!$A$5:$A$204,B2315))*(Rules!$A$5:$A$204&lt;&gt;"")*(1000-ROW(Rules!$A$5:$A$204)))),""))</f>
        <v/>
      </c>
    </row>
    <row r="2316" customFormat="false" ht="15" hidden="false" customHeight="false" outlineLevel="0" collapsed="false">
      <c r="A2316" s="23"/>
      <c r="B2316" s="24"/>
      <c r="C2316" s="25"/>
      <c r="D2316" s="24"/>
      <c r="E2316" s="21" t="str">
        <f aca="false">IF(OR(B2316="",N(N2316)=0,N2316=1000),IF(B2316="","","Check"),INDEX(Rules!$B:$B,N2316))</f>
        <v/>
      </c>
      <c r="F2316" s="21" t="str">
        <f aca="false">IF(OR(B2316="",N(N2316)=0,N2316=1000),"",INDEX(Rules!$C:$C,N2316))</f>
        <v/>
      </c>
      <c r="G2316" s="24"/>
      <c r="H2316" s="24"/>
      <c r="I2316" s="20" t="str">
        <f aca="false">IF(B2316="","",IF(G2316&lt;&gt;"",G2316,E2316))</f>
        <v/>
      </c>
      <c r="J2316" s="21" t="str">
        <f aca="false">IF(B2316="","",IF(H2316&lt;&gt;"",H2316,F2316))</f>
        <v/>
      </c>
      <c r="K2316" s="26" t="str">
        <f aca="false">IF(A2316="","",DATE(YEAR(A2316),MONTH(A2316),1))</f>
        <v/>
      </c>
      <c r="L2316" s="21" t="str">
        <f aca="false">IF(J2316="",IF(B2316="","",IF(N(C2316)&gt;=0,"Income","Expense")),IFERROR(INDEX(Lists!$B$2:$B$30,MATCH(J2316,Lists!$A$2:$A$30,0)),""))</f>
        <v/>
      </c>
      <c r="M2316" s="24"/>
      <c r="N2316" s="27" t="str">
        <f aca="false">IF(B2316="","",IFERROR(1000-SUMPRODUCT(MAX(ISNUMBER(SEARCH(Rules!$A$5:$A$204,B2316))*(Rules!$A$5:$A$204&lt;&gt;"")*(1000-ROW(Rules!$A$5:$A$204)))),""))</f>
        <v/>
      </c>
    </row>
    <row r="2317" customFormat="false" ht="15" hidden="false" customHeight="false" outlineLevel="0" collapsed="false">
      <c r="A2317" s="23"/>
      <c r="B2317" s="24"/>
      <c r="C2317" s="25"/>
      <c r="D2317" s="24"/>
      <c r="E2317" s="21" t="str">
        <f aca="false">IF(OR(B2317="",N(N2317)=0,N2317=1000),IF(B2317="","","Check"),INDEX(Rules!$B:$B,N2317))</f>
        <v/>
      </c>
      <c r="F2317" s="21" t="str">
        <f aca="false">IF(OR(B2317="",N(N2317)=0,N2317=1000),"",INDEX(Rules!$C:$C,N2317))</f>
        <v/>
      </c>
      <c r="G2317" s="24"/>
      <c r="H2317" s="24"/>
      <c r="I2317" s="20" t="str">
        <f aca="false">IF(B2317="","",IF(G2317&lt;&gt;"",G2317,E2317))</f>
        <v/>
      </c>
      <c r="J2317" s="21" t="str">
        <f aca="false">IF(B2317="","",IF(H2317&lt;&gt;"",H2317,F2317))</f>
        <v/>
      </c>
      <c r="K2317" s="26" t="str">
        <f aca="false">IF(A2317="","",DATE(YEAR(A2317),MONTH(A2317),1))</f>
        <v/>
      </c>
      <c r="L2317" s="21" t="str">
        <f aca="false">IF(J2317="",IF(B2317="","",IF(N(C2317)&gt;=0,"Income","Expense")),IFERROR(INDEX(Lists!$B$2:$B$30,MATCH(J2317,Lists!$A$2:$A$30,0)),""))</f>
        <v/>
      </c>
      <c r="M2317" s="24"/>
      <c r="N2317" s="27" t="str">
        <f aca="false">IF(B2317="","",IFERROR(1000-SUMPRODUCT(MAX(ISNUMBER(SEARCH(Rules!$A$5:$A$204,B2317))*(Rules!$A$5:$A$204&lt;&gt;"")*(1000-ROW(Rules!$A$5:$A$204)))),""))</f>
        <v/>
      </c>
    </row>
    <row r="2318" customFormat="false" ht="15" hidden="false" customHeight="false" outlineLevel="0" collapsed="false">
      <c r="A2318" s="23"/>
      <c r="B2318" s="24"/>
      <c r="C2318" s="25"/>
      <c r="D2318" s="24"/>
      <c r="E2318" s="21" t="str">
        <f aca="false">IF(OR(B2318="",N(N2318)=0,N2318=1000),IF(B2318="","","Check"),INDEX(Rules!$B:$B,N2318))</f>
        <v/>
      </c>
      <c r="F2318" s="21" t="str">
        <f aca="false">IF(OR(B2318="",N(N2318)=0,N2318=1000),"",INDEX(Rules!$C:$C,N2318))</f>
        <v/>
      </c>
      <c r="G2318" s="24"/>
      <c r="H2318" s="24"/>
      <c r="I2318" s="20" t="str">
        <f aca="false">IF(B2318="","",IF(G2318&lt;&gt;"",G2318,E2318))</f>
        <v/>
      </c>
      <c r="J2318" s="21" t="str">
        <f aca="false">IF(B2318="","",IF(H2318&lt;&gt;"",H2318,F2318))</f>
        <v/>
      </c>
      <c r="K2318" s="26" t="str">
        <f aca="false">IF(A2318="","",DATE(YEAR(A2318),MONTH(A2318),1))</f>
        <v/>
      </c>
      <c r="L2318" s="21" t="str">
        <f aca="false">IF(J2318="",IF(B2318="","",IF(N(C2318)&gt;=0,"Income","Expense")),IFERROR(INDEX(Lists!$B$2:$B$30,MATCH(J2318,Lists!$A$2:$A$30,0)),""))</f>
        <v/>
      </c>
      <c r="M2318" s="24"/>
      <c r="N2318" s="27" t="str">
        <f aca="false">IF(B2318="","",IFERROR(1000-SUMPRODUCT(MAX(ISNUMBER(SEARCH(Rules!$A$5:$A$204,B2318))*(Rules!$A$5:$A$204&lt;&gt;"")*(1000-ROW(Rules!$A$5:$A$204)))),""))</f>
        <v/>
      </c>
    </row>
    <row r="2319" customFormat="false" ht="15" hidden="false" customHeight="false" outlineLevel="0" collapsed="false">
      <c r="A2319" s="23"/>
      <c r="B2319" s="24"/>
      <c r="C2319" s="25"/>
      <c r="D2319" s="24"/>
      <c r="E2319" s="21" t="str">
        <f aca="false">IF(OR(B2319="",N(N2319)=0,N2319=1000),IF(B2319="","","Check"),INDEX(Rules!$B:$B,N2319))</f>
        <v/>
      </c>
      <c r="F2319" s="21" t="str">
        <f aca="false">IF(OR(B2319="",N(N2319)=0,N2319=1000),"",INDEX(Rules!$C:$C,N2319))</f>
        <v/>
      </c>
      <c r="G2319" s="24"/>
      <c r="H2319" s="24"/>
      <c r="I2319" s="20" t="str">
        <f aca="false">IF(B2319="","",IF(G2319&lt;&gt;"",G2319,E2319))</f>
        <v/>
      </c>
      <c r="J2319" s="21" t="str">
        <f aca="false">IF(B2319="","",IF(H2319&lt;&gt;"",H2319,F2319))</f>
        <v/>
      </c>
      <c r="K2319" s="26" t="str">
        <f aca="false">IF(A2319="","",DATE(YEAR(A2319),MONTH(A2319),1))</f>
        <v/>
      </c>
      <c r="L2319" s="21" t="str">
        <f aca="false">IF(J2319="",IF(B2319="","",IF(N(C2319)&gt;=0,"Income","Expense")),IFERROR(INDEX(Lists!$B$2:$B$30,MATCH(J2319,Lists!$A$2:$A$30,0)),""))</f>
        <v/>
      </c>
      <c r="M2319" s="24"/>
      <c r="N2319" s="27" t="str">
        <f aca="false">IF(B2319="","",IFERROR(1000-SUMPRODUCT(MAX(ISNUMBER(SEARCH(Rules!$A$5:$A$204,B2319))*(Rules!$A$5:$A$204&lt;&gt;"")*(1000-ROW(Rules!$A$5:$A$204)))),""))</f>
        <v/>
      </c>
    </row>
    <row r="2320" customFormat="false" ht="15" hidden="false" customHeight="false" outlineLevel="0" collapsed="false">
      <c r="A2320" s="23"/>
      <c r="B2320" s="24"/>
      <c r="C2320" s="25"/>
      <c r="D2320" s="24"/>
      <c r="E2320" s="21" t="str">
        <f aca="false">IF(OR(B2320="",N(N2320)=0,N2320=1000),IF(B2320="","","Check"),INDEX(Rules!$B:$B,N2320))</f>
        <v/>
      </c>
      <c r="F2320" s="21" t="str">
        <f aca="false">IF(OR(B2320="",N(N2320)=0,N2320=1000),"",INDEX(Rules!$C:$C,N2320))</f>
        <v/>
      </c>
      <c r="G2320" s="24"/>
      <c r="H2320" s="24"/>
      <c r="I2320" s="20" t="str">
        <f aca="false">IF(B2320="","",IF(G2320&lt;&gt;"",G2320,E2320))</f>
        <v/>
      </c>
      <c r="J2320" s="21" t="str">
        <f aca="false">IF(B2320="","",IF(H2320&lt;&gt;"",H2320,F2320))</f>
        <v/>
      </c>
      <c r="K2320" s="26" t="str">
        <f aca="false">IF(A2320="","",DATE(YEAR(A2320),MONTH(A2320),1))</f>
        <v/>
      </c>
      <c r="L2320" s="21" t="str">
        <f aca="false">IF(J2320="",IF(B2320="","",IF(N(C2320)&gt;=0,"Income","Expense")),IFERROR(INDEX(Lists!$B$2:$B$30,MATCH(J2320,Lists!$A$2:$A$30,0)),""))</f>
        <v/>
      </c>
      <c r="M2320" s="24"/>
      <c r="N2320" s="27" t="str">
        <f aca="false">IF(B2320="","",IFERROR(1000-SUMPRODUCT(MAX(ISNUMBER(SEARCH(Rules!$A$5:$A$204,B2320))*(Rules!$A$5:$A$204&lt;&gt;"")*(1000-ROW(Rules!$A$5:$A$204)))),""))</f>
        <v/>
      </c>
    </row>
    <row r="2321" customFormat="false" ht="15" hidden="false" customHeight="false" outlineLevel="0" collapsed="false">
      <c r="A2321" s="23"/>
      <c r="B2321" s="24"/>
      <c r="C2321" s="25"/>
      <c r="D2321" s="24"/>
      <c r="E2321" s="21" t="str">
        <f aca="false">IF(OR(B2321="",N(N2321)=0,N2321=1000),IF(B2321="","","Check"),INDEX(Rules!$B:$B,N2321))</f>
        <v/>
      </c>
      <c r="F2321" s="21" t="str">
        <f aca="false">IF(OR(B2321="",N(N2321)=0,N2321=1000),"",INDEX(Rules!$C:$C,N2321))</f>
        <v/>
      </c>
      <c r="G2321" s="24"/>
      <c r="H2321" s="24"/>
      <c r="I2321" s="20" t="str">
        <f aca="false">IF(B2321="","",IF(G2321&lt;&gt;"",G2321,E2321))</f>
        <v/>
      </c>
      <c r="J2321" s="21" t="str">
        <f aca="false">IF(B2321="","",IF(H2321&lt;&gt;"",H2321,F2321))</f>
        <v/>
      </c>
      <c r="K2321" s="26" t="str">
        <f aca="false">IF(A2321="","",DATE(YEAR(A2321),MONTH(A2321),1))</f>
        <v/>
      </c>
      <c r="L2321" s="21" t="str">
        <f aca="false">IF(J2321="",IF(B2321="","",IF(N(C2321)&gt;=0,"Income","Expense")),IFERROR(INDEX(Lists!$B$2:$B$30,MATCH(J2321,Lists!$A$2:$A$30,0)),""))</f>
        <v/>
      </c>
      <c r="M2321" s="24"/>
      <c r="N2321" s="27" t="str">
        <f aca="false">IF(B2321="","",IFERROR(1000-SUMPRODUCT(MAX(ISNUMBER(SEARCH(Rules!$A$5:$A$204,B2321))*(Rules!$A$5:$A$204&lt;&gt;"")*(1000-ROW(Rules!$A$5:$A$204)))),""))</f>
        <v/>
      </c>
    </row>
    <row r="2322" customFormat="false" ht="15" hidden="false" customHeight="false" outlineLevel="0" collapsed="false">
      <c r="A2322" s="23"/>
      <c r="B2322" s="24"/>
      <c r="C2322" s="25"/>
      <c r="D2322" s="24"/>
      <c r="E2322" s="21" t="str">
        <f aca="false">IF(OR(B2322="",N(N2322)=0,N2322=1000),IF(B2322="","","Check"),INDEX(Rules!$B:$B,N2322))</f>
        <v/>
      </c>
      <c r="F2322" s="21" t="str">
        <f aca="false">IF(OR(B2322="",N(N2322)=0,N2322=1000),"",INDEX(Rules!$C:$C,N2322))</f>
        <v/>
      </c>
      <c r="G2322" s="24"/>
      <c r="H2322" s="24"/>
      <c r="I2322" s="20" t="str">
        <f aca="false">IF(B2322="","",IF(G2322&lt;&gt;"",G2322,E2322))</f>
        <v/>
      </c>
      <c r="J2322" s="21" t="str">
        <f aca="false">IF(B2322="","",IF(H2322&lt;&gt;"",H2322,F2322))</f>
        <v/>
      </c>
      <c r="K2322" s="26" t="str">
        <f aca="false">IF(A2322="","",DATE(YEAR(A2322),MONTH(A2322),1))</f>
        <v/>
      </c>
      <c r="L2322" s="21" t="str">
        <f aca="false">IF(J2322="",IF(B2322="","",IF(N(C2322)&gt;=0,"Income","Expense")),IFERROR(INDEX(Lists!$B$2:$B$30,MATCH(J2322,Lists!$A$2:$A$30,0)),""))</f>
        <v/>
      </c>
      <c r="M2322" s="24"/>
      <c r="N2322" s="27" t="str">
        <f aca="false">IF(B2322="","",IFERROR(1000-SUMPRODUCT(MAX(ISNUMBER(SEARCH(Rules!$A$5:$A$204,B2322))*(Rules!$A$5:$A$204&lt;&gt;"")*(1000-ROW(Rules!$A$5:$A$204)))),""))</f>
        <v/>
      </c>
    </row>
    <row r="2323" customFormat="false" ht="15" hidden="false" customHeight="false" outlineLevel="0" collapsed="false">
      <c r="A2323" s="23"/>
      <c r="B2323" s="24"/>
      <c r="C2323" s="25"/>
      <c r="D2323" s="24"/>
      <c r="E2323" s="21" t="str">
        <f aca="false">IF(OR(B2323="",N(N2323)=0,N2323=1000),IF(B2323="","","Check"),INDEX(Rules!$B:$B,N2323))</f>
        <v/>
      </c>
      <c r="F2323" s="21" t="str">
        <f aca="false">IF(OR(B2323="",N(N2323)=0,N2323=1000),"",INDEX(Rules!$C:$C,N2323))</f>
        <v/>
      </c>
      <c r="G2323" s="24"/>
      <c r="H2323" s="24"/>
      <c r="I2323" s="20" t="str">
        <f aca="false">IF(B2323="","",IF(G2323&lt;&gt;"",G2323,E2323))</f>
        <v/>
      </c>
      <c r="J2323" s="21" t="str">
        <f aca="false">IF(B2323="","",IF(H2323&lt;&gt;"",H2323,F2323))</f>
        <v/>
      </c>
      <c r="K2323" s="26" t="str">
        <f aca="false">IF(A2323="","",DATE(YEAR(A2323),MONTH(A2323),1))</f>
        <v/>
      </c>
      <c r="L2323" s="21" t="str">
        <f aca="false">IF(J2323="",IF(B2323="","",IF(N(C2323)&gt;=0,"Income","Expense")),IFERROR(INDEX(Lists!$B$2:$B$30,MATCH(J2323,Lists!$A$2:$A$30,0)),""))</f>
        <v/>
      </c>
      <c r="M2323" s="24"/>
      <c r="N2323" s="27" t="str">
        <f aca="false">IF(B2323="","",IFERROR(1000-SUMPRODUCT(MAX(ISNUMBER(SEARCH(Rules!$A$5:$A$204,B2323))*(Rules!$A$5:$A$204&lt;&gt;"")*(1000-ROW(Rules!$A$5:$A$204)))),""))</f>
        <v/>
      </c>
    </row>
    <row r="2324" customFormat="false" ht="15" hidden="false" customHeight="false" outlineLevel="0" collapsed="false">
      <c r="A2324" s="23"/>
      <c r="B2324" s="24"/>
      <c r="C2324" s="25"/>
      <c r="D2324" s="24"/>
      <c r="E2324" s="21" t="str">
        <f aca="false">IF(OR(B2324="",N(N2324)=0,N2324=1000),IF(B2324="","","Check"),INDEX(Rules!$B:$B,N2324))</f>
        <v/>
      </c>
      <c r="F2324" s="21" t="str">
        <f aca="false">IF(OR(B2324="",N(N2324)=0,N2324=1000),"",INDEX(Rules!$C:$C,N2324))</f>
        <v/>
      </c>
      <c r="G2324" s="24"/>
      <c r="H2324" s="24"/>
      <c r="I2324" s="20" t="str">
        <f aca="false">IF(B2324="","",IF(G2324&lt;&gt;"",G2324,E2324))</f>
        <v/>
      </c>
      <c r="J2324" s="21" t="str">
        <f aca="false">IF(B2324="","",IF(H2324&lt;&gt;"",H2324,F2324))</f>
        <v/>
      </c>
      <c r="K2324" s="26" t="str">
        <f aca="false">IF(A2324="","",DATE(YEAR(A2324),MONTH(A2324),1))</f>
        <v/>
      </c>
      <c r="L2324" s="21" t="str">
        <f aca="false">IF(J2324="",IF(B2324="","",IF(N(C2324)&gt;=0,"Income","Expense")),IFERROR(INDEX(Lists!$B$2:$B$30,MATCH(J2324,Lists!$A$2:$A$30,0)),""))</f>
        <v/>
      </c>
      <c r="M2324" s="24"/>
      <c r="N2324" s="27" t="str">
        <f aca="false">IF(B2324="","",IFERROR(1000-SUMPRODUCT(MAX(ISNUMBER(SEARCH(Rules!$A$5:$A$204,B2324))*(Rules!$A$5:$A$204&lt;&gt;"")*(1000-ROW(Rules!$A$5:$A$204)))),""))</f>
        <v/>
      </c>
    </row>
    <row r="2325" customFormat="false" ht="15" hidden="false" customHeight="false" outlineLevel="0" collapsed="false">
      <c r="A2325" s="23"/>
      <c r="B2325" s="24"/>
      <c r="C2325" s="25"/>
      <c r="D2325" s="24"/>
      <c r="E2325" s="21" t="str">
        <f aca="false">IF(OR(B2325="",N(N2325)=0,N2325=1000),IF(B2325="","","Check"),INDEX(Rules!$B:$B,N2325))</f>
        <v/>
      </c>
      <c r="F2325" s="21" t="str">
        <f aca="false">IF(OR(B2325="",N(N2325)=0,N2325=1000),"",INDEX(Rules!$C:$C,N2325))</f>
        <v/>
      </c>
      <c r="G2325" s="24"/>
      <c r="H2325" s="24"/>
      <c r="I2325" s="20" t="str">
        <f aca="false">IF(B2325="","",IF(G2325&lt;&gt;"",G2325,E2325))</f>
        <v/>
      </c>
      <c r="J2325" s="21" t="str">
        <f aca="false">IF(B2325="","",IF(H2325&lt;&gt;"",H2325,F2325))</f>
        <v/>
      </c>
      <c r="K2325" s="26" t="str">
        <f aca="false">IF(A2325="","",DATE(YEAR(A2325),MONTH(A2325),1))</f>
        <v/>
      </c>
      <c r="L2325" s="21" t="str">
        <f aca="false">IF(J2325="",IF(B2325="","",IF(N(C2325)&gt;=0,"Income","Expense")),IFERROR(INDEX(Lists!$B$2:$B$30,MATCH(J2325,Lists!$A$2:$A$30,0)),""))</f>
        <v/>
      </c>
      <c r="M2325" s="24"/>
      <c r="N2325" s="27" t="str">
        <f aca="false">IF(B2325="","",IFERROR(1000-SUMPRODUCT(MAX(ISNUMBER(SEARCH(Rules!$A$5:$A$204,B2325))*(Rules!$A$5:$A$204&lt;&gt;"")*(1000-ROW(Rules!$A$5:$A$204)))),""))</f>
        <v/>
      </c>
    </row>
    <row r="2326" customFormat="false" ht="15" hidden="false" customHeight="false" outlineLevel="0" collapsed="false">
      <c r="A2326" s="23"/>
      <c r="B2326" s="24"/>
      <c r="C2326" s="25"/>
      <c r="D2326" s="24"/>
      <c r="E2326" s="21" t="str">
        <f aca="false">IF(OR(B2326="",N(N2326)=0,N2326=1000),IF(B2326="","","Check"),INDEX(Rules!$B:$B,N2326))</f>
        <v/>
      </c>
      <c r="F2326" s="21" t="str">
        <f aca="false">IF(OR(B2326="",N(N2326)=0,N2326=1000),"",INDEX(Rules!$C:$C,N2326))</f>
        <v/>
      </c>
      <c r="G2326" s="24"/>
      <c r="H2326" s="24"/>
      <c r="I2326" s="20" t="str">
        <f aca="false">IF(B2326="","",IF(G2326&lt;&gt;"",G2326,E2326))</f>
        <v/>
      </c>
      <c r="J2326" s="21" t="str">
        <f aca="false">IF(B2326="","",IF(H2326&lt;&gt;"",H2326,F2326))</f>
        <v/>
      </c>
      <c r="K2326" s="26" t="str">
        <f aca="false">IF(A2326="","",DATE(YEAR(A2326),MONTH(A2326),1))</f>
        <v/>
      </c>
      <c r="L2326" s="21" t="str">
        <f aca="false">IF(J2326="",IF(B2326="","",IF(N(C2326)&gt;=0,"Income","Expense")),IFERROR(INDEX(Lists!$B$2:$B$30,MATCH(J2326,Lists!$A$2:$A$30,0)),""))</f>
        <v/>
      </c>
      <c r="M2326" s="24"/>
      <c r="N2326" s="27" t="str">
        <f aca="false">IF(B2326="","",IFERROR(1000-SUMPRODUCT(MAX(ISNUMBER(SEARCH(Rules!$A$5:$A$204,B2326))*(Rules!$A$5:$A$204&lt;&gt;"")*(1000-ROW(Rules!$A$5:$A$204)))),""))</f>
        <v/>
      </c>
    </row>
    <row r="2327" customFormat="false" ht="15" hidden="false" customHeight="false" outlineLevel="0" collapsed="false">
      <c r="A2327" s="23"/>
      <c r="B2327" s="24"/>
      <c r="C2327" s="25"/>
      <c r="D2327" s="24"/>
      <c r="E2327" s="21" t="str">
        <f aca="false">IF(OR(B2327="",N(N2327)=0,N2327=1000),IF(B2327="","","Check"),INDEX(Rules!$B:$B,N2327))</f>
        <v/>
      </c>
      <c r="F2327" s="21" t="str">
        <f aca="false">IF(OR(B2327="",N(N2327)=0,N2327=1000),"",INDEX(Rules!$C:$C,N2327))</f>
        <v/>
      </c>
      <c r="G2327" s="24"/>
      <c r="H2327" s="24"/>
      <c r="I2327" s="20" t="str">
        <f aca="false">IF(B2327="","",IF(G2327&lt;&gt;"",G2327,E2327))</f>
        <v/>
      </c>
      <c r="J2327" s="21" t="str">
        <f aca="false">IF(B2327="","",IF(H2327&lt;&gt;"",H2327,F2327))</f>
        <v/>
      </c>
      <c r="K2327" s="26" t="str">
        <f aca="false">IF(A2327="","",DATE(YEAR(A2327),MONTH(A2327),1))</f>
        <v/>
      </c>
      <c r="L2327" s="21" t="str">
        <f aca="false">IF(J2327="",IF(B2327="","",IF(N(C2327)&gt;=0,"Income","Expense")),IFERROR(INDEX(Lists!$B$2:$B$30,MATCH(J2327,Lists!$A$2:$A$30,0)),""))</f>
        <v/>
      </c>
      <c r="M2327" s="24"/>
      <c r="N2327" s="27" t="str">
        <f aca="false">IF(B2327="","",IFERROR(1000-SUMPRODUCT(MAX(ISNUMBER(SEARCH(Rules!$A$5:$A$204,B2327))*(Rules!$A$5:$A$204&lt;&gt;"")*(1000-ROW(Rules!$A$5:$A$204)))),""))</f>
        <v/>
      </c>
    </row>
    <row r="2328" customFormat="false" ht="15" hidden="false" customHeight="false" outlineLevel="0" collapsed="false">
      <c r="A2328" s="23"/>
      <c r="B2328" s="24"/>
      <c r="C2328" s="25"/>
      <c r="D2328" s="24"/>
      <c r="E2328" s="21" t="str">
        <f aca="false">IF(OR(B2328="",N(N2328)=0,N2328=1000),IF(B2328="","","Check"),INDEX(Rules!$B:$B,N2328))</f>
        <v/>
      </c>
      <c r="F2328" s="21" t="str">
        <f aca="false">IF(OR(B2328="",N(N2328)=0,N2328=1000),"",INDEX(Rules!$C:$C,N2328))</f>
        <v/>
      </c>
      <c r="G2328" s="24"/>
      <c r="H2328" s="24"/>
      <c r="I2328" s="20" t="str">
        <f aca="false">IF(B2328="","",IF(G2328&lt;&gt;"",G2328,E2328))</f>
        <v/>
      </c>
      <c r="J2328" s="21" t="str">
        <f aca="false">IF(B2328="","",IF(H2328&lt;&gt;"",H2328,F2328))</f>
        <v/>
      </c>
      <c r="K2328" s="26" t="str">
        <f aca="false">IF(A2328="","",DATE(YEAR(A2328),MONTH(A2328),1))</f>
        <v/>
      </c>
      <c r="L2328" s="21" t="str">
        <f aca="false">IF(J2328="",IF(B2328="","",IF(N(C2328)&gt;=0,"Income","Expense")),IFERROR(INDEX(Lists!$B$2:$B$30,MATCH(J2328,Lists!$A$2:$A$30,0)),""))</f>
        <v/>
      </c>
      <c r="M2328" s="24"/>
      <c r="N2328" s="27" t="str">
        <f aca="false">IF(B2328="","",IFERROR(1000-SUMPRODUCT(MAX(ISNUMBER(SEARCH(Rules!$A$5:$A$204,B2328))*(Rules!$A$5:$A$204&lt;&gt;"")*(1000-ROW(Rules!$A$5:$A$204)))),""))</f>
        <v/>
      </c>
    </row>
    <row r="2329" customFormat="false" ht="15" hidden="false" customHeight="false" outlineLevel="0" collapsed="false">
      <c r="A2329" s="23"/>
      <c r="B2329" s="24"/>
      <c r="C2329" s="25"/>
      <c r="D2329" s="24"/>
      <c r="E2329" s="21" t="str">
        <f aca="false">IF(OR(B2329="",N(N2329)=0,N2329=1000),IF(B2329="","","Check"),INDEX(Rules!$B:$B,N2329))</f>
        <v/>
      </c>
      <c r="F2329" s="21" t="str">
        <f aca="false">IF(OR(B2329="",N(N2329)=0,N2329=1000),"",INDEX(Rules!$C:$C,N2329))</f>
        <v/>
      </c>
      <c r="G2329" s="24"/>
      <c r="H2329" s="24"/>
      <c r="I2329" s="20" t="str">
        <f aca="false">IF(B2329="","",IF(G2329&lt;&gt;"",G2329,E2329))</f>
        <v/>
      </c>
      <c r="J2329" s="21" t="str">
        <f aca="false">IF(B2329="","",IF(H2329&lt;&gt;"",H2329,F2329))</f>
        <v/>
      </c>
      <c r="K2329" s="26" t="str">
        <f aca="false">IF(A2329="","",DATE(YEAR(A2329),MONTH(A2329),1))</f>
        <v/>
      </c>
      <c r="L2329" s="21" t="str">
        <f aca="false">IF(J2329="",IF(B2329="","",IF(N(C2329)&gt;=0,"Income","Expense")),IFERROR(INDEX(Lists!$B$2:$B$30,MATCH(J2329,Lists!$A$2:$A$30,0)),""))</f>
        <v/>
      </c>
      <c r="M2329" s="24"/>
      <c r="N2329" s="27" t="str">
        <f aca="false">IF(B2329="","",IFERROR(1000-SUMPRODUCT(MAX(ISNUMBER(SEARCH(Rules!$A$5:$A$204,B2329))*(Rules!$A$5:$A$204&lt;&gt;"")*(1000-ROW(Rules!$A$5:$A$204)))),""))</f>
        <v/>
      </c>
    </row>
    <row r="2330" customFormat="false" ht="15" hidden="false" customHeight="false" outlineLevel="0" collapsed="false">
      <c r="A2330" s="23"/>
      <c r="B2330" s="24"/>
      <c r="C2330" s="25"/>
      <c r="D2330" s="24"/>
      <c r="E2330" s="21" t="str">
        <f aca="false">IF(OR(B2330="",N(N2330)=0,N2330=1000),IF(B2330="","","Check"),INDEX(Rules!$B:$B,N2330))</f>
        <v/>
      </c>
      <c r="F2330" s="21" t="str">
        <f aca="false">IF(OR(B2330="",N(N2330)=0,N2330=1000),"",INDEX(Rules!$C:$C,N2330))</f>
        <v/>
      </c>
      <c r="G2330" s="24"/>
      <c r="H2330" s="24"/>
      <c r="I2330" s="20" t="str">
        <f aca="false">IF(B2330="","",IF(G2330&lt;&gt;"",G2330,E2330))</f>
        <v/>
      </c>
      <c r="J2330" s="21" t="str">
        <f aca="false">IF(B2330="","",IF(H2330&lt;&gt;"",H2330,F2330))</f>
        <v/>
      </c>
      <c r="K2330" s="26" t="str">
        <f aca="false">IF(A2330="","",DATE(YEAR(A2330),MONTH(A2330),1))</f>
        <v/>
      </c>
      <c r="L2330" s="21" t="str">
        <f aca="false">IF(J2330="",IF(B2330="","",IF(N(C2330)&gt;=0,"Income","Expense")),IFERROR(INDEX(Lists!$B$2:$B$30,MATCH(J2330,Lists!$A$2:$A$30,0)),""))</f>
        <v/>
      </c>
      <c r="M2330" s="24"/>
      <c r="N2330" s="27" t="str">
        <f aca="false">IF(B2330="","",IFERROR(1000-SUMPRODUCT(MAX(ISNUMBER(SEARCH(Rules!$A$5:$A$204,B2330))*(Rules!$A$5:$A$204&lt;&gt;"")*(1000-ROW(Rules!$A$5:$A$204)))),""))</f>
        <v/>
      </c>
    </row>
    <row r="2331" customFormat="false" ht="15" hidden="false" customHeight="false" outlineLevel="0" collapsed="false">
      <c r="A2331" s="23"/>
      <c r="B2331" s="24"/>
      <c r="C2331" s="25"/>
      <c r="D2331" s="24"/>
      <c r="E2331" s="21" t="str">
        <f aca="false">IF(OR(B2331="",N(N2331)=0,N2331=1000),IF(B2331="","","Check"),INDEX(Rules!$B:$B,N2331))</f>
        <v/>
      </c>
      <c r="F2331" s="21" t="str">
        <f aca="false">IF(OR(B2331="",N(N2331)=0,N2331=1000),"",INDEX(Rules!$C:$C,N2331))</f>
        <v/>
      </c>
      <c r="G2331" s="24"/>
      <c r="H2331" s="24"/>
      <c r="I2331" s="20" t="str">
        <f aca="false">IF(B2331="","",IF(G2331&lt;&gt;"",G2331,E2331))</f>
        <v/>
      </c>
      <c r="J2331" s="21" t="str">
        <f aca="false">IF(B2331="","",IF(H2331&lt;&gt;"",H2331,F2331))</f>
        <v/>
      </c>
      <c r="K2331" s="26" t="str">
        <f aca="false">IF(A2331="","",DATE(YEAR(A2331),MONTH(A2331),1))</f>
        <v/>
      </c>
      <c r="L2331" s="21" t="str">
        <f aca="false">IF(J2331="",IF(B2331="","",IF(N(C2331)&gt;=0,"Income","Expense")),IFERROR(INDEX(Lists!$B$2:$B$30,MATCH(J2331,Lists!$A$2:$A$30,0)),""))</f>
        <v/>
      </c>
      <c r="M2331" s="24"/>
      <c r="N2331" s="27" t="str">
        <f aca="false">IF(B2331="","",IFERROR(1000-SUMPRODUCT(MAX(ISNUMBER(SEARCH(Rules!$A$5:$A$204,B2331))*(Rules!$A$5:$A$204&lt;&gt;"")*(1000-ROW(Rules!$A$5:$A$204)))),""))</f>
        <v/>
      </c>
    </row>
    <row r="2332" customFormat="false" ht="15" hidden="false" customHeight="false" outlineLevel="0" collapsed="false">
      <c r="A2332" s="23"/>
      <c r="B2332" s="24"/>
      <c r="C2332" s="25"/>
      <c r="D2332" s="24"/>
      <c r="E2332" s="21" t="str">
        <f aca="false">IF(OR(B2332="",N(N2332)=0,N2332=1000),IF(B2332="","","Check"),INDEX(Rules!$B:$B,N2332))</f>
        <v/>
      </c>
      <c r="F2332" s="21" t="str">
        <f aca="false">IF(OR(B2332="",N(N2332)=0,N2332=1000),"",INDEX(Rules!$C:$C,N2332))</f>
        <v/>
      </c>
      <c r="G2332" s="24"/>
      <c r="H2332" s="24"/>
      <c r="I2332" s="20" t="str">
        <f aca="false">IF(B2332="","",IF(G2332&lt;&gt;"",G2332,E2332))</f>
        <v/>
      </c>
      <c r="J2332" s="21" t="str">
        <f aca="false">IF(B2332="","",IF(H2332&lt;&gt;"",H2332,F2332))</f>
        <v/>
      </c>
      <c r="K2332" s="26" t="str">
        <f aca="false">IF(A2332="","",DATE(YEAR(A2332),MONTH(A2332),1))</f>
        <v/>
      </c>
      <c r="L2332" s="21" t="str">
        <f aca="false">IF(J2332="",IF(B2332="","",IF(N(C2332)&gt;=0,"Income","Expense")),IFERROR(INDEX(Lists!$B$2:$B$30,MATCH(J2332,Lists!$A$2:$A$30,0)),""))</f>
        <v/>
      </c>
      <c r="M2332" s="24"/>
      <c r="N2332" s="27" t="str">
        <f aca="false">IF(B2332="","",IFERROR(1000-SUMPRODUCT(MAX(ISNUMBER(SEARCH(Rules!$A$5:$A$204,B2332))*(Rules!$A$5:$A$204&lt;&gt;"")*(1000-ROW(Rules!$A$5:$A$204)))),""))</f>
        <v/>
      </c>
    </row>
    <row r="2333" customFormat="false" ht="15" hidden="false" customHeight="false" outlineLevel="0" collapsed="false">
      <c r="A2333" s="23"/>
      <c r="B2333" s="24"/>
      <c r="C2333" s="25"/>
      <c r="D2333" s="24"/>
      <c r="E2333" s="21" t="str">
        <f aca="false">IF(OR(B2333="",N(N2333)=0,N2333=1000),IF(B2333="","","Check"),INDEX(Rules!$B:$B,N2333))</f>
        <v/>
      </c>
      <c r="F2333" s="21" t="str">
        <f aca="false">IF(OR(B2333="",N(N2333)=0,N2333=1000),"",INDEX(Rules!$C:$C,N2333))</f>
        <v/>
      </c>
      <c r="G2333" s="24"/>
      <c r="H2333" s="24"/>
      <c r="I2333" s="20" t="str">
        <f aca="false">IF(B2333="","",IF(G2333&lt;&gt;"",G2333,E2333))</f>
        <v/>
      </c>
      <c r="J2333" s="21" t="str">
        <f aca="false">IF(B2333="","",IF(H2333&lt;&gt;"",H2333,F2333))</f>
        <v/>
      </c>
      <c r="K2333" s="26" t="str">
        <f aca="false">IF(A2333="","",DATE(YEAR(A2333),MONTH(A2333),1))</f>
        <v/>
      </c>
      <c r="L2333" s="21" t="str">
        <f aca="false">IF(J2333="",IF(B2333="","",IF(N(C2333)&gt;=0,"Income","Expense")),IFERROR(INDEX(Lists!$B$2:$B$30,MATCH(J2333,Lists!$A$2:$A$30,0)),""))</f>
        <v/>
      </c>
      <c r="M2333" s="24"/>
      <c r="N2333" s="27" t="str">
        <f aca="false">IF(B2333="","",IFERROR(1000-SUMPRODUCT(MAX(ISNUMBER(SEARCH(Rules!$A$5:$A$204,B2333))*(Rules!$A$5:$A$204&lt;&gt;"")*(1000-ROW(Rules!$A$5:$A$204)))),""))</f>
        <v/>
      </c>
    </row>
    <row r="2334" customFormat="false" ht="15" hidden="false" customHeight="false" outlineLevel="0" collapsed="false">
      <c r="A2334" s="23"/>
      <c r="B2334" s="24"/>
      <c r="C2334" s="25"/>
      <c r="D2334" s="24"/>
      <c r="E2334" s="21" t="str">
        <f aca="false">IF(OR(B2334="",N(N2334)=0,N2334=1000),IF(B2334="","","Check"),INDEX(Rules!$B:$B,N2334))</f>
        <v/>
      </c>
      <c r="F2334" s="21" t="str">
        <f aca="false">IF(OR(B2334="",N(N2334)=0,N2334=1000),"",INDEX(Rules!$C:$C,N2334))</f>
        <v/>
      </c>
      <c r="G2334" s="24"/>
      <c r="H2334" s="24"/>
      <c r="I2334" s="20" t="str">
        <f aca="false">IF(B2334="","",IF(G2334&lt;&gt;"",G2334,E2334))</f>
        <v/>
      </c>
      <c r="J2334" s="21" t="str">
        <f aca="false">IF(B2334="","",IF(H2334&lt;&gt;"",H2334,F2334))</f>
        <v/>
      </c>
      <c r="K2334" s="26" t="str">
        <f aca="false">IF(A2334="","",DATE(YEAR(A2334),MONTH(A2334),1))</f>
        <v/>
      </c>
      <c r="L2334" s="21" t="str">
        <f aca="false">IF(J2334="",IF(B2334="","",IF(N(C2334)&gt;=0,"Income","Expense")),IFERROR(INDEX(Lists!$B$2:$B$30,MATCH(J2334,Lists!$A$2:$A$30,0)),""))</f>
        <v/>
      </c>
      <c r="M2334" s="24"/>
      <c r="N2334" s="27" t="str">
        <f aca="false">IF(B2334="","",IFERROR(1000-SUMPRODUCT(MAX(ISNUMBER(SEARCH(Rules!$A$5:$A$204,B2334))*(Rules!$A$5:$A$204&lt;&gt;"")*(1000-ROW(Rules!$A$5:$A$204)))),""))</f>
        <v/>
      </c>
    </row>
    <row r="2335" customFormat="false" ht="15" hidden="false" customHeight="false" outlineLevel="0" collapsed="false">
      <c r="A2335" s="23"/>
      <c r="B2335" s="24"/>
      <c r="C2335" s="25"/>
      <c r="D2335" s="24"/>
      <c r="E2335" s="21" t="str">
        <f aca="false">IF(OR(B2335="",N(N2335)=0,N2335=1000),IF(B2335="","","Check"),INDEX(Rules!$B:$B,N2335))</f>
        <v/>
      </c>
      <c r="F2335" s="21" t="str">
        <f aca="false">IF(OR(B2335="",N(N2335)=0,N2335=1000),"",INDEX(Rules!$C:$C,N2335))</f>
        <v/>
      </c>
      <c r="G2335" s="24"/>
      <c r="H2335" s="24"/>
      <c r="I2335" s="20" t="str">
        <f aca="false">IF(B2335="","",IF(G2335&lt;&gt;"",G2335,E2335))</f>
        <v/>
      </c>
      <c r="J2335" s="21" t="str">
        <f aca="false">IF(B2335="","",IF(H2335&lt;&gt;"",H2335,F2335))</f>
        <v/>
      </c>
      <c r="K2335" s="26" t="str">
        <f aca="false">IF(A2335="","",DATE(YEAR(A2335),MONTH(A2335),1))</f>
        <v/>
      </c>
      <c r="L2335" s="21" t="str">
        <f aca="false">IF(J2335="",IF(B2335="","",IF(N(C2335)&gt;=0,"Income","Expense")),IFERROR(INDEX(Lists!$B$2:$B$30,MATCH(J2335,Lists!$A$2:$A$30,0)),""))</f>
        <v/>
      </c>
      <c r="M2335" s="24"/>
      <c r="N2335" s="27" t="str">
        <f aca="false">IF(B2335="","",IFERROR(1000-SUMPRODUCT(MAX(ISNUMBER(SEARCH(Rules!$A$5:$A$204,B2335))*(Rules!$A$5:$A$204&lt;&gt;"")*(1000-ROW(Rules!$A$5:$A$204)))),""))</f>
        <v/>
      </c>
    </row>
    <row r="2336" customFormat="false" ht="15" hidden="false" customHeight="false" outlineLevel="0" collapsed="false">
      <c r="A2336" s="23"/>
      <c r="B2336" s="24"/>
      <c r="C2336" s="25"/>
      <c r="D2336" s="24"/>
      <c r="E2336" s="21" t="str">
        <f aca="false">IF(OR(B2336="",N(N2336)=0,N2336=1000),IF(B2336="","","Check"),INDEX(Rules!$B:$B,N2336))</f>
        <v/>
      </c>
      <c r="F2336" s="21" t="str">
        <f aca="false">IF(OR(B2336="",N(N2336)=0,N2336=1000),"",INDEX(Rules!$C:$C,N2336))</f>
        <v/>
      </c>
      <c r="G2336" s="24"/>
      <c r="H2336" s="24"/>
      <c r="I2336" s="20" t="str">
        <f aca="false">IF(B2336="","",IF(G2336&lt;&gt;"",G2336,E2336))</f>
        <v/>
      </c>
      <c r="J2336" s="21" t="str">
        <f aca="false">IF(B2336="","",IF(H2336&lt;&gt;"",H2336,F2336))</f>
        <v/>
      </c>
      <c r="K2336" s="26" t="str">
        <f aca="false">IF(A2336="","",DATE(YEAR(A2336),MONTH(A2336),1))</f>
        <v/>
      </c>
      <c r="L2336" s="21" t="str">
        <f aca="false">IF(J2336="",IF(B2336="","",IF(N(C2336)&gt;=0,"Income","Expense")),IFERROR(INDEX(Lists!$B$2:$B$30,MATCH(J2336,Lists!$A$2:$A$30,0)),""))</f>
        <v/>
      </c>
      <c r="M2336" s="24"/>
      <c r="N2336" s="27" t="str">
        <f aca="false">IF(B2336="","",IFERROR(1000-SUMPRODUCT(MAX(ISNUMBER(SEARCH(Rules!$A$5:$A$204,B2336))*(Rules!$A$5:$A$204&lt;&gt;"")*(1000-ROW(Rules!$A$5:$A$204)))),""))</f>
        <v/>
      </c>
    </row>
    <row r="2337" customFormat="false" ht="15" hidden="false" customHeight="false" outlineLevel="0" collapsed="false">
      <c r="A2337" s="23"/>
      <c r="B2337" s="24"/>
      <c r="C2337" s="25"/>
      <c r="D2337" s="24"/>
      <c r="E2337" s="21" t="str">
        <f aca="false">IF(OR(B2337="",N(N2337)=0,N2337=1000),IF(B2337="","","Check"),INDEX(Rules!$B:$B,N2337))</f>
        <v/>
      </c>
      <c r="F2337" s="21" t="str">
        <f aca="false">IF(OR(B2337="",N(N2337)=0,N2337=1000),"",INDEX(Rules!$C:$C,N2337))</f>
        <v/>
      </c>
      <c r="G2337" s="24"/>
      <c r="H2337" s="24"/>
      <c r="I2337" s="20" t="str">
        <f aca="false">IF(B2337="","",IF(G2337&lt;&gt;"",G2337,E2337))</f>
        <v/>
      </c>
      <c r="J2337" s="21" t="str">
        <f aca="false">IF(B2337="","",IF(H2337&lt;&gt;"",H2337,F2337))</f>
        <v/>
      </c>
      <c r="K2337" s="26" t="str">
        <f aca="false">IF(A2337="","",DATE(YEAR(A2337),MONTH(A2337),1))</f>
        <v/>
      </c>
      <c r="L2337" s="21" t="str">
        <f aca="false">IF(J2337="",IF(B2337="","",IF(N(C2337)&gt;=0,"Income","Expense")),IFERROR(INDEX(Lists!$B$2:$B$30,MATCH(J2337,Lists!$A$2:$A$30,0)),""))</f>
        <v/>
      </c>
      <c r="M2337" s="24"/>
      <c r="N2337" s="27" t="str">
        <f aca="false">IF(B2337="","",IFERROR(1000-SUMPRODUCT(MAX(ISNUMBER(SEARCH(Rules!$A$5:$A$204,B2337))*(Rules!$A$5:$A$204&lt;&gt;"")*(1000-ROW(Rules!$A$5:$A$204)))),""))</f>
        <v/>
      </c>
    </row>
    <row r="2338" customFormat="false" ht="15" hidden="false" customHeight="false" outlineLevel="0" collapsed="false">
      <c r="A2338" s="23"/>
      <c r="B2338" s="24"/>
      <c r="C2338" s="25"/>
      <c r="D2338" s="24"/>
      <c r="E2338" s="21" t="str">
        <f aca="false">IF(OR(B2338="",N(N2338)=0,N2338=1000),IF(B2338="","","Check"),INDEX(Rules!$B:$B,N2338))</f>
        <v/>
      </c>
      <c r="F2338" s="21" t="str">
        <f aca="false">IF(OR(B2338="",N(N2338)=0,N2338=1000),"",INDEX(Rules!$C:$C,N2338))</f>
        <v/>
      </c>
      <c r="G2338" s="24"/>
      <c r="H2338" s="24"/>
      <c r="I2338" s="20" t="str">
        <f aca="false">IF(B2338="","",IF(G2338&lt;&gt;"",G2338,E2338))</f>
        <v/>
      </c>
      <c r="J2338" s="21" t="str">
        <f aca="false">IF(B2338="","",IF(H2338&lt;&gt;"",H2338,F2338))</f>
        <v/>
      </c>
      <c r="K2338" s="26" t="str">
        <f aca="false">IF(A2338="","",DATE(YEAR(A2338),MONTH(A2338),1))</f>
        <v/>
      </c>
      <c r="L2338" s="21" t="str">
        <f aca="false">IF(J2338="",IF(B2338="","",IF(N(C2338)&gt;=0,"Income","Expense")),IFERROR(INDEX(Lists!$B$2:$B$30,MATCH(J2338,Lists!$A$2:$A$30,0)),""))</f>
        <v/>
      </c>
      <c r="M2338" s="24"/>
      <c r="N2338" s="27" t="str">
        <f aca="false">IF(B2338="","",IFERROR(1000-SUMPRODUCT(MAX(ISNUMBER(SEARCH(Rules!$A$5:$A$204,B2338))*(Rules!$A$5:$A$204&lt;&gt;"")*(1000-ROW(Rules!$A$5:$A$204)))),""))</f>
        <v/>
      </c>
    </row>
    <row r="2339" customFormat="false" ht="15" hidden="false" customHeight="false" outlineLevel="0" collapsed="false">
      <c r="A2339" s="23"/>
      <c r="B2339" s="24"/>
      <c r="C2339" s="25"/>
      <c r="D2339" s="24"/>
      <c r="E2339" s="21" t="str">
        <f aca="false">IF(OR(B2339="",N(N2339)=0,N2339=1000),IF(B2339="","","Check"),INDEX(Rules!$B:$B,N2339))</f>
        <v/>
      </c>
      <c r="F2339" s="21" t="str">
        <f aca="false">IF(OR(B2339="",N(N2339)=0,N2339=1000),"",INDEX(Rules!$C:$C,N2339))</f>
        <v/>
      </c>
      <c r="G2339" s="24"/>
      <c r="H2339" s="24"/>
      <c r="I2339" s="20" t="str">
        <f aca="false">IF(B2339="","",IF(G2339&lt;&gt;"",G2339,E2339))</f>
        <v/>
      </c>
      <c r="J2339" s="21" t="str">
        <f aca="false">IF(B2339="","",IF(H2339&lt;&gt;"",H2339,F2339))</f>
        <v/>
      </c>
      <c r="K2339" s="26" t="str">
        <f aca="false">IF(A2339="","",DATE(YEAR(A2339),MONTH(A2339),1))</f>
        <v/>
      </c>
      <c r="L2339" s="21" t="str">
        <f aca="false">IF(J2339="",IF(B2339="","",IF(N(C2339)&gt;=0,"Income","Expense")),IFERROR(INDEX(Lists!$B$2:$B$30,MATCH(J2339,Lists!$A$2:$A$30,0)),""))</f>
        <v/>
      </c>
      <c r="M2339" s="24"/>
      <c r="N2339" s="27" t="str">
        <f aca="false">IF(B2339="","",IFERROR(1000-SUMPRODUCT(MAX(ISNUMBER(SEARCH(Rules!$A$5:$A$204,B2339))*(Rules!$A$5:$A$204&lt;&gt;"")*(1000-ROW(Rules!$A$5:$A$204)))),""))</f>
        <v/>
      </c>
    </row>
    <row r="2340" customFormat="false" ht="15" hidden="false" customHeight="false" outlineLevel="0" collapsed="false">
      <c r="A2340" s="23"/>
      <c r="B2340" s="24"/>
      <c r="C2340" s="25"/>
      <c r="D2340" s="24"/>
      <c r="E2340" s="21" t="str">
        <f aca="false">IF(OR(B2340="",N(N2340)=0,N2340=1000),IF(B2340="","","Check"),INDEX(Rules!$B:$B,N2340))</f>
        <v/>
      </c>
      <c r="F2340" s="21" t="str">
        <f aca="false">IF(OR(B2340="",N(N2340)=0,N2340=1000),"",INDEX(Rules!$C:$C,N2340))</f>
        <v/>
      </c>
      <c r="G2340" s="24"/>
      <c r="H2340" s="24"/>
      <c r="I2340" s="20" t="str">
        <f aca="false">IF(B2340="","",IF(G2340&lt;&gt;"",G2340,E2340))</f>
        <v/>
      </c>
      <c r="J2340" s="21" t="str">
        <f aca="false">IF(B2340="","",IF(H2340&lt;&gt;"",H2340,F2340))</f>
        <v/>
      </c>
      <c r="K2340" s="26" t="str">
        <f aca="false">IF(A2340="","",DATE(YEAR(A2340),MONTH(A2340),1))</f>
        <v/>
      </c>
      <c r="L2340" s="21" t="str">
        <f aca="false">IF(J2340="",IF(B2340="","",IF(N(C2340)&gt;=0,"Income","Expense")),IFERROR(INDEX(Lists!$B$2:$B$30,MATCH(J2340,Lists!$A$2:$A$30,0)),""))</f>
        <v/>
      </c>
      <c r="M2340" s="24"/>
      <c r="N2340" s="27" t="str">
        <f aca="false">IF(B2340="","",IFERROR(1000-SUMPRODUCT(MAX(ISNUMBER(SEARCH(Rules!$A$5:$A$204,B2340))*(Rules!$A$5:$A$204&lt;&gt;"")*(1000-ROW(Rules!$A$5:$A$204)))),""))</f>
        <v/>
      </c>
    </row>
    <row r="2341" customFormat="false" ht="15" hidden="false" customHeight="false" outlineLevel="0" collapsed="false">
      <c r="A2341" s="23"/>
      <c r="B2341" s="24"/>
      <c r="C2341" s="25"/>
      <c r="D2341" s="24"/>
      <c r="E2341" s="21" t="str">
        <f aca="false">IF(OR(B2341="",N(N2341)=0,N2341=1000),IF(B2341="","","Check"),INDEX(Rules!$B:$B,N2341))</f>
        <v/>
      </c>
      <c r="F2341" s="21" t="str">
        <f aca="false">IF(OR(B2341="",N(N2341)=0,N2341=1000),"",INDEX(Rules!$C:$C,N2341))</f>
        <v/>
      </c>
      <c r="G2341" s="24"/>
      <c r="H2341" s="24"/>
      <c r="I2341" s="20" t="str">
        <f aca="false">IF(B2341="","",IF(G2341&lt;&gt;"",G2341,E2341))</f>
        <v/>
      </c>
      <c r="J2341" s="21" t="str">
        <f aca="false">IF(B2341="","",IF(H2341&lt;&gt;"",H2341,F2341))</f>
        <v/>
      </c>
      <c r="K2341" s="26" t="str">
        <f aca="false">IF(A2341="","",DATE(YEAR(A2341),MONTH(A2341),1))</f>
        <v/>
      </c>
      <c r="L2341" s="21" t="str">
        <f aca="false">IF(J2341="",IF(B2341="","",IF(N(C2341)&gt;=0,"Income","Expense")),IFERROR(INDEX(Lists!$B$2:$B$30,MATCH(J2341,Lists!$A$2:$A$30,0)),""))</f>
        <v/>
      </c>
      <c r="M2341" s="24"/>
      <c r="N2341" s="27" t="str">
        <f aca="false">IF(B2341="","",IFERROR(1000-SUMPRODUCT(MAX(ISNUMBER(SEARCH(Rules!$A$5:$A$204,B2341))*(Rules!$A$5:$A$204&lt;&gt;"")*(1000-ROW(Rules!$A$5:$A$204)))),""))</f>
        <v/>
      </c>
    </row>
    <row r="2342" customFormat="false" ht="15" hidden="false" customHeight="false" outlineLevel="0" collapsed="false">
      <c r="A2342" s="23"/>
      <c r="B2342" s="24"/>
      <c r="C2342" s="25"/>
      <c r="D2342" s="24"/>
      <c r="E2342" s="21" t="str">
        <f aca="false">IF(OR(B2342="",N(N2342)=0,N2342=1000),IF(B2342="","","Check"),INDEX(Rules!$B:$B,N2342))</f>
        <v/>
      </c>
      <c r="F2342" s="21" t="str">
        <f aca="false">IF(OR(B2342="",N(N2342)=0,N2342=1000),"",INDEX(Rules!$C:$C,N2342))</f>
        <v/>
      </c>
      <c r="G2342" s="24"/>
      <c r="H2342" s="24"/>
      <c r="I2342" s="20" t="str">
        <f aca="false">IF(B2342="","",IF(G2342&lt;&gt;"",G2342,E2342))</f>
        <v/>
      </c>
      <c r="J2342" s="21" t="str">
        <f aca="false">IF(B2342="","",IF(H2342&lt;&gt;"",H2342,F2342))</f>
        <v/>
      </c>
      <c r="K2342" s="26" t="str">
        <f aca="false">IF(A2342="","",DATE(YEAR(A2342),MONTH(A2342),1))</f>
        <v/>
      </c>
      <c r="L2342" s="21" t="str">
        <f aca="false">IF(J2342="",IF(B2342="","",IF(N(C2342)&gt;=0,"Income","Expense")),IFERROR(INDEX(Lists!$B$2:$B$30,MATCH(J2342,Lists!$A$2:$A$30,0)),""))</f>
        <v/>
      </c>
      <c r="M2342" s="24"/>
      <c r="N2342" s="27" t="str">
        <f aca="false">IF(B2342="","",IFERROR(1000-SUMPRODUCT(MAX(ISNUMBER(SEARCH(Rules!$A$5:$A$204,B2342))*(Rules!$A$5:$A$204&lt;&gt;"")*(1000-ROW(Rules!$A$5:$A$204)))),""))</f>
        <v/>
      </c>
    </row>
    <row r="2343" customFormat="false" ht="15" hidden="false" customHeight="false" outlineLevel="0" collapsed="false">
      <c r="A2343" s="23"/>
      <c r="B2343" s="24"/>
      <c r="C2343" s="25"/>
      <c r="D2343" s="24"/>
      <c r="E2343" s="21" t="str">
        <f aca="false">IF(OR(B2343="",N(N2343)=0,N2343=1000),IF(B2343="","","Check"),INDEX(Rules!$B:$B,N2343))</f>
        <v/>
      </c>
      <c r="F2343" s="21" t="str">
        <f aca="false">IF(OR(B2343="",N(N2343)=0,N2343=1000),"",INDEX(Rules!$C:$C,N2343))</f>
        <v/>
      </c>
      <c r="G2343" s="24"/>
      <c r="H2343" s="24"/>
      <c r="I2343" s="20" t="str">
        <f aca="false">IF(B2343="","",IF(G2343&lt;&gt;"",G2343,E2343))</f>
        <v/>
      </c>
      <c r="J2343" s="21" t="str">
        <f aca="false">IF(B2343="","",IF(H2343&lt;&gt;"",H2343,F2343))</f>
        <v/>
      </c>
      <c r="K2343" s="26" t="str">
        <f aca="false">IF(A2343="","",DATE(YEAR(A2343),MONTH(A2343),1))</f>
        <v/>
      </c>
      <c r="L2343" s="21" t="str">
        <f aca="false">IF(J2343="",IF(B2343="","",IF(N(C2343)&gt;=0,"Income","Expense")),IFERROR(INDEX(Lists!$B$2:$B$30,MATCH(J2343,Lists!$A$2:$A$30,0)),""))</f>
        <v/>
      </c>
      <c r="M2343" s="24"/>
      <c r="N2343" s="27" t="str">
        <f aca="false">IF(B2343="","",IFERROR(1000-SUMPRODUCT(MAX(ISNUMBER(SEARCH(Rules!$A$5:$A$204,B2343))*(Rules!$A$5:$A$204&lt;&gt;"")*(1000-ROW(Rules!$A$5:$A$204)))),""))</f>
        <v/>
      </c>
    </row>
    <row r="2344" customFormat="false" ht="15" hidden="false" customHeight="false" outlineLevel="0" collapsed="false">
      <c r="A2344" s="23"/>
      <c r="B2344" s="24"/>
      <c r="C2344" s="25"/>
      <c r="D2344" s="24"/>
      <c r="E2344" s="21" t="str">
        <f aca="false">IF(OR(B2344="",N(N2344)=0,N2344=1000),IF(B2344="","","Check"),INDEX(Rules!$B:$B,N2344))</f>
        <v/>
      </c>
      <c r="F2344" s="21" t="str">
        <f aca="false">IF(OR(B2344="",N(N2344)=0,N2344=1000),"",INDEX(Rules!$C:$C,N2344))</f>
        <v/>
      </c>
      <c r="G2344" s="24"/>
      <c r="H2344" s="24"/>
      <c r="I2344" s="20" t="str">
        <f aca="false">IF(B2344="","",IF(G2344&lt;&gt;"",G2344,E2344))</f>
        <v/>
      </c>
      <c r="J2344" s="21" t="str">
        <f aca="false">IF(B2344="","",IF(H2344&lt;&gt;"",H2344,F2344))</f>
        <v/>
      </c>
      <c r="K2344" s="26" t="str">
        <f aca="false">IF(A2344="","",DATE(YEAR(A2344),MONTH(A2344),1))</f>
        <v/>
      </c>
      <c r="L2344" s="21" t="str">
        <f aca="false">IF(J2344="",IF(B2344="","",IF(N(C2344)&gt;=0,"Income","Expense")),IFERROR(INDEX(Lists!$B$2:$B$30,MATCH(J2344,Lists!$A$2:$A$30,0)),""))</f>
        <v/>
      </c>
      <c r="M2344" s="24"/>
      <c r="N2344" s="27" t="str">
        <f aca="false">IF(B2344="","",IFERROR(1000-SUMPRODUCT(MAX(ISNUMBER(SEARCH(Rules!$A$5:$A$204,B2344))*(Rules!$A$5:$A$204&lt;&gt;"")*(1000-ROW(Rules!$A$5:$A$204)))),""))</f>
        <v/>
      </c>
    </row>
    <row r="2345" customFormat="false" ht="15" hidden="false" customHeight="false" outlineLevel="0" collapsed="false">
      <c r="A2345" s="23"/>
      <c r="B2345" s="24"/>
      <c r="C2345" s="25"/>
      <c r="D2345" s="24"/>
      <c r="E2345" s="21" t="str">
        <f aca="false">IF(OR(B2345="",N(N2345)=0,N2345=1000),IF(B2345="","","Check"),INDEX(Rules!$B:$B,N2345))</f>
        <v/>
      </c>
      <c r="F2345" s="21" t="str">
        <f aca="false">IF(OR(B2345="",N(N2345)=0,N2345=1000),"",INDEX(Rules!$C:$C,N2345))</f>
        <v/>
      </c>
      <c r="G2345" s="24"/>
      <c r="H2345" s="24"/>
      <c r="I2345" s="20" t="str">
        <f aca="false">IF(B2345="","",IF(G2345&lt;&gt;"",G2345,E2345))</f>
        <v/>
      </c>
      <c r="J2345" s="21" t="str">
        <f aca="false">IF(B2345="","",IF(H2345&lt;&gt;"",H2345,F2345))</f>
        <v/>
      </c>
      <c r="K2345" s="26" t="str">
        <f aca="false">IF(A2345="","",DATE(YEAR(A2345),MONTH(A2345),1))</f>
        <v/>
      </c>
      <c r="L2345" s="21" t="str">
        <f aca="false">IF(J2345="",IF(B2345="","",IF(N(C2345)&gt;=0,"Income","Expense")),IFERROR(INDEX(Lists!$B$2:$B$30,MATCH(J2345,Lists!$A$2:$A$30,0)),""))</f>
        <v/>
      </c>
      <c r="M2345" s="24"/>
      <c r="N2345" s="27" t="str">
        <f aca="false">IF(B2345="","",IFERROR(1000-SUMPRODUCT(MAX(ISNUMBER(SEARCH(Rules!$A$5:$A$204,B2345))*(Rules!$A$5:$A$204&lt;&gt;"")*(1000-ROW(Rules!$A$5:$A$204)))),""))</f>
        <v/>
      </c>
    </row>
    <row r="2346" customFormat="false" ht="15" hidden="false" customHeight="false" outlineLevel="0" collapsed="false">
      <c r="A2346" s="23"/>
      <c r="B2346" s="24"/>
      <c r="C2346" s="25"/>
      <c r="D2346" s="24"/>
      <c r="E2346" s="21" t="str">
        <f aca="false">IF(OR(B2346="",N(N2346)=0,N2346=1000),IF(B2346="","","Check"),INDEX(Rules!$B:$B,N2346))</f>
        <v/>
      </c>
      <c r="F2346" s="21" t="str">
        <f aca="false">IF(OR(B2346="",N(N2346)=0,N2346=1000),"",INDEX(Rules!$C:$C,N2346))</f>
        <v/>
      </c>
      <c r="G2346" s="24"/>
      <c r="H2346" s="24"/>
      <c r="I2346" s="20" t="str">
        <f aca="false">IF(B2346="","",IF(G2346&lt;&gt;"",G2346,E2346))</f>
        <v/>
      </c>
      <c r="J2346" s="21" t="str">
        <f aca="false">IF(B2346="","",IF(H2346&lt;&gt;"",H2346,F2346))</f>
        <v/>
      </c>
      <c r="K2346" s="26" t="str">
        <f aca="false">IF(A2346="","",DATE(YEAR(A2346),MONTH(A2346),1))</f>
        <v/>
      </c>
      <c r="L2346" s="21" t="str">
        <f aca="false">IF(J2346="",IF(B2346="","",IF(N(C2346)&gt;=0,"Income","Expense")),IFERROR(INDEX(Lists!$B$2:$B$30,MATCH(J2346,Lists!$A$2:$A$30,0)),""))</f>
        <v/>
      </c>
      <c r="M2346" s="24"/>
      <c r="N2346" s="27" t="str">
        <f aca="false">IF(B2346="","",IFERROR(1000-SUMPRODUCT(MAX(ISNUMBER(SEARCH(Rules!$A$5:$A$204,B2346))*(Rules!$A$5:$A$204&lt;&gt;"")*(1000-ROW(Rules!$A$5:$A$204)))),""))</f>
        <v/>
      </c>
    </row>
    <row r="2347" customFormat="false" ht="15" hidden="false" customHeight="false" outlineLevel="0" collapsed="false">
      <c r="A2347" s="23"/>
      <c r="B2347" s="24"/>
      <c r="C2347" s="25"/>
      <c r="D2347" s="24"/>
      <c r="E2347" s="21" t="str">
        <f aca="false">IF(OR(B2347="",N(N2347)=0,N2347=1000),IF(B2347="","","Check"),INDEX(Rules!$B:$B,N2347))</f>
        <v/>
      </c>
      <c r="F2347" s="21" t="str">
        <f aca="false">IF(OR(B2347="",N(N2347)=0,N2347=1000),"",INDEX(Rules!$C:$C,N2347))</f>
        <v/>
      </c>
      <c r="G2347" s="24"/>
      <c r="H2347" s="24"/>
      <c r="I2347" s="20" t="str">
        <f aca="false">IF(B2347="","",IF(G2347&lt;&gt;"",G2347,E2347))</f>
        <v/>
      </c>
      <c r="J2347" s="21" t="str">
        <f aca="false">IF(B2347="","",IF(H2347&lt;&gt;"",H2347,F2347))</f>
        <v/>
      </c>
      <c r="K2347" s="26" t="str">
        <f aca="false">IF(A2347="","",DATE(YEAR(A2347),MONTH(A2347),1))</f>
        <v/>
      </c>
      <c r="L2347" s="21" t="str">
        <f aca="false">IF(J2347="",IF(B2347="","",IF(N(C2347)&gt;=0,"Income","Expense")),IFERROR(INDEX(Lists!$B$2:$B$30,MATCH(J2347,Lists!$A$2:$A$30,0)),""))</f>
        <v/>
      </c>
      <c r="M2347" s="24"/>
      <c r="N2347" s="27" t="str">
        <f aca="false">IF(B2347="","",IFERROR(1000-SUMPRODUCT(MAX(ISNUMBER(SEARCH(Rules!$A$5:$A$204,B2347))*(Rules!$A$5:$A$204&lt;&gt;"")*(1000-ROW(Rules!$A$5:$A$204)))),""))</f>
        <v/>
      </c>
    </row>
    <row r="2348" customFormat="false" ht="15" hidden="false" customHeight="false" outlineLevel="0" collapsed="false">
      <c r="A2348" s="23"/>
      <c r="B2348" s="24"/>
      <c r="C2348" s="25"/>
      <c r="D2348" s="24"/>
      <c r="E2348" s="21" t="str">
        <f aca="false">IF(OR(B2348="",N(N2348)=0,N2348=1000),IF(B2348="","","Check"),INDEX(Rules!$B:$B,N2348))</f>
        <v/>
      </c>
      <c r="F2348" s="21" t="str">
        <f aca="false">IF(OR(B2348="",N(N2348)=0,N2348=1000),"",INDEX(Rules!$C:$C,N2348))</f>
        <v/>
      </c>
      <c r="G2348" s="24"/>
      <c r="H2348" s="24"/>
      <c r="I2348" s="20" t="str">
        <f aca="false">IF(B2348="","",IF(G2348&lt;&gt;"",G2348,E2348))</f>
        <v/>
      </c>
      <c r="J2348" s="21" t="str">
        <f aca="false">IF(B2348="","",IF(H2348&lt;&gt;"",H2348,F2348))</f>
        <v/>
      </c>
      <c r="K2348" s="26" t="str">
        <f aca="false">IF(A2348="","",DATE(YEAR(A2348),MONTH(A2348),1))</f>
        <v/>
      </c>
      <c r="L2348" s="21" t="str">
        <f aca="false">IF(J2348="",IF(B2348="","",IF(N(C2348)&gt;=0,"Income","Expense")),IFERROR(INDEX(Lists!$B$2:$B$30,MATCH(J2348,Lists!$A$2:$A$30,0)),""))</f>
        <v/>
      </c>
      <c r="M2348" s="24"/>
      <c r="N2348" s="27" t="str">
        <f aca="false">IF(B2348="","",IFERROR(1000-SUMPRODUCT(MAX(ISNUMBER(SEARCH(Rules!$A$5:$A$204,B2348))*(Rules!$A$5:$A$204&lt;&gt;"")*(1000-ROW(Rules!$A$5:$A$204)))),""))</f>
        <v/>
      </c>
    </row>
    <row r="2349" customFormat="false" ht="15" hidden="false" customHeight="false" outlineLevel="0" collapsed="false">
      <c r="A2349" s="23"/>
      <c r="B2349" s="24"/>
      <c r="C2349" s="25"/>
      <c r="D2349" s="24"/>
      <c r="E2349" s="21" t="str">
        <f aca="false">IF(OR(B2349="",N(N2349)=0,N2349=1000),IF(B2349="","","Check"),INDEX(Rules!$B:$B,N2349))</f>
        <v/>
      </c>
      <c r="F2349" s="21" t="str">
        <f aca="false">IF(OR(B2349="",N(N2349)=0,N2349=1000),"",INDEX(Rules!$C:$C,N2349))</f>
        <v/>
      </c>
      <c r="G2349" s="24"/>
      <c r="H2349" s="24"/>
      <c r="I2349" s="20" t="str">
        <f aca="false">IF(B2349="","",IF(G2349&lt;&gt;"",G2349,E2349))</f>
        <v/>
      </c>
      <c r="J2349" s="21" t="str">
        <f aca="false">IF(B2349="","",IF(H2349&lt;&gt;"",H2349,F2349))</f>
        <v/>
      </c>
      <c r="K2349" s="26" t="str">
        <f aca="false">IF(A2349="","",DATE(YEAR(A2349),MONTH(A2349),1))</f>
        <v/>
      </c>
      <c r="L2349" s="21" t="str">
        <f aca="false">IF(J2349="",IF(B2349="","",IF(N(C2349)&gt;=0,"Income","Expense")),IFERROR(INDEX(Lists!$B$2:$B$30,MATCH(J2349,Lists!$A$2:$A$30,0)),""))</f>
        <v/>
      </c>
      <c r="M2349" s="24"/>
      <c r="N2349" s="27" t="str">
        <f aca="false">IF(B2349="","",IFERROR(1000-SUMPRODUCT(MAX(ISNUMBER(SEARCH(Rules!$A$5:$A$204,B2349))*(Rules!$A$5:$A$204&lt;&gt;"")*(1000-ROW(Rules!$A$5:$A$204)))),""))</f>
        <v/>
      </c>
    </row>
    <row r="2350" customFormat="false" ht="15" hidden="false" customHeight="false" outlineLevel="0" collapsed="false">
      <c r="A2350" s="23"/>
      <c r="B2350" s="24"/>
      <c r="C2350" s="25"/>
      <c r="D2350" s="24"/>
      <c r="E2350" s="21" t="str">
        <f aca="false">IF(OR(B2350="",N(N2350)=0,N2350=1000),IF(B2350="","","Check"),INDEX(Rules!$B:$B,N2350))</f>
        <v/>
      </c>
      <c r="F2350" s="21" t="str">
        <f aca="false">IF(OR(B2350="",N(N2350)=0,N2350=1000),"",INDEX(Rules!$C:$C,N2350))</f>
        <v/>
      </c>
      <c r="G2350" s="24"/>
      <c r="H2350" s="24"/>
      <c r="I2350" s="20" t="str">
        <f aca="false">IF(B2350="","",IF(G2350&lt;&gt;"",G2350,E2350))</f>
        <v/>
      </c>
      <c r="J2350" s="21" t="str">
        <f aca="false">IF(B2350="","",IF(H2350&lt;&gt;"",H2350,F2350))</f>
        <v/>
      </c>
      <c r="K2350" s="26" t="str">
        <f aca="false">IF(A2350="","",DATE(YEAR(A2350),MONTH(A2350),1))</f>
        <v/>
      </c>
      <c r="L2350" s="21" t="str">
        <f aca="false">IF(J2350="",IF(B2350="","",IF(N(C2350)&gt;=0,"Income","Expense")),IFERROR(INDEX(Lists!$B$2:$B$30,MATCH(J2350,Lists!$A$2:$A$30,0)),""))</f>
        <v/>
      </c>
      <c r="M2350" s="24"/>
      <c r="N2350" s="27" t="str">
        <f aca="false">IF(B2350="","",IFERROR(1000-SUMPRODUCT(MAX(ISNUMBER(SEARCH(Rules!$A$5:$A$204,B2350))*(Rules!$A$5:$A$204&lt;&gt;"")*(1000-ROW(Rules!$A$5:$A$204)))),""))</f>
        <v/>
      </c>
    </row>
    <row r="2351" customFormat="false" ht="15" hidden="false" customHeight="false" outlineLevel="0" collapsed="false">
      <c r="A2351" s="23"/>
      <c r="B2351" s="24"/>
      <c r="C2351" s="25"/>
      <c r="D2351" s="24"/>
      <c r="E2351" s="21" t="str">
        <f aca="false">IF(OR(B2351="",N(N2351)=0,N2351=1000),IF(B2351="","","Check"),INDEX(Rules!$B:$B,N2351))</f>
        <v/>
      </c>
      <c r="F2351" s="21" t="str">
        <f aca="false">IF(OR(B2351="",N(N2351)=0,N2351=1000),"",INDEX(Rules!$C:$C,N2351))</f>
        <v/>
      </c>
      <c r="G2351" s="24"/>
      <c r="H2351" s="24"/>
      <c r="I2351" s="20" t="str">
        <f aca="false">IF(B2351="","",IF(G2351&lt;&gt;"",G2351,E2351))</f>
        <v/>
      </c>
      <c r="J2351" s="21" t="str">
        <f aca="false">IF(B2351="","",IF(H2351&lt;&gt;"",H2351,F2351))</f>
        <v/>
      </c>
      <c r="K2351" s="26" t="str">
        <f aca="false">IF(A2351="","",DATE(YEAR(A2351),MONTH(A2351),1))</f>
        <v/>
      </c>
      <c r="L2351" s="21" t="str">
        <f aca="false">IF(J2351="",IF(B2351="","",IF(N(C2351)&gt;=0,"Income","Expense")),IFERROR(INDEX(Lists!$B$2:$B$30,MATCH(J2351,Lists!$A$2:$A$30,0)),""))</f>
        <v/>
      </c>
      <c r="M2351" s="24"/>
      <c r="N2351" s="27" t="str">
        <f aca="false">IF(B2351="","",IFERROR(1000-SUMPRODUCT(MAX(ISNUMBER(SEARCH(Rules!$A$5:$A$204,B2351))*(Rules!$A$5:$A$204&lt;&gt;"")*(1000-ROW(Rules!$A$5:$A$204)))),""))</f>
        <v/>
      </c>
    </row>
    <row r="2352" customFormat="false" ht="15" hidden="false" customHeight="false" outlineLevel="0" collapsed="false">
      <c r="A2352" s="23"/>
      <c r="B2352" s="24"/>
      <c r="C2352" s="25"/>
      <c r="D2352" s="24"/>
      <c r="E2352" s="21" t="str">
        <f aca="false">IF(OR(B2352="",N(N2352)=0,N2352=1000),IF(B2352="","","Check"),INDEX(Rules!$B:$B,N2352))</f>
        <v/>
      </c>
      <c r="F2352" s="21" t="str">
        <f aca="false">IF(OR(B2352="",N(N2352)=0,N2352=1000),"",INDEX(Rules!$C:$C,N2352))</f>
        <v/>
      </c>
      <c r="G2352" s="24"/>
      <c r="H2352" s="24"/>
      <c r="I2352" s="20" t="str">
        <f aca="false">IF(B2352="","",IF(G2352&lt;&gt;"",G2352,E2352))</f>
        <v/>
      </c>
      <c r="J2352" s="21" t="str">
        <f aca="false">IF(B2352="","",IF(H2352&lt;&gt;"",H2352,F2352))</f>
        <v/>
      </c>
      <c r="K2352" s="26" t="str">
        <f aca="false">IF(A2352="","",DATE(YEAR(A2352),MONTH(A2352),1))</f>
        <v/>
      </c>
      <c r="L2352" s="21" t="str">
        <f aca="false">IF(J2352="",IF(B2352="","",IF(N(C2352)&gt;=0,"Income","Expense")),IFERROR(INDEX(Lists!$B$2:$B$30,MATCH(J2352,Lists!$A$2:$A$30,0)),""))</f>
        <v/>
      </c>
      <c r="M2352" s="24"/>
      <c r="N2352" s="27" t="str">
        <f aca="false">IF(B2352="","",IFERROR(1000-SUMPRODUCT(MAX(ISNUMBER(SEARCH(Rules!$A$5:$A$204,B2352))*(Rules!$A$5:$A$204&lt;&gt;"")*(1000-ROW(Rules!$A$5:$A$204)))),""))</f>
        <v/>
      </c>
    </row>
    <row r="2353" customFormat="false" ht="15" hidden="false" customHeight="false" outlineLevel="0" collapsed="false">
      <c r="A2353" s="23"/>
      <c r="B2353" s="24"/>
      <c r="C2353" s="25"/>
      <c r="D2353" s="24"/>
      <c r="E2353" s="21" t="str">
        <f aca="false">IF(OR(B2353="",N(N2353)=0,N2353=1000),IF(B2353="","","Check"),INDEX(Rules!$B:$B,N2353))</f>
        <v/>
      </c>
      <c r="F2353" s="21" t="str">
        <f aca="false">IF(OR(B2353="",N(N2353)=0,N2353=1000),"",INDEX(Rules!$C:$C,N2353))</f>
        <v/>
      </c>
      <c r="G2353" s="24"/>
      <c r="H2353" s="24"/>
      <c r="I2353" s="20" t="str">
        <f aca="false">IF(B2353="","",IF(G2353&lt;&gt;"",G2353,E2353))</f>
        <v/>
      </c>
      <c r="J2353" s="21" t="str">
        <f aca="false">IF(B2353="","",IF(H2353&lt;&gt;"",H2353,F2353))</f>
        <v/>
      </c>
      <c r="K2353" s="26" t="str">
        <f aca="false">IF(A2353="","",DATE(YEAR(A2353),MONTH(A2353),1))</f>
        <v/>
      </c>
      <c r="L2353" s="21" t="str">
        <f aca="false">IF(J2353="",IF(B2353="","",IF(N(C2353)&gt;=0,"Income","Expense")),IFERROR(INDEX(Lists!$B$2:$B$30,MATCH(J2353,Lists!$A$2:$A$30,0)),""))</f>
        <v/>
      </c>
      <c r="M2353" s="24"/>
      <c r="N2353" s="27" t="str">
        <f aca="false">IF(B2353="","",IFERROR(1000-SUMPRODUCT(MAX(ISNUMBER(SEARCH(Rules!$A$5:$A$204,B2353))*(Rules!$A$5:$A$204&lt;&gt;"")*(1000-ROW(Rules!$A$5:$A$204)))),""))</f>
        <v/>
      </c>
    </row>
    <row r="2354" customFormat="false" ht="15" hidden="false" customHeight="false" outlineLevel="0" collapsed="false">
      <c r="A2354" s="23"/>
      <c r="B2354" s="24"/>
      <c r="C2354" s="25"/>
      <c r="D2354" s="24"/>
      <c r="E2354" s="21" t="str">
        <f aca="false">IF(OR(B2354="",N(N2354)=0,N2354=1000),IF(B2354="","","Check"),INDEX(Rules!$B:$B,N2354))</f>
        <v/>
      </c>
      <c r="F2354" s="21" t="str">
        <f aca="false">IF(OR(B2354="",N(N2354)=0,N2354=1000),"",INDEX(Rules!$C:$C,N2354))</f>
        <v/>
      </c>
      <c r="G2354" s="24"/>
      <c r="H2354" s="24"/>
      <c r="I2354" s="20" t="str">
        <f aca="false">IF(B2354="","",IF(G2354&lt;&gt;"",G2354,E2354))</f>
        <v/>
      </c>
      <c r="J2354" s="21" t="str">
        <f aca="false">IF(B2354="","",IF(H2354&lt;&gt;"",H2354,F2354))</f>
        <v/>
      </c>
      <c r="K2354" s="26" t="str">
        <f aca="false">IF(A2354="","",DATE(YEAR(A2354),MONTH(A2354),1))</f>
        <v/>
      </c>
      <c r="L2354" s="21" t="str">
        <f aca="false">IF(J2354="",IF(B2354="","",IF(N(C2354)&gt;=0,"Income","Expense")),IFERROR(INDEX(Lists!$B$2:$B$30,MATCH(J2354,Lists!$A$2:$A$30,0)),""))</f>
        <v/>
      </c>
      <c r="M2354" s="24"/>
      <c r="N2354" s="27" t="str">
        <f aca="false">IF(B2354="","",IFERROR(1000-SUMPRODUCT(MAX(ISNUMBER(SEARCH(Rules!$A$5:$A$204,B2354))*(Rules!$A$5:$A$204&lt;&gt;"")*(1000-ROW(Rules!$A$5:$A$204)))),""))</f>
        <v/>
      </c>
    </row>
    <row r="2355" customFormat="false" ht="15" hidden="false" customHeight="false" outlineLevel="0" collapsed="false">
      <c r="A2355" s="23"/>
      <c r="B2355" s="24"/>
      <c r="C2355" s="25"/>
      <c r="D2355" s="24"/>
      <c r="E2355" s="21" t="str">
        <f aca="false">IF(OR(B2355="",N(N2355)=0,N2355=1000),IF(B2355="","","Check"),INDEX(Rules!$B:$B,N2355))</f>
        <v/>
      </c>
      <c r="F2355" s="21" t="str">
        <f aca="false">IF(OR(B2355="",N(N2355)=0,N2355=1000),"",INDEX(Rules!$C:$C,N2355))</f>
        <v/>
      </c>
      <c r="G2355" s="24"/>
      <c r="H2355" s="24"/>
      <c r="I2355" s="20" t="str">
        <f aca="false">IF(B2355="","",IF(G2355&lt;&gt;"",G2355,E2355))</f>
        <v/>
      </c>
      <c r="J2355" s="21" t="str">
        <f aca="false">IF(B2355="","",IF(H2355&lt;&gt;"",H2355,F2355))</f>
        <v/>
      </c>
      <c r="K2355" s="26" t="str">
        <f aca="false">IF(A2355="","",DATE(YEAR(A2355),MONTH(A2355),1))</f>
        <v/>
      </c>
      <c r="L2355" s="21" t="str">
        <f aca="false">IF(J2355="",IF(B2355="","",IF(N(C2355)&gt;=0,"Income","Expense")),IFERROR(INDEX(Lists!$B$2:$B$30,MATCH(J2355,Lists!$A$2:$A$30,0)),""))</f>
        <v/>
      </c>
      <c r="M2355" s="24"/>
      <c r="N2355" s="27" t="str">
        <f aca="false">IF(B2355="","",IFERROR(1000-SUMPRODUCT(MAX(ISNUMBER(SEARCH(Rules!$A$5:$A$204,B2355))*(Rules!$A$5:$A$204&lt;&gt;"")*(1000-ROW(Rules!$A$5:$A$204)))),""))</f>
        <v/>
      </c>
    </row>
    <row r="2356" customFormat="false" ht="15" hidden="false" customHeight="false" outlineLevel="0" collapsed="false">
      <c r="A2356" s="23"/>
      <c r="B2356" s="24"/>
      <c r="C2356" s="25"/>
      <c r="D2356" s="24"/>
      <c r="E2356" s="21" t="str">
        <f aca="false">IF(OR(B2356="",N(N2356)=0,N2356=1000),IF(B2356="","","Check"),INDEX(Rules!$B:$B,N2356))</f>
        <v/>
      </c>
      <c r="F2356" s="21" t="str">
        <f aca="false">IF(OR(B2356="",N(N2356)=0,N2356=1000),"",INDEX(Rules!$C:$C,N2356))</f>
        <v/>
      </c>
      <c r="G2356" s="24"/>
      <c r="H2356" s="24"/>
      <c r="I2356" s="20" t="str">
        <f aca="false">IF(B2356="","",IF(G2356&lt;&gt;"",G2356,E2356))</f>
        <v/>
      </c>
      <c r="J2356" s="21" t="str">
        <f aca="false">IF(B2356="","",IF(H2356&lt;&gt;"",H2356,F2356))</f>
        <v/>
      </c>
      <c r="K2356" s="26" t="str">
        <f aca="false">IF(A2356="","",DATE(YEAR(A2356),MONTH(A2356),1))</f>
        <v/>
      </c>
      <c r="L2356" s="21" t="str">
        <f aca="false">IF(J2356="",IF(B2356="","",IF(N(C2356)&gt;=0,"Income","Expense")),IFERROR(INDEX(Lists!$B$2:$B$30,MATCH(J2356,Lists!$A$2:$A$30,0)),""))</f>
        <v/>
      </c>
      <c r="M2356" s="24"/>
      <c r="N2356" s="27" t="str">
        <f aca="false">IF(B2356="","",IFERROR(1000-SUMPRODUCT(MAX(ISNUMBER(SEARCH(Rules!$A$5:$A$204,B2356))*(Rules!$A$5:$A$204&lt;&gt;"")*(1000-ROW(Rules!$A$5:$A$204)))),""))</f>
        <v/>
      </c>
    </row>
    <row r="2357" customFormat="false" ht="15" hidden="false" customHeight="false" outlineLevel="0" collapsed="false">
      <c r="A2357" s="23"/>
      <c r="B2357" s="24"/>
      <c r="C2357" s="25"/>
      <c r="D2357" s="24"/>
      <c r="E2357" s="21" t="str">
        <f aca="false">IF(OR(B2357="",N(N2357)=0,N2357=1000),IF(B2357="","","Check"),INDEX(Rules!$B:$B,N2357))</f>
        <v/>
      </c>
      <c r="F2357" s="21" t="str">
        <f aca="false">IF(OR(B2357="",N(N2357)=0,N2357=1000),"",INDEX(Rules!$C:$C,N2357))</f>
        <v/>
      </c>
      <c r="G2357" s="24"/>
      <c r="H2357" s="24"/>
      <c r="I2357" s="20" t="str">
        <f aca="false">IF(B2357="","",IF(G2357&lt;&gt;"",G2357,E2357))</f>
        <v/>
      </c>
      <c r="J2357" s="21" t="str">
        <f aca="false">IF(B2357="","",IF(H2357&lt;&gt;"",H2357,F2357))</f>
        <v/>
      </c>
      <c r="K2357" s="26" t="str">
        <f aca="false">IF(A2357="","",DATE(YEAR(A2357),MONTH(A2357),1))</f>
        <v/>
      </c>
      <c r="L2357" s="21" t="str">
        <f aca="false">IF(J2357="",IF(B2357="","",IF(N(C2357)&gt;=0,"Income","Expense")),IFERROR(INDEX(Lists!$B$2:$B$30,MATCH(J2357,Lists!$A$2:$A$30,0)),""))</f>
        <v/>
      </c>
      <c r="M2357" s="24"/>
      <c r="N2357" s="27" t="str">
        <f aca="false">IF(B2357="","",IFERROR(1000-SUMPRODUCT(MAX(ISNUMBER(SEARCH(Rules!$A$5:$A$204,B2357))*(Rules!$A$5:$A$204&lt;&gt;"")*(1000-ROW(Rules!$A$5:$A$204)))),""))</f>
        <v/>
      </c>
    </row>
    <row r="2358" customFormat="false" ht="15" hidden="false" customHeight="false" outlineLevel="0" collapsed="false">
      <c r="A2358" s="23"/>
      <c r="B2358" s="24"/>
      <c r="C2358" s="25"/>
      <c r="D2358" s="24"/>
      <c r="E2358" s="21" t="str">
        <f aca="false">IF(OR(B2358="",N(N2358)=0,N2358=1000),IF(B2358="","","Check"),INDEX(Rules!$B:$B,N2358))</f>
        <v/>
      </c>
      <c r="F2358" s="21" t="str">
        <f aca="false">IF(OR(B2358="",N(N2358)=0,N2358=1000),"",INDEX(Rules!$C:$C,N2358))</f>
        <v/>
      </c>
      <c r="G2358" s="24"/>
      <c r="H2358" s="24"/>
      <c r="I2358" s="20" t="str">
        <f aca="false">IF(B2358="","",IF(G2358&lt;&gt;"",G2358,E2358))</f>
        <v/>
      </c>
      <c r="J2358" s="21" t="str">
        <f aca="false">IF(B2358="","",IF(H2358&lt;&gt;"",H2358,F2358))</f>
        <v/>
      </c>
      <c r="K2358" s="26" t="str">
        <f aca="false">IF(A2358="","",DATE(YEAR(A2358),MONTH(A2358),1))</f>
        <v/>
      </c>
      <c r="L2358" s="21" t="str">
        <f aca="false">IF(J2358="",IF(B2358="","",IF(N(C2358)&gt;=0,"Income","Expense")),IFERROR(INDEX(Lists!$B$2:$B$30,MATCH(J2358,Lists!$A$2:$A$30,0)),""))</f>
        <v/>
      </c>
      <c r="M2358" s="24"/>
      <c r="N2358" s="27" t="str">
        <f aca="false">IF(B2358="","",IFERROR(1000-SUMPRODUCT(MAX(ISNUMBER(SEARCH(Rules!$A$5:$A$204,B2358))*(Rules!$A$5:$A$204&lt;&gt;"")*(1000-ROW(Rules!$A$5:$A$204)))),""))</f>
        <v/>
      </c>
    </row>
    <row r="2359" customFormat="false" ht="15" hidden="false" customHeight="false" outlineLevel="0" collapsed="false">
      <c r="A2359" s="23"/>
      <c r="B2359" s="24"/>
      <c r="C2359" s="25"/>
      <c r="D2359" s="24"/>
      <c r="E2359" s="21" t="str">
        <f aca="false">IF(OR(B2359="",N(N2359)=0,N2359=1000),IF(B2359="","","Check"),INDEX(Rules!$B:$B,N2359))</f>
        <v/>
      </c>
      <c r="F2359" s="21" t="str">
        <f aca="false">IF(OR(B2359="",N(N2359)=0,N2359=1000),"",INDEX(Rules!$C:$C,N2359))</f>
        <v/>
      </c>
      <c r="G2359" s="24"/>
      <c r="H2359" s="24"/>
      <c r="I2359" s="20" t="str">
        <f aca="false">IF(B2359="","",IF(G2359&lt;&gt;"",G2359,E2359))</f>
        <v/>
      </c>
      <c r="J2359" s="21" t="str">
        <f aca="false">IF(B2359="","",IF(H2359&lt;&gt;"",H2359,F2359))</f>
        <v/>
      </c>
      <c r="K2359" s="26" t="str">
        <f aca="false">IF(A2359="","",DATE(YEAR(A2359),MONTH(A2359),1))</f>
        <v/>
      </c>
      <c r="L2359" s="21" t="str">
        <f aca="false">IF(J2359="",IF(B2359="","",IF(N(C2359)&gt;=0,"Income","Expense")),IFERROR(INDEX(Lists!$B$2:$B$30,MATCH(J2359,Lists!$A$2:$A$30,0)),""))</f>
        <v/>
      </c>
      <c r="M2359" s="24"/>
      <c r="N2359" s="27" t="str">
        <f aca="false">IF(B2359="","",IFERROR(1000-SUMPRODUCT(MAX(ISNUMBER(SEARCH(Rules!$A$5:$A$204,B2359))*(Rules!$A$5:$A$204&lt;&gt;"")*(1000-ROW(Rules!$A$5:$A$204)))),""))</f>
        <v/>
      </c>
    </row>
    <row r="2360" customFormat="false" ht="15" hidden="false" customHeight="false" outlineLevel="0" collapsed="false">
      <c r="A2360" s="23"/>
      <c r="B2360" s="24"/>
      <c r="C2360" s="25"/>
      <c r="D2360" s="24"/>
      <c r="E2360" s="21" t="str">
        <f aca="false">IF(OR(B2360="",N(N2360)=0,N2360=1000),IF(B2360="","","Check"),INDEX(Rules!$B:$B,N2360))</f>
        <v/>
      </c>
      <c r="F2360" s="21" t="str">
        <f aca="false">IF(OR(B2360="",N(N2360)=0,N2360=1000),"",INDEX(Rules!$C:$C,N2360))</f>
        <v/>
      </c>
      <c r="G2360" s="24"/>
      <c r="H2360" s="24"/>
      <c r="I2360" s="20" t="str">
        <f aca="false">IF(B2360="","",IF(G2360&lt;&gt;"",G2360,E2360))</f>
        <v/>
      </c>
      <c r="J2360" s="21" t="str">
        <f aca="false">IF(B2360="","",IF(H2360&lt;&gt;"",H2360,F2360))</f>
        <v/>
      </c>
      <c r="K2360" s="26" t="str">
        <f aca="false">IF(A2360="","",DATE(YEAR(A2360),MONTH(A2360),1))</f>
        <v/>
      </c>
      <c r="L2360" s="21" t="str">
        <f aca="false">IF(J2360="",IF(B2360="","",IF(N(C2360)&gt;=0,"Income","Expense")),IFERROR(INDEX(Lists!$B$2:$B$30,MATCH(J2360,Lists!$A$2:$A$30,0)),""))</f>
        <v/>
      </c>
      <c r="M2360" s="24"/>
      <c r="N2360" s="27" t="str">
        <f aca="false">IF(B2360="","",IFERROR(1000-SUMPRODUCT(MAX(ISNUMBER(SEARCH(Rules!$A$5:$A$204,B2360))*(Rules!$A$5:$A$204&lt;&gt;"")*(1000-ROW(Rules!$A$5:$A$204)))),""))</f>
        <v/>
      </c>
    </row>
    <row r="2361" customFormat="false" ht="15" hidden="false" customHeight="false" outlineLevel="0" collapsed="false">
      <c r="A2361" s="23"/>
      <c r="B2361" s="24"/>
      <c r="C2361" s="25"/>
      <c r="D2361" s="24"/>
      <c r="E2361" s="21" t="str">
        <f aca="false">IF(OR(B2361="",N(N2361)=0,N2361=1000),IF(B2361="","","Check"),INDEX(Rules!$B:$B,N2361))</f>
        <v/>
      </c>
      <c r="F2361" s="21" t="str">
        <f aca="false">IF(OR(B2361="",N(N2361)=0,N2361=1000),"",INDEX(Rules!$C:$C,N2361))</f>
        <v/>
      </c>
      <c r="G2361" s="24"/>
      <c r="H2361" s="24"/>
      <c r="I2361" s="20" t="str">
        <f aca="false">IF(B2361="","",IF(G2361&lt;&gt;"",G2361,E2361))</f>
        <v/>
      </c>
      <c r="J2361" s="21" t="str">
        <f aca="false">IF(B2361="","",IF(H2361&lt;&gt;"",H2361,F2361))</f>
        <v/>
      </c>
      <c r="K2361" s="26" t="str">
        <f aca="false">IF(A2361="","",DATE(YEAR(A2361),MONTH(A2361),1))</f>
        <v/>
      </c>
      <c r="L2361" s="21" t="str">
        <f aca="false">IF(J2361="",IF(B2361="","",IF(N(C2361)&gt;=0,"Income","Expense")),IFERROR(INDEX(Lists!$B$2:$B$30,MATCH(J2361,Lists!$A$2:$A$30,0)),""))</f>
        <v/>
      </c>
      <c r="M2361" s="24"/>
      <c r="N2361" s="27" t="str">
        <f aca="false">IF(B2361="","",IFERROR(1000-SUMPRODUCT(MAX(ISNUMBER(SEARCH(Rules!$A$5:$A$204,B2361))*(Rules!$A$5:$A$204&lt;&gt;"")*(1000-ROW(Rules!$A$5:$A$204)))),""))</f>
        <v/>
      </c>
    </row>
    <row r="2362" customFormat="false" ht="15" hidden="false" customHeight="false" outlineLevel="0" collapsed="false">
      <c r="A2362" s="23"/>
      <c r="B2362" s="24"/>
      <c r="C2362" s="25"/>
      <c r="D2362" s="24"/>
      <c r="E2362" s="21" t="str">
        <f aca="false">IF(OR(B2362="",N(N2362)=0,N2362=1000),IF(B2362="","","Check"),INDEX(Rules!$B:$B,N2362))</f>
        <v/>
      </c>
      <c r="F2362" s="21" t="str">
        <f aca="false">IF(OR(B2362="",N(N2362)=0,N2362=1000),"",INDEX(Rules!$C:$C,N2362))</f>
        <v/>
      </c>
      <c r="G2362" s="24"/>
      <c r="H2362" s="24"/>
      <c r="I2362" s="20" t="str">
        <f aca="false">IF(B2362="","",IF(G2362&lt;&gt;"",G2362,E2362))</f>
        <v/>
      </c>
      <c r="J2362" s="21" t="str">
        <f aca="false">IF(B2362="","",IF(H2362&lt;&gt;"",H2362,F2362))</f>
        <v/>
      </c>
      <c r="K2362" s="26" t="str">
        <f aca="false">IF(A2362="","",DATE(YEAR(A2362),MONTH(A2362),1))</f>
        <v/>
      </c>
      <c r="L2362" s="21" t="str">
        <f aca="false">IF(J2362="",IF(B2362="","",IF(N(C2362)&gt;=0,"Income","Expense")),IFERROR(INDEX(Lists!$B$2:$B$30,MATCH(J2362,Lists!$A$2:$A$30,0)),""))</f>
        <v/>
      </c>
      <c r="M2362" s="24"/>
      <c r="N2362" s="27" t="str">
        <f aca="false">IF(B2362="","",IFERROR(1000-SUMPRODUCT(MAX(ISNUMBER(SEARCH(Rules!$A$5:$A$204,B2362))*(Rules!$A$5:$A$204&lt;&gt;"")*(1000-ROW(Rules!$A$5:$A$204)))),""))</f>
        <v/>
      </c>
    </row>
    <row r="2363" customFormat="false" ht="15" hidden="false" customHeight="false" outlineLevel="0" collapsed="false">
      <c r="A2363" s="23"/>
      <c r="B2363" s="24"/>
      <c r="C2363" s="25"/>
      <c r="D2363" s="24"/>
      <c r="E2363" s="21" t="str">
        <f aca="false">IF(OR(B2363="",N(N2363)=0,N2363=1000),IF(B2363="","","Check"),INDEX(Rules!$B:$B,N2363))</f>
        <v/>
      </c>
      <c r="F2363" s="21" t="str">
        <f aca="false">IF(OR(B2363="",N(N2363)=0,N2363=1000),"",INDEX(Rules!$C:$C,N2363))</f>
        <v/>
      </c>
      <c r="G2363" s="24"/>
      <c r="H2363" s="24"/>
      <c r="I2363" s="20" t="str">
        <f aca="false">IF(B2363="","",IF(G2363&lt;&gt;"",G2363,E2363))</f>
        <v/>
      </c>
      <c r="J2363" s="21" t="str">
        <f aca="false">IF(B2363="","",IF(H2363&lt;&gt;"",H2363,F2363))</f>
        <v/>
      </c>
      <c r="K2363" s="26" t="str">
        <f aca="false">IF(A2363="","",DATE(YEAR(A2363),MONTH(A2363),1))</f>
        <v/>
      </c>
      <c r="L2363" s="21" t="str">
        <f aca="false">IF(J2363="",IF(B2363="","",IF(N(C2363)&gt;=0,"Income","Expense")),IFERROR(INDEX(Lists!$B$2:$B$30,MATCH(J2363,Lists!$A$2:$A$30,0)),""))</f>
        <v/>
      </c>
      <c r="M2363" s="24"/>
      <c r="N2363" s="27" t="str">
        <f aca="false">IF(B2363="","",IFERROR(1000-SUMPRODUCT(MAX(ISNUMBER(SEARCH(Rules!$A$5:$A$204,B2363))*(Rules!$A$5:$A$204&lt;&gt;"")*(1000-ROW(Rules!$A$5:$A$204)))),""))</f>
        <v/>
      </c>
    </row>
    <row r="2364" customFormat="false" ht="15" hidden="false" customHeight="false" outlineLevel="0" collapsed="false">
      <c r="A2364" s="23"/>
      <c r="B2364" s="24"/>
      <c r="C2364" s="25"/>
      <c r="D2364" s="24"/>
      <c r="E2364" s="21" t="str">
        <f aca="false">IF(OR(B2364="",N(N2364)=0,N2364=1000),IF(B2364="","","Check"),INDEX(Rules!$B:$B,N2364))</f>
        <v/>
      </c>
      <c r="F2364" s="21" t="str">
        <f aca="false">IF(OR(B2364="",N(N2364)=0,N2364=1000),"",INDEX(Rules!$C:$C,N2364))</f>
        <v/>
      </c>
      <c r="G2364" s="24"/>
      <c r="H2364" s="24"/>
      <c r="I2364" s="20" t="str">
        <f aca="false">IF(B2364="","",IF(G2364&lt;&gt;"",G2364,E2364))</f>
        <v/>
      </c>
      <c r="J2364" s="21" t="str">
        <f aca="false">IF(B2364="","",IF(H2364&lt;&gt;"",H2364,F2364))</f>
        <v/>
      </c>
      <c r="K2364" s="26" t="str">
        <f aca="false">IF(A2364="","",DATE(YEAR(A2364),MONTH(A2364),1))</f>
        <v/>
      </c>
      <c r="L2364" s="21" t="str">
        <f aca="false">IF(J2364="",IF(B2364="","",IF(N(C2364)&gt;=0,"Income","Expense")),IFERROR(INDEX(Lists!$B$2:$B$30,MATCH(J2364,Lists!$A$2:$A$30,0)),""))</f>
        <v/>
      </c>
      <c r="M2364" s="24"/>
      <c r="N2364" s="27" t="str">
        <f aca="false">IF(B2364="","",IFERROR(1000-SUMPRODUCT(MAX(ISNUMBER(SEARCH(Rules!$A$5:$A$204,B2364))*(Rules!$A$5:$A$204&lt;&gt;"")*(1000-ROW(Rules!$A$5:$A$204)))),""))</f>
        <v/>
      </c>
    </row>
    <row r="2365" customFormat="false" ht="15" hidden="false" customHeight="false" outlineLevel="0" collapsed="false">
      <c r="A2365" s="23"/>
      <c r="B2365" s="24"/>
      <c r="C2365" s="25"/>
      <c r="D2365" s="24"/>
      <c r="E2365" s="21" t="str">
        <f aca="false">IF(OR(B2365="",N(N2365)=0,N2365=1000),IF(B2365="","","Check"),INDEX(Rules!$B:$B,N2365))</f>
        <v/>
      </c>
      <c r="F2365" s="21" t="str">
        <f aca="false">IF(OR(B2365="",N(N2365)=0,N2365=1000),"",INDEX(Rules!$C:$C,N2365))</f>
        <v/>
      </c>
      <c r="G2365" s="24"/>
      <c r="H2365" s="24"/>
      <c r="I2365" s="20" t="str">
        <f aca="false">IF(B2365="","",IF(G2365&lt;&gt;"",G2365,E2365))</f>
        <v/>
      </c>
      <c r="J2365" s="21" t="str">
        <f aca="false">IF(B2365="","",IF(H2365&lt;&gt;"",H2365,F2365))</f>
        <v/>
      </c>
      <c r="K2365" s="26" t="str">
        <f aca="false">IF(A2365="","",DATE(YEAR(A2365),MONTH(A2365),1))</f>
        <v/>
      </c>
      <c r="L2365" s="21" t="str">
        <f aca="false">IF(J2365="",IF(B2365="","",IF(N(C2365)&gt;=0,"Income","Expense")),IFERROR(INDEX(Lists!$B$2:$B$30,MATCH(J2365,Lists!$A$2:$A$30,0)),""))</f>
        <v/>
      </c>
      <c r="M2365" s="24"/>
      <c r="N2365" s="27" t="str">
        <f aca="false">IF(B2365="","",IFERROR(1000-SUMPRODUCT(MAX(ISNUMBER(SEARCH(Rules!$A$5:$A$204,B2365))*(Rules!$A$5:$A$204&lt;&gt;"")*(1000-ROW(Rules!$A$5:$A$204)))),""))</f>
        <v/>
      </c>
    </row>
    <row r="2366" customFormat="false" ht="15" hidden="false" customHeight="false" outlineLevel="0" collapsed="false">
      <c r="A2366" s="23"/>
      <c r="B2366" s="24"/>
      <c r="C2366" s="25"/>
      <c r="D2366" s="24"/>
      <c r="E2366" s="21" t="str">
        <f aca="false">IF(OR(B2366="",N(N2366)=0,N2366=1000),IF(B2366="","","Check"),INDEX(Rules!$B:$B,N2366))</f>
        <v/>
      </c>
      <c r="F2366" s="21" t="str">
        <f aca="false">IF(OR(B2366="",N(N2366)=0,N2366=1000),"",INDEX(Rules!$C:$C,N2366))</f>
        <v/>
      </c>
      <c r="G2366" s="24"/>
      <c r="H2366" s="24"/>
      <c r="I2366" s="20" t="str">
        <f aca="false">IF(B2366="","",IF(G2366&lt;&gt;"",G2366,E2366))</f>
        <v/>
      </c>
      <c r="J2366" s="21" t="str">
        <f aca="false">IF(B2366="","",IF(H2366&lt;&gt;"",H2366,F2366))</f>
        <v/>
      </c>
      <c r="K2366" s="26" t="str">
        <f aca="false">IF(A2366="","",DATE(YEAR(A2366),MONTH(A2366),1))</f>
        <v/>
      </c>
      <c r="L2366" s="21" t="str">
        <f aca="false">IF(J2366="",IF(B2366="","",IF(N(C2366)&gt;=0,"Income","Expense")),IFERROR(INDEX(Lists!$B$2:$B$30,MATCH(J2366,Lists!$A$2:$A$30,0)),""))</f>
        <v/>
      </c>
      <c r="M2366" s="24"/>
      <c r="N2366" s="27" t="str">
        <f aca="false">IF(B2366="","",IFERROR(1000-SUMPRODUCT(MAX(ISNUMBER(SEARCH(Rules!$A$5:$A$204,B2366))*(Rules!$A$5:$A$204&lt;&gt;"")*(1000-ROW(Rules!$A$5:$A$204)))),""))</f>
        <v/>
      </c>
    </row>
    <row r="2367" customFormat="false" ht="15" hidden="false" customHeight="false" outlineLevel="0" collapsed="false">
      <c r="A2367" s="23"/>
      <c r="B2367" s="24"/>
      <c r="C2367" s="25"/>
      <c r="D2367" s="24"/>
      <c r="E2367" s="21" t="str">
        <f aca="false">IF(OR(B2367="",N(N2367)=0,N2367=1000),IF(B2367="","","Check"),INDEX(Rules!$B:$B,N2367))</f>
        <v/>
      </c>
      <c r="F2367" s="21" t="str">
        <f aca="false">IF(OR(B2367="",N(N2367)=0,N2367=1000),"",INDEX(Rules!$C:$C,N2367))</f>
        <v/>
      </c>
      <c r="G2367" s="24"/>
      <c r="H2367" s="24"/>
      <c r="I2367" s="20" t="str">
        <f aca="false">IF(B2367="","",IF(G2367&lt;&gt;"",G2367,E2367))</f>
        <v/>
      </c>
      <c r="J2367" s="21" t="str">
        <f aca="false">IF(B2367="","",IF(H2367&lt;&gt;"",H2367,F2367))</f>
        <v/>
      </c>
      <c r="K2367" s="26" t="str">
        <f aca="false">IF(A2367="","",DATE(YEAR(A2367),MONTH(A2367),1))</f>
        <v/>
      </c>
      <c r="L2367" s="21" t="str">
        <f aca="false">IF(J2367="",IF(B2367="","",IF(N(C2367)&gt;=0,"Income","Expense")),IFERROR(INDEX(Lists!$B$2:$B$30,MATCH(J2367,Lists!$A$2:$A$30,0)),""))</f>
        <v/>
      </c>
      <c r="M2367" s="24"/>
      <c r="N2367" s="27" t="str">
        <f aca="false">IF(B2367="","",IFERROR(1000-SUMPRODUCT(MAX(ISNUMBER(SEARCH(Rules!$A$5:$A$204,B2367))*(Rules!$A$5:$A$204&lt;&gt;"")*(1000-ROW(Rules!$A$5:$A$204)))),""))</f>
        <v/>
      </c>
    </row>
    <row r="2368" customFormat="false" ht="15" hidden="false" customHeight="false" outlineLevel="0" collapsed="false">
      <c r="A2368" s="23"/>
      <c r="B2368" s="24"/>
      <c r="C2368" s="25"/>
      <c r="D2368" s="24"/>
      <c r="E2368" s="21" t="str">
        <f aca="false">IF(OR(B2368="",N(N2368)=0,N2368=1000),IF(B2368="","","Check"),INDEX(Rules!$B:$B,N2368))</f>
        <v/>
      </c>
      <c r="F2368" s="21" t="str">
        <f aca="false">IF(OR(B2368="",N(N2368)=0,N2368=1000),"",INDEX(Rules!$C:$C,N2368))</f>
        <v/>
      </c>
      <c r="G2368" s="24"/>
      <c r="H2368" s="24"/>
      <c r="I2368" s="20" t="str">
        <f aca="false">IF(B2368="","",IF(G2368&lt;&gt;"",G2368,E2368))</f>
        <v/>
      </c>
      <c r="J2368" s="21" t="str">
        <f aca="false">IF(B2368="","",IF(H2368&lt;&gt;"",H2368,F2368))</f>
        <v/>
      </c>
      <c r="K2368" s="26" t="str">
        <f aca="false">IF(A2368="","",DATE(YEAR(A2368),MONTH(A2368),1))</f>
        <v/>
      </c>
      <c r="L2368" s="21" t="str">
        <f aca="false">IF(J2368="",IF(B2368="","",IF(N(C2368)&gt;=0,"Income","Expense")),IFERROR(INDEX(Lists!$B$2:$B$30,MATCH(J2368,Lists!$A$2:$A$30,0)),""))</f>
        <v/>
      </c>
      <c r="M2368" s="24"/>
      <c r="N2368" s="27" t="str">
        <f aca="false">IF(B2368="","",IFERROR(1000-SUMPRODUCT(MAX(ISNUMBER(SEARCH(Rules!$A$5:$A$204,B2368))*(Rules!$A$5:$A$204&lt;&gt;"")*(1000-ROW(Rules!$A$5:$A$204)))),""))</f>
        <v/>
      </c>
    </row>
    <row r="2369" customFormat="false" ht="15" hidden="false" customHeight="false" outlineLevel="0" collapsed="false">
      <c r="A2369" s="23"/>
      <c r="B2369" s="24"/>
      <c r="C2369" s="25"/>
      <c r="D2369" s="24"/>
      <c r="E2369" s="21" t="str">
        <f aca="false">IF(OR(B2369="",N(N2369)=0,N2369=1000),IF(B2369="","","Check"),INDEX(Rules!$B:$B,N2369))</f>
        <v/>
      </c>
      <c r="F2369" s="21" t="str">
        <f aca="false">IF(OR(B2369="",N(N2369)=0,N2369=1000),"",INDEX(Rules!$C:$C,N2369))</f>
        <v/>
      </c>
      <c r="G2369" s="24"/>
      <c r="H2369" s="24"/>
      <c r="I2369" s="20" t="str">
        <f aca="false">IF(B2369="","",IF(G2369&lt;&gt;"",G2369,E2369))</f>
        <v/>
      </c>
      <c r="J2369" s="21" t="str">
        <f aca="false">IF(B2369="","",IF(H2369&lt;&gt;"",H2369,F2369))</f>
        <v/>
      </c>
      <c r="K2369" s="26" t="str">
        <f aca="false">IF(A2369="","",DATE(YEAR(A2369),MONTH(A2369),1))</f>
        <v/>
      </c>
      <c r="L2369" s="21" t="str">
        <f aca="false">IF(J2369="",IF(B2369="","",IF(N(C2369)&gt;=0,"Income","Expense")),IFERROR(INDEX(Lists!$B$2:$B$30,MATCH(J2369,Lists!$A$2:$A$30,0)),""))</f>
        <v/>
      </c>
      <c r="M2369" s="24"/>
      <c r="N2369" s="27" t="str">
        <f aca="false">IF(B2369="","",IFERROR(1000-SUMPRODUCT(MAX(ISNUMBER(SEARCH(Rules!$A$5:$A$204,B2369))*(Rules!$A$5:$A$204&lt;&gt;"")*(1000-ROW(Rules!$A$5:$A$204)))),""))</f>
        <v/>
      </c>
    </row>
    <row r="2370" customFormat="false" ht="15" hidden="false" customHeight="false" outlineLevel="0" collapsed="false">
      <c r="A2370" s="23"/>
      <c r="B2370" s="24"/>
      <c r="C2370" s="25"/>
      <c r="D2370" s="24"/>
      <c r="E2370" s="21" t="str">
        <f aca="false">IF(OR(B2370="",N(N2370)=0,N2370=1000),IF(B2370="","","Check"),INDEX(Rules!$B:$B,N2370))</f>
        <v/>
      </c>
      <c r="F2370" s="21" t="str">
        <f aca="false">IF(OR(B2370="",N(N2370)=0,N2370=1000),"",INDEX(Rules!$C:$C,N2370))</f>
        <v/>
      </c>
      <c r="G2370" s="24"/>
      <c r="H2370" s="24"/>
      <c r="I2370" s="20" t="str">
        <f aca="false">IF(B2370="","",IF(G2370&lt;&gt;"",G2370,E2370))</f>
        <v/>
      </c>
      <c r="J2370" s="21" t="str">
        <f aca="false">IF(B2370="","",IF(H2370&lt;&gt;"",H2370,F2370))</f>
        <v/>
      </c>
      <c r="K2370" s="26" t="str">
        <f aca="false">IF(A2370="","",DATE(YEAR(A2370),MONTH(A2370),1))</f>
        <v/>
      </c>
      <c r="L2370" s="21" t="str">
        <f aca="false">IF(J2370="",IF(B2370="","",IF(N(C2370)&gt;=0,"Income","Expense")),IFERROR(INDEX(Lists!$B$2:$B$30,MATCH(J2370,Lists!$A$2:$A$30,0)),""))</f>
        <v/>
      </c>
      <c r="M2370" s="24"/>
      <c r="N2370" s="27" t="str">
        <f aca="false">IF(B2370="","",IFERROR(1000-SUMPRODUCT(MAX(ISNUMBER(SEARCH(Rules!$A$5:$A$204,B2370))*(Rules!$A$5:$A$204&lt;&gt;"")*(1000-ROW(Rules!$A$5:$A$204)))),""))</f>
        <v/>
      </c>
    </row>
    <row r="2371" customFormat="false" ht="15" hidden="false" customHeight="false" outlineLevel="0" collapsed="false">
      <c r="A2371" s="23"/>
      <c r="B2371" s="24"/>
      <c r="C2371" s="25"/>
      <c r="D2371" s="24"/>
      <c r="E2371" s="21" t="str">
        <f aca="false">IF(OR(B2371="",N(N2371)=0,N2371=1000),IF(B2371="","","Check"),INDEX(Rules!$B:$B,N2371))</f>
        <v/>
      </c>
      <c r="F2371" s="21" t="str">
        <f aca="false">IF(OR(B2371="",N(N2371)=0,N2371=1000),"",INDEX(Rules!$C:$C,N2371))</f>
        <v/>
      </c>
      <c r="G2371" s="24"/>
      <c r="H2371" s="24"/>
      <c r="I2371" s="20" t="str">
        <f aca="false">IF(B2371="","",IF(G2371&lt;&gt;"",G2371,E2371))</f>
        <v/>
      </c>
      <c r="J2371" s="21" t="str">
        <f aca="false">IF(B2371="","",IF(H2371&lt;&gt;"",H2371,F2371))</f>
        <v/>
      </c>
      <c r="K2371" s="26" t="str">
        <f aca="false">IF(A2371="","",DATE(YEAR(A2371),MONTH(A2371),1))</f>
        <v/>
      </c>
      <c r="L2371" s="21" t="str">
        <f aca="false">IF(J2371="",IF(B2371="","",IF(N(C2371)&gt;=0,"Income","Expense")),IFERROR(INDEX(Lists!$B$2:$B$30,MATCH(J2371,Lists!$A$2:$A$30,0)),""))</f>
        <v/>
      </c>
      <c r="M2371" s="24"/>
      <c r="N2371" s="27" t="str">
        <f aca="false">IF(B2371="","",IFERROR(1000-SUMPRODUCT(MAX(ISNUMBER(SEARCH(Rules!$A$5:$A$204,B2371))*(Rules!$A$5:$A$204&lt;&gt;"")*(1000-ROW(Rules!$A$5:$A$204)))),""))</f>
        <v/>
      </c>
    </row>
    <row r="2372" customFormat="false" ht="15" hidden="false" customHeight="false" outlineLevel="0" collapsed="false">
      <c r="A2372" s="23"/>
      <c r="B2372" s="24"/>
      <c r="C2372" s="25"/>
      <c r="D2372" s="24"/>
      <c r="E2372" s="21" t="str">
        <f aca="false">IF(OR(B2372="",N(N2372)=0,N2372=1000),IF(B2372="","","Check"),INDEX(Rules!$B:$B,N2372))</f>
        <v/>
      </c>
      <c r="F2372" s="21" t="str">
        <f aca="false">IF(OR(B2372="",N(N2372)=0,N2372=1000),"",INDEX(Rules!$C:$C,N2372))</f>
        <v/>
      </c>
      <c r="G2372" s="24"/>
      <c r="H2372" s="24"/>
      <c r="I2372" s="20" t="str">
        <f aca="false">IF(B2372="","",IF(G2372&lt;&gt;"",G2372,E2372))</f>
        <v/>
      </c>
      <c r="J2372" s="21" t="str">
        <f aca="false">IF(B2372="","",IF(H2372&lt;&gt;"",H2372,F2372))</f>
        <v/>
      </c>
      <c r="K2372" s="26" t="str">
        <f aca="false">IF(A2372="","",DATE(YEAR(A2372),MONTH(A2372),1))</f>
        <v/>
      </c>
      <c r="L2372" s="21" t="str">
        <f aca="false">IF(J2372="",IF(B2372="","",IF(N(C2372)&gt;=0,"Income","Expense")),IFERROR(INDEX(Lists!$B$2:$B$30,MATCH(J2372,Lists!$A$2:$A$30,0)),""))</f>
        <v/>
      </c>
      <c r="M2372" s="24"/>
      <c r="N2372" s="27" t="str">
        <f aca="false">IF(B2372="","",IFERROR(1000-SUMPRODUCT(MAX(ISNUMBER(SEARCH(Rules!$A$5:$A$204,B2372))*(Rules!$A$5:$A$204&lt;&gt;"")*(1000-ROW(Rules!$A$5:$A$204)))),""))</f>
        <v/>
      </c>
    </row>
    <row r="2373" customFormat="false" ht="15" hidden="false" customHeight="false" outlineLevel="0" collapsed="false">
      <c r="A2373" s="23"/>
      <c r="B2373" s="24"/>
      <c r="C2373" s="25"/>
      <c r="D2373" s="24"/>
      <c r="E2373" s="21" t="str">
        <f aca="false">IF(OR(B2373="",N(N2373)=0,N2373=1000),IF(B2373="","","Check"),INDEX(Rules!$B:$B,N2373))</f>
        <v/>
      </c>
      <c r="F2373" s="21" t="str">
        <f aca="false">IF(OR(B2373="",N(N2373)=0,N2373=1000),"",INDEX(Rules!$C:$C,N2373))</f>
        <v/>
      </c>
      <c r="G2373" s="24"/>
      <c r="H2373" s="24"/>
      <c r="I2373" s="20" t="str">
        <f aca="false">IF(B2373="","",IF(G2373&lt;&gt;"",G2373,E2373))</f>
        <v/>
      </c>
      <c r="J2373" s="21" t="str">
        <f aca="false">IF(B2373="","",IF(H2373&lt;&gt;"",H2373,F2373))</f>
        <v/>
      </c>
      <c r="K2373" s="26" t="str">
        <f aca="false">IF(A2373="","",DATE(YEAR(A2373),MONTH(A2373),1))</f>
        <v/>
      </c>
      <c r="L2373" s="21" t="str">
        <f aca="false">IF(J2373="",IF(B2373="","",IF(N(C2373)&gt;=0,"Income","Expense")),IFERROR(INDEX(Lists!$B$2:$B$30,MATCH(J2373,Lists!$A$2:$A$30,0)),""))</f>
        <v/>
      </c>
      <c r="M2373" s="24"/>
      <c r="N2373" s="27" t="str">
        <f aca="false">IF(B2373="","",IFERROR(1000-SUMPRODUCT(MAX(ISNUMBER(SEARCH(Rules!$A$5:$A$204,B2373))*(Rules!$A$5:$A$204&lt;&gt;"")*(1000-ROW(Rules!$A$5:$A$204)))),""))</f>
        <v/>
      </c>
    </row>
    <row r="2374" customFormat="false" ht="15" hidden="false" customHeight="false" outlineLevel="0" collapsed="false">
      <c r="A2374" s="23"/>
      <c r="B2374" s="24"/>
      <c r="C2374" s="25"/>
      <c r="D2374" s="24"/>
      <c r="E2374" s="21" t="str">
        <f aca="false">IF(OR(B2374="",N(N2374)=0,N2374=1000),IF(B2374="","","Check"),INDEX(Rules!$B:$B,N2374))</f>
        <v/>
      </c>
      <c r="F2374" s="21" t="str">
        <f aca="false">IF(OR(B2374="",N(N2374)=0,N2374=1000),"",INDEX(Rules!$C:$C,N2374))</f>
        <v/>
      </c>
      <c r="G2374" s="24"/>
      <c r="H2374" s="24"/>
      <c r="I2374" s="20" t="str">
        <f aca="false">IF(B2374="","",IF(G2374&lt;&gt;"",G2374,E2374))</f>
        <v/>
      </c>
      <c r="J2374" s="21" t="str">
        <f aca="false">IF(B2374="","",IF(H2374&lt;&gt;"",H2374,F2374))</f>
        <v/>
      </c>
      <c r="K2374" s="26" t="str">
        <f aca="false">IF(A2374="","",DATE(YEAR(A2374),MONTH(A2374),1))</f>
        <v/>
      </c>
      <c r="L2374" s="21" t="str">
        <f aca="false">IF(J2374="",IF(B2374="","",IF(N(C2374)&gt;=0,"Income","Expense")),IFERROR(INDEX(Lists!$B$2:$B$30,MATCH(J2374,Lists!$A$2:$A$30,0)),""))</f>
        <v/>
      </c>
      <c r="M2374" s="24"/>
      <c r="N2374" s="27" t="str">
        <f aca="false">IF(B2374="","",IFERROR(1000-SUMPRODUCT(MAX(ISNUMBER(SEARCH(Rules!$A$5:$A$204,B2374))*(Rules!$A$5:$A$204&lt;&gt;"")*(1000-ROW(Rules!$A$5:$A$204)))),""))</f>
        <v/>
      </c>
    </row>
    <row r="2375" customFormat="false" ht="15" hidden="false" customHeight="false" outlineLevel="0" collapsed="false">
      <c r="A2375" s="23"/>
      <c r="B2375" s="24"/>
      <c r="C2375" s="25"/>
      <c r="D2375" s="24"/>
      <c r="E2375" s="21" t="str">
        <f aca="false">IF(OR(B2375="",N(N2375)=0,N2375=1000),IF(B2375="","","Check"),INDEX(Rules!$B:$B,N2375))</f>
        <v/>
      </c>
      <c r="F2375" s="21" t="str">
        <f aca="false">IF(OR(B2375="",N(N2375)=0,N2375=1000),"",INDEX(Rules!$C:$C,N2375))</f>
        <v/>
      </c>
      <c r="G2375" s="24"/>
      <c r="H2375" s="24"/>
      <c r="I2375" s="20" t="str">
        <f aca="false">IF(B2375="","",IF(G2375&lt;&gt;"",G2375,E2375))</f>
        <v/>
      </c>
      <c r="J2375" s="21" t="str">
        <f aca="false">IF(B2375="","",IF(H2375&lt;&gt;"",H2375,F2375))</f>
        <v/>
      </c>
      <c r="K2375" s="26" t="str">
        <f aca="false">IF(A2375="","",DATE(YEAR(A2375),MONTH(A2375),1))</f>
        <v/>
      </c>
      <c r="L2375" s="21" t="str">
        <f aca="false">IF(J2375="",IF(B2375="","",IF(N(C2375)&gt;=0,"Income","Expense")),IFERROR(INDEX(Lists!$B$2:$B$30,MATCH(J2375,Lists!$A$2:$A$30,0)),""))</f>
        <v/>
      </c>
      <c r="M2375" s="24"/>
      <c r="N2375" s="27" t="str">
        <f aca="false">IF(B2375="","",IFERROR(1000-SUMPRODUCT(MAX(ISNUMBER(SEARCH(Rules!$A$5:$A$204,B2375))*(Rules!$A$5:$A$204&lt;&gt;"")*(1000-ROW(Rules!$A$5:$A$204)))),""))</f>
        <v/>
      </c>
    </row>
    <row r="2376" customFormat="false" ht="15" hidden="false" customHeight="false" outlineLevel="0" collapsed="false">
      <c r="A2376" s="23"/>
      <c r="B2376" s="24"/>
      <c r="C2376" s="25"/>
      <c r="D2376" s="24"/>
      <c r="E2376" s="21" t="str">
        <f aca="false">IF(OR(B2376="",N(N2376)=0,N2376=1000),IF(B2376="","","Check"),INDEX(Rules!$B:$B,N2376))</f>
        <v/>
      </c>
      <c r="F2376" s="21" t="str">
        <f aca="false">IF(OR(B2376="",N(N2376)=0,N2376=1000),"",INDEX(Rules!$C:$C,N2376))</f>
        <v/>
      </c>
      <c r="G2376" s="24"/>
      <c r="H2376" s="24"/>
      <c r="I2376" s="20" t="str">
        <f aca="false">IF(B2376="","",IF(G2376&lt;&gt;"",G2376,E2376))</f>
        <v/>
      </c>
      <c r="J2376" s="21" t="str">
        <f aca="false">IF(B2376="","",IF(H2376&lt;&gt;"",H2376,F2376))</f>
        <v/>
      </c>
      <c r="K2376" s="26" t="str">
        <f aca="false">IF(A2376="","",DATE(YEAR(A2376),MONTH(A2376),1))</f>
        <v/>
      </c>
      <c r="L2376" s="21" t="str">
        <f aca="false">IF(J2376="",IF(B2376="","",IF(N(C2376)&gt;=0,"Income","Expense")),IFERROR(INDEX(Lists!$B$2:$B$30,MATCH(J2376,Lists!$A$2:$A$30,0)),""))</f>
        <v/>
      </c>
      <c r="M2376" s="24"/>
      <c r="N2376" s="27" t="str">
        <f aca="false">IF(B2376="","",IFERROR(1000-SUMPRODUCT(MAX(ISNUMBER(SEARCH(Rules!$A$5:$A$204,B2376))*(Rules!$A$5:$A$204&lt;&gt;"")*(1000-ROW(Rules!$A$5:$A$204)))),""))</f>
        <v/>
      </c>
    </row>
    <row r="2377" customFormat="false" ht="15" hidden="false" customHeight="false" outlineLevel="0" collapsed="false">
      <c r="A2377" s="23"/>
      <c r="B2377" s="24"/>
      <c r="C2377" s="25"/>
      <c r="D2377" s="24"/>
      <c r="E2377" s="21" t="str">
        <f aca="false">IF(OR(B2377="",N(N2377)=0,N2377=1000),IF(B2377="","","Check"),INDEX(Rules!$B:$B,N2377))</f>
        <v/>
      </c>
      <c r="F2377" s="21" t="str">
        <f aca="false">IF(OR(B2377="",N(N2377)=0,N2377=1000),"",INDEX(Rules!$C:$C,N2377))</f>
        <v/>
      </c>
      <c r="G2377" s="24"/>
      <c r="H2377" s="24"/>
      <c r="I2377" s="20" t="str">
        <f aca="false">IF(B2377="","",IF(G2377&lt;&gt;"",G2377,E2377))</f>
        <v/>
      </c>
      <c r="J2377" s="21" t="str">
        <f aca="false">IF(B2377="","",IF(H2377&lt;&gt;"",H2377,F2377))</f>
        <v/>
      </c>
      <c r="K2377" s="26" t="str">
        <f aca="false">IF(A2377="","",DATE(YEAR(A2377),MONTH(A2377),1))</f>
        <v/>
      </c>
      <c r="L2377" s="21" t="str">
        <f aca="false">IF(J2377="",IF(B2377="","",IF(N(C2377)&gt;=0,"Income","Expense")),IFERROR(INDEX(Lists!$B$2:$B$30,MATCH(J2377,Lists!$A$2:$A$30,0)),""))</f>
        <v/>
      </c>
      <c r="M2377" s="24"/>
      <c r="N2377" s="27" t="str">
        <f aca="false">IF(B2377="","",IFERROR(1000-SUMPRODUCT(MAX(ISNUMBER(SEARCH(Rules!$A$5:$A$204,B2377))*(Rules!$A$5:$A$204&lt;&gt;"")*(1000-ROW(Rules!$A$5:$A$204)))),""))</f>
        <v/>
      </c>
    </row>
    <row r="2378" customFormat="false" ht="15" hidden="false" customHeight="false" outlineLevel="0" collapsed="false">
      <c r="A2378" s="23"/>
      <c r="B2378" s="24"/>
      <c r="C2378" s="25"/>
      <c r="D2378" s="24"/>
      <c r="E2378" s="21" t="str">
        <f aca="false">IF(OR(B2378="",N(N2378)=0,N2378=1000),IF(B2378="","","Check"),INDEX(Rules!$B:$B,N2378))</f>
        <v/>
      </c>
      <c r="F2378" s="21" t="str">
        <f aca="false">IF(OR(B2378="",N(N2378)=0,N2378=1000),"",INDEX(Rules!$C:$C,N2378))</f>
        <v/>
      </c>
      <c r="G2378" s="24"/>
      <c r="H2378" s="24"/>
      <c r="I2378" s="20" t="str">
        <f aca="false">IF(B2378="","",IF(G2378&lt;&gt;"",G2378,E2378))</f>
        <v/>
      </c>
      <c r="J2378" s="21" t="str">
        <f aca="false">IF(B2378="","",IF(H2378&lt;&gt;"",H2378,F2378))</f>
        <v/>
      </c>
      <c r="K2378" s="26" t="str">
        <f aca="false">IF(A2378="","",DATE(YEAR(A2378),MONTH(A2378),1))</f>
        <v/>
      </c>
      <c r="L2378" s="21" t="str">
        <f aca="false">IF(J2378="",IF(B2378="","",IF(N(C2378)&gt;=0,"Income","Expense")),IFERROR(INDEX(Lists!$B$2:$B$30,MATCH(J2378,Lists!$A$2:$A$30,0)),""))</f>
        <v/>
      </c>
      <c r="M2378" s="24"/>
      <c r="N2378" s="27" t="str">
        <f aca="false">IF(B2378="","",IFERROR(1000-SUMPRODUCT(MAX(ISNUMBER(SEARCH(Rules!$A$5:$A$204,B2378))*(Rules!$A$5:$A$204&lt;&gt;"")*(1000-ROW(Rules!$A$5:$A$204)))),""))</f>
        <v/>
      </c>
    </row>
    <row r="2379" customFormat="false" ht="15" hidden="false" customHeight="false" outlineLevel="0" collapsed="false">
      <c r="A2379" s="23"/>
      <c r="B2379" s="24"/>
      <c r="C2379" s="25"/>
      <c r="D2379" s="24"/>
      <c r="E2379" s="21" t="str">
        <f aca="false">IF(OR(B2379="",N(N2379)=0,N2379=1000),IF(B2379="","","Check"),INDEX(Rules!$B:$B,N2379))</f>
        <v/>
      </c>
      <c r="F2379" s="21" t="str">
        <f aca="false">IF(OR(B2379="",N(N2379)=0,N2379=1000),"",INDEX(Rules!$C:$C,N2379))</f>
        <v/>
      </c>
      <c r="G2379" s="24"/>
      <c r="H2379" s="24"/>
      <c r="I2379" s="20" t="str">
        <f aca="false">IF(B2379="","",IF(G2379&lt;&gt;"",G2379,E2379))</f>
        <v/>
      </c>
      <c r="J2379" s="21" t="str">
        <f aca="false">IF(B2379="","",IF(H2379&lt;&gt;"",H2379,F2379))</f>
        <v/>
      </c>
      <c r="K2379" s="26" t="str">
        <f aca="false">IF(A2379="","",DATE(YEAR(A2379),MONTH(A2379),1))</f>
        <v/>
      </c>
      <c r="L2379" s="21" t="str">
        <f aca="false">IF(J2379="",IF(B2379="","",IF(N(C2379)&gt;=0,"Income","Expense")),IFERROR(INDEX(Lists!$B$2:$B$30,MATCH(J2379,Lists!$A$2:$A$30,0)),""))</f>
        <v/>
      </c>
      <c r="M2379" s="24"/>
      <c r="N2379" s="27" t="str">
        <f aca="false">IF(B2379="","",IFERROR(1000-SUMPRODUCT(MAX(ISNUMBER(SEARCH(Rules!$A$5:$A$204,B2379))*(Rules!$A$5:$A$204&lt;&gt;"")*(1000-ROW(Rules!$A$5:$A$204)))),""))</f>
        <v/>
      </c>
    </row>
    <row r="2380" customFormat="false" ht="15" hidden="false" customHeight="false" outlineLevel="0" collapsed="false">
      <c r="A2380" s="23"/>
      <c r="B2380" s="24"/>
      <c r="C2380" s="25"/>
      <c r="D2380" s="24"/>
      <c r="E2380" s="21" t="str">
        <f aca="false">IF(OR(B2380="",N(N2380)=0,N2380=1000),IF(B2380="","","Check"),INDEX(Rules!$B:$B,N2380))</f>
        <v/>
      </c>
      <c r="F2380" s="21" t="str">
        <f aca="false">IF(OR(B2380="",N(N2380)=0,N2380=1000),"",INDEX(Rules!$C:$C,N2380))</f>
        <v/>
      </c>
      <c r="G2380" s="24"/>
      <c r="H2380" s="24"/>
      <c r="I2380" s="20" t="str">
        <f aca="false">IF(B2380="","",IF(G2380&lt;&gt;"",G2380,E2380))</f>
        <v/>
      </c>
      <c r="J2380" s="21" t="str">
        <f aca="false">IF(B2380="","",IF(H2380&lt;&gt;"",H2380,F2380))</f>
        <v/>
      </c>
      <c r="K2380" s="26" t="str">
        <f aca="false">IF(A2380="","",DATE(YEAR(A2380),MONTH(A2380),1))</f>
        <v/>
      </c>
      <c r="L2380" s="21" t="str">
        <f aca="false">IF(J2380="",IF(B2380="","",IF(N(C2380)&gt;=0,"Income","Expense")),IFERROR(INDEX(Lists!$B$2:$B$30,MATCH(J2380,Lists!$A$2:$A$30,0)),""))</f>
        <v/>
      </c>
      <c r="M2380" s="24"/>
      <c r="N2380" s="27" t="str">
        <f aca="false">IF(B2380="","",IFERROR(1000-SUMPRODUCT(MAX(ISNUMBER(SEARCH(Rules!$A$5:$A$204,B2380))*(Rules!$A$5:$A$204&lt;&gt;"")*(1000-ROW(Rules!$A$5:$A$204)))),""))</f>
        <v/>
      </c>
    </row>
    <row r="2381" customFormat="false" ht="15" hidden="false" customHeight="false" outlineLevel="0" collapsed="false">
      <c r="A2381" s="23"/>
      <c r="B2381" s="24"/>
      <c r="C2381" s="25"/>
      <c r="D2381" s="24"/>
      <c r="E2381" s="21" t="str">
        <f aca="false">IF(OR(B2381="",N(N2381)=0,N2381=1000),IF(B2381="","","Check"),INDEX(Rules!$B:$B,N2381))</f>
        <v/>
      </c>
      <c r="F2381" s="21" t="str">
        <f aca="false">IF(OR(B2381="",N(N2381)=0,N2381=1000),"",INDEX(Rules!$C:$C,N2381))</f>
        <v/>
      </c>
      <c r="G2381" s="24"/>
      <c r="H2381" s="24"/>
      <c r="I2381" s="20" t="str">
        <f aca="false">IF(B2381="","",IF(G2381&lt;&gt;"",G2381,E2381))</f>
        <v/>
      </c>
      <c r="J2381" s="21" t="str">
        <f aca="false">IF(B2381="","",IF(H2381&lt;&gt;"",H2381,F2381))</f>
        <v/>
      </c>
      <c r="K2381" s="26" t="str">
        <f aca="false">IF(A2381="","",DATE(YEAR(A2381),MONTH(A2381),1))</f>
        <v/>
      </c>
      <c r="L2381" s="21" t="str">
        <f aca="false">IF(J2381="",IF(B2381="","",IF(N(C2381)&gt;=0,"Income","Expense")),IFERROR(INDEX(Lists!$B$2:$B$30,MATCH(J2381,Lists!$A$2:$A$30,0)),""))</f>
        <v/>
      </c>
      <c r="M2381" s="24"/>
      <c r="N2381" s="27" t="str">
        <f aca="false">IF(B2381="","",IFERROR(1000-SUMPRODUCT(MAX(ISNUMBER(SEARCH(Rules!$A$5:$A$204,B2381))*(Rules!$A$5:$A$204&lt;&gt;"")*(1000-ROW(Rules!$A$5:$A$204)))),""))</f>
        <v/>
      </c>
    </row>
    <row r="2382" customFormat="false" ht="15" hidden="false" customHeight="false" outlineLevel="0" collapsed="false">
      <c r="A2382" s="23"/>
      <c r="B2382" s="24"/>
      <c r="C2382" s="25"/>
      <c r="D2382" s="24"/>
      <c r="E2382" s="21" t="str">
        <f aca="false">IF(OR(B2382="",N(N2382)=0,N2382=1000),IF(B2382="","","Check"),INDEX(Rules!$B:$B,N2382))</f>
        <v/>
      </c>
      <c r="F2382" s="21" t="str">
        <f aca="false">IF(OR(B2382="",N(N2382)=0,N2382=1000),"",INDEX(Rules!$C:$C,N2382))</f>
        <v/>
      </c>
      <c r="G2382" s="24"/>
      <c r="H2382" s="24"/>
      <c r="I2382" s="20" t="str">
        <f aca="false">IF(B2382="","",IF(G2382&lt;&gt;"",G2382,E2382))</f>
        <v/>
      </c>
      <c r="J2382" s="21" t="str">
        <f aca="false">IF(B2382="","",IF(H2382&lt;&gt;"",H2382,F2382))</f>
        <v/>
      </c>
      <c r="K2382" s="26" t="str">
        <f aca="false">IF(A2382="","",DATE(YEAR(A2382),MONTH(A2382),1))</f>
        <v/>
      </c>
      <c r="L2382" s="21" t="str">
        <f aca="false">IF(J2382="",IF(B2382="","",IF(N(C2382)&gt;=0,"Income","Expense")),IFERROR(INDEX(Lists!$B$2:$B$30,MATCH(J2382,Lists!$A$2:$A$30,0)),""))</f>
        <v/>
      </c>
      <c r="M2382" s="24"/>
      <c r="N2382" s="27" t="str">
        <f aca="false">IF(B2382="","",IFERROR(1000-SUMPRODUCT(MAX(ISNUMBER(SEARCH(Rules!$A$5:$A$204,B2382))*(Rules!$A$5:$A$204&lt;&gt;"")*(1000-ROW(Rules!$A$5:$A$204)))),""))</f>
        <v/>
      </c>
    </row>
    <row r="2383" customFormat="false" ht="15" hidden="false" customHeight="false" outlineLevel="0" collapsed="false">
      <c r="A2383" s="23"/>
      <c r="B2383" s="24"/>
      <c r="C2383" s="25"/>
      <c r="D2383" s="24"/>
      <c r="E2383" s="21" t="str">
        <f aca="false">IF(OR(B2383="",N(N2383)=0,N2383=1000),IF(B2383="","","Check"),INDEX(Rules!$B:$B,N2383))</f>
        <v/>
      </c>
      <c r="F2383" s="21" t="str">
        <f aca="false">IF(OR(B2383="",N(N2383)=0,N2383=1000),"",INDEX(Rules!$C:$C,N2383))</f>
        <v/>
      </c>
      <c r="G2383" s="24"/>
      <c r="H2383" s="24"/>
      <c r="I2383" s="20" t="str">
        <f aca="false">IF(B2383="","",IF(G2383&lt;&gt;"",G2383,E2383))</f>
        <v/>
      </c>
      <c r="J2383" s="21" t="str">
        <f aca="false">IF(B2383="","",IF(H2383&lt;&gt;"",H2383,F2383))</f>
        <v/>
      </c>
      <c r="K2383" s="26" t="str">
        <f aca="false">IF(A2383="","",DATE(YEAR(A2383),MONTH(A2383),1))</f>
        <v/>
      </c>
      <c r="L2383" s="21" t="str">
        <f aca="false">IF(J2383="",IF(B2383="","",IF(N(C2383)&gt;=0,"Income","Expense")),IFERROR(INDEX(Lists!$B$2:$B$30,MATCH(J2383,Lists!$A$2:$A$30,0)),""))</f>
        <v/>
      </c>
      <c r="M2383" s="24"/>
      <c r="N2383" s="27" t="str">
        <f aca="false">IF(B2383="","",IFERROR(1000-SUMPRODUCT(MAX(ISNUMBER(SEARCH(Rules!$A$5:$A$204,B2383))*(Rules!$A$5:$A$204&lt;&gt;"")*(1000-ROW(Rules!$A$5:$A$204)))),""))</f>
        <v/>
      </c>
    </row>
    <row r="2384" customFormat="false" ht="15" hidden="false" customHeight="false" outlineLevel="0" collapsed="false">
      <c r="A2384" s="23"/>
      <c r="B2384" s="24"/>
      <c r="C2384" s="25"/>
      <c r="D2384" s="24"/>
      <c r="E2384" s="21" t="str">
        <f aca="false">IF(OR(B2384="",N(N2384)=0,N2384=1000),IF(B2384="","","Check"),INDEX(Rules!$B:$B,N2384))</f>
        <v/>
      </c>
      <c r="F2384" s="21" t="str">
        <f aca="false">IF(OR(B2384="",N(N2384)=0,N2384=1000),"",INDEX(Rules!$C:$C,N2384))</f>
        <v/>
      </c>
      <c r="G2384" s="24"/>
      <c r="H2384" s="24"/>
      <c r="I2384" s="20" t="str">
        <f aca="false">IF(B2384="","",IF(G2384&lt;&gt;"",G2384,E2384))</f>
        <v/>
      </c>
      <c r="J2384" s="21" t="str">
        <f aca="false">IF(B2384="","",IF(H2384&lt;&gt;"",H2384,F2384))</f>
        <v/>
      </c>
      <c r="K2384" s="26" t="str">
        <f aca="false">IF(A2384="","",DATE(YEAR(A2384),MONTH(A2384),1))</f>
        <v/>
      </c>
      <c r="L2384" s="21" t="str">
        <f aca="false">IF(J2384="",IF(B2384="","",IF(N(C2384)&gt;=0,"Income","Expense")),IFERROR(INDEX(Lists!$B$2:$B$30,MATCH(J2384,Lists!$A$2:$A$30,0)),""))</f>
        <v/>
      </c>
      <c r="M2384" s="24"/>
      <c r="N2384" s="27" t="str">
        <f aca="false">IF(B2384="","",IFERROR(1000-SUMPRODUCT(MAX(ISNUMBER(SEARCH(Rules!$A$5:$A$204,B2384))*(Rules!$A$5:$A$204&lt;&gt;"")*(1000-ROW(Rules!$A$5:$A$204)))),""))</f>
        <v/>
      </c>
    </row>
    <row r="2385" customFormat="false" ht="15" hidden="false" customHeight="false" outlineLevel="0" collapsed="false">
      <c r="A2385" s="23"/>
      <c r="B2385" s="24"/>
      <c r="C2385" s="25"/>
      <c r="D2385" s="24"/>
      <c r="E2385" s="21" t="str">
        <f aca="false">IF(OR(B2385="",N(N2385)=0,N2385=1000),IF(B2385="","","Check"),INDEX(Rules!$B:$B,N2385))</f>
        <v/>
      </c>
      <c r="F2385" s="21" t="str">
        <f aca="false">IF(OR(B2385="",N(N2385)=0,N2385=1000),"",INDEX(Rules!$C:$C,N2385))</f>
        <v/>
      </c>
      <c r="G2385" s="24"/>
      <c r="H2385" s="24"/>
      <c r="I2385" s="20" t="str">
        <f aca="false">IF(B2385="","",IF(G2385&lt;&gt;"",G2385,E2385))</f>
        <v/>
      </c>
      <c r="J2385" s="21" t="str">
        <f aca="false">IF(B2385="","",IF(H2385&lt;&gt;"",H2385,F2385))</f>
        <v/>
      </c>
      <c r="K2385" s="26" t="str">
        <f aca="false">IF(A2385="","",DATE(YEAR(A2385),MONTH(A2385),1))</f>
        <v/>
      </c>
      <c r="L2385" s="21" t="str">
        <f aca="false">IF(J2385="",IF(B2385="","",IF(N(C2385)&gt;=0,"Income","Expense")),IFERROR(INDEX(Lists!$B$2:$B$30,MATCH(J2385,Lists!$A$2:$A$30,0)),""))</f>
        <v/>
      </c>
      <c r="M2385" s="24"/>
      <c r="N2385" s="27" t="str">
        <f aca="false">IF(B2385="","",IFERROR(1000-SUMPRODUCT(MAX(ISNUMBER(SEARCH(Rules!$A$5:$A$204,B2385))*(Rules!$A$5:$A$204&lt;&gt;"")*(1000-ROW(Rules!$A$5:$A$204)))),""))</f>
        <v/>
      </c>
    </row>
    <row r="2386" customFormat="false" ht="15" hidden="false" customHeight="false" outlineLevel="0" collapsed="false">
      <c r="A2386" s="23"/>
      <c r="B2386" s="24"/>
      <c r="C2386" s="25"/>
      <c r="D2386" s="24"/>
      <c r="E2386" s="21" t="str">
        <f aca="false">IF(OR(B2386="",N(N2386)=0,N2386=1000),IF(B2386="","","Check"),INDEX(Rules!$B:$B,N2386))</f>
        <v/>
      </c>
      <c r="F2386" s="21" t="str">
        <f aca="false">IF(OR(B2386="",N(N2386)=0,N2386=1000),"",INDEX(Rules!$C:$C,N2386))</f>
        <v/>
      </c>
      <c r="G2386" s="24"/>
      <c r="H2386" s="24"/>
      <c r="I2386" s="20" t="str">
        <f aca="false">IF(B2386="","",IF(G2386&lt;&gt;"",G2386,E2386))</f>
        <v/>
      </c>
      <c r="J2386" s="21" t="str">
        <f aca="false">IF(B2386="","",IF(H2386&lt;&gt;"",H2386,F2386))</f>
        <v/>
      </c>
      <c r="K2386" s="26" t="str">
        <f aca="false">IF(A2386="","",DATE(YEAR(A2386),MONTH(A2386),1))</f>
        <v/>
      </c>
      <c r="L2386" s="21" t="str">
        <f aca="false">IF(J2386="",IF(B2386="","",IF(N(C2386)&gt;=0,"Income","Expense")),IFERROR(INDEX(Lists!$B$2:$B$30,MATCH(J2386,Lists!$A$2:$A$30,0)),""))</f>
        <v/>
      </c>
      <c r="M2386" s="24"/>
      <c r="N2386" s="27" t="str">
        <f aca="false">IF(B2386="","",IFERROR(1000-SUMPRODUCT(MAX(ISNUMBER(SEARCH(Rules!$A$5:$A$204,B2386))*(Rules!$A$5:$A$204&lt;&gt;"")*(1000-ROW(Rules!$A$5:$A$204)))),""))</f>
        <v/>
      </c>
    </row>
    <row r="2387" customFormat="false" ht="15" hidden="false" customHeight="false" outlineLevel="0" collapsed="false">
      <c r="A2387" s="23"/>
      <c r="B2387" s="24"/>
      <c r="C2387" s="25"/>
      <c r="D2387" s="24"/>
      <c r="E2387" s="21" t="str">
        <f aca="false">IF(OR(B2387="",N(N2387)=0,N2387=1000),IF(B2387="","","Check"),INDEX(Rules!$B:$B,N2387))</f>
        <v/>
      </c>
      <c r="F2387" s="21" t="str">
        <f aca="false">IF(OR(B2387="",N(N2387)=0,N2387=1000),"",INDEX(Rules!$C:$C,N2387))</f>
        <v/>
      </c>
      <c r="G2387" s="24"/>
      <c r="H2387" s="24"/>
      <c r="I2387" s="20" t="str">
        <f aca="false">IF(B2387="","",IF(G2387&lt;&gt;"",G2387,E2387))</f>
        <v/>
      </c>
      <c r="J2387" s="21" t="str">
        <f aca="false">IF(B2387="","",IF(H2387&lt;&gt;"",H2387,F2387))</f>
        <v/>
      </c>
      <c r="K2387" s="26" t="str">
        <f aca="false">IF(A2387="","",DATE(YEAR(A2387),MONTH(A2387),1))</f>
        <v/>
      </c>
      <c r="L2387" s="21" t="str">
        <f aca="false">IF(J2387="",IF(B2387="","",IF(N(C2387)&gt;=0,"Income","Expense")),IFERROR(INDEX(Lists!$B$2:$B$30,MATCH(J2387,Lists!$A$2:$A$30,0)),""))</f>
        <v/>
      </c>
      <c r="M2387" s="24"/>
      <c r="N2387" s="27" t="str">
        <f aca="false">IF(B2387="","",IFERROR(1000-SUMPRODUCT(MAX(ISNUMBER(SEARCH(Rules!$A$5:$A$204,B2387))*(Rules!$A$5:$A$204&lt;&gt;"")*(1000-ROW(Rules!$A$5:$A$204)))),""))</f>
        <v/>
      </c>
    </row>
    <row r="2388" customFormat="false" ht="15" hidden="false" customHeight="false" outlineLevel="0" collapsed="false">
      <c r="A2388" s="23"/>
      <c r="B2388" s="24"/>
      <c r="C2388" s="25"/>
      <c r="D2388" s="24"/>
      <c r="E2388" s="21" t="str">
        <f aca="false">IF(OR(B2388="",N(N2388)=0,N2388=1000),IF(B2388="","","Check"),INDEX(Rules!$B:$B,N2388))</f>
        <v/>
      </c>
      <c r="F2388" s="21" t="str">
        <f aca="false">IF(OR(B2388="",N(N2388)=0,N2388=1000),"",INDEX(Rules!$C:$C,N2388))</f>
        <v/>
      </c>
      <c r="G2388" s="24"/>
      <c r="H2388" s="24"/>
      <c r="I2388" s="20" t="str">
        <f aca="false">IF(B2388="","",IF(G2388&lt;&gt;"",G2388,E2388))</f>
        <v/>
      </c>
      <c r="J2388" s="21" t="str">
        <f aca="false">IF(B2388="","",IF(H2388&lt;&gt;"",H2388,F2388))</f>
        <v/>
      </c>
      <c r="K2388" s="26" t="str">
        <f aca="false">IF(A2388="","",DATE(YEAR(A2388),MONTH(A2388),1))</f>
        <v/>
      </c>
      <c r="L2388" s="21" t="str">
        <f aca="false">IF(J2388="",IF(B2388="","",IF(N(C2388)&gt;=0,"Income","Expense")),IFERROR(INDEX(Lists!$B$2:$B$30,MATCH(J2388,Lists!$A$2:$A$30,0)),""))</f>
        <v/>
      </c>
      <c r="M2388" s="24"/>
      <c r="N2388" s="27" t="str">
        <f aca="false">IF(B2388="","",IFERROR(1000-SUMPRODUCT(MAX(ISNUMBER(SEARCH(Rules!$A$5:$A$204,B2388))*(Rules!$A$5:$A$204&lt;&gt;"")*(1000-ROW(Rules!$A$5:$A$204)))),""))</f>
        <v/>
      </c>
    </row>
    <row r="2389" customFormat="false" ht="15" hidden="false" customHeight="false" outlineLevel="0" collapsed="false">
      <c r="A2389" s="23"/>
      <c r="B2389" s="24"/>
      <c r="C2389" s="25"/>
      <c r="D2389" s="24"/>
      <c r="E2389" s="21" t="str">
        <f aca="false">IF(OR(B2389="",N(N2389)=0,N2389=1000),IF(B2389="","","Check"),INDEX(Rules!$B:$B,N2389))</f>
        <v/>
      </c>
      <c r="F2389" s="21" t="str">
        <f aca="false">IF(OR(B2389="",N(N2389)=0,N2389=1000),"",INDEX(Rules!$C:$C,N2389))</f>
        <v/>
      </c>
      <c r="G2389" s="24"/>
      <c r="H2389" s="24"/>
      <c r="I2389" s="20" t="str">
        <f aca="false">IF(B2389="","",IF(G2389&lt;&gt;"",G2389,E2389))</f>
        <v/>
      </c>
      <c r="J2389" s="21" t="str">
        <f aca="false">IF(B2389="","",IF(H2389&lt;&gt;"",H2389,F2389))</f>
        <v/>
      </c>
      <c r="K2389" s="26" t="str">
        <f aca="false">IF(A2389="","",DATE(YEAR(A2389),MONTH(A2389),1))</f>
        <v/>
      </c>
      <c r="L2389" s="21" t="str">
        <f aca="false">IF(J2389="",IF(B2389="","",IF(N(C2389)&gt;=0,"Income","Expense")),IFERROR(INDEX(Lists!$B$2:$B$30,MATCH(J2389,Lists!$A$2:$A$30,0)),""))</f>
        <v/>
      </c>
      <c r="M2389" s="24"/>
      <c r="N2389" s="27" t="str">
        <f aca="false">IF(B2389="","",IFERROR(1000-SUMPRODUCT(MAX(ISNUMBER(SEARCH(Rules!$A$5:$A$204,B2389))*(Rules!$A$5:$A$204&lt;&gt;"")*(1000-ROW(Rules!$A$5:$A$204)))),""))</f>
        <v/>
      </c>
    </row>
    <row r="2390" customFormat="false" ht="15" hidden="false" customHeight="false" outlineLevel="0" collapsed="false">
      <c r="A2390" s="23"/>
      <c r="B2390" s="24"/>
      <c r="C2390" s="25"/>
      <c r="D2390" s="24"/>
      <c r="E2390" s="21" t="str">
        <f aca="false">IF(OR(B2390="",N(N2390)=0,N2390=1000),IF(B2390="","","Check"),INDEX(Rules!$B:$B,N2390))</f>
        <v/>
      </c>
      <c r="F2390" s="21" t="str">
        <f aca="false">IF(OR(B2390="",N(N2390)=0,N2390=1000),"",INDEX(Rules!$C:$C,N2390))</f>
        <v/>
      </c>
      <c r="G2390" s="24"/>
      <c r="H2390" s="24"/>
      <c r="I2390" s="20" t="str">
        <f aca="false">IF(B2390="","",IF(G2390&lt;&gt;"",G2390,E2390))</f>
        <v/>
      </c>
      <c r="J2390" s="21" t="str">
        <f aca="false">IF(B2390="","",IF(H2390&lt;&gt;"",H2390,F2390))</f>
        <v/>
      </c>
      <c r="K2390" s="26" t="str">
        <f aca="false">IF(A2390="","",DATE(YEAR(A2390),MONTH(A2390),1))</f>
        <v/>
      </c>
      <c r="L2390" s="21" t="str">
        <f aca="false">IF(J2390="",IF(B2390="","",IF(N(C2390)&gt;=0,"Income","Expense")),IFERROR(INDEX(Lists!$B$2:$B$30,MATCH(J2390,Lists!$A$2:$A$30,0)),""))</f>
        <v/>
      </c>
      <c r="M2390" s="24"/>
      <c r="N2390" s="27" t="str">
        <f aca="false">IF(B2390="","",IFERROR(1000-SUMPRODUCT(MAX(ISNUMBER(SEARCH(Rules!$A$5:$A$204,B2390))*(Rules!$A$5:$A$204&lt;&gt;"")*(1000-ROW(Rules!$A$5:$A$204)))),""))</f>
        <v/>
      </c>
    </row>
    <row r="2391" customFormat="false" ht="15" hidden="false" customHeight="false" outlineLevel="0" collapsed="false">
      <c r="A2391" s="23"/>
      <c r="B2391" s="24"/>
      <c r="C2391" s="25"/>
      <c r="D2391" s="24"/>
      <c r="E2391" s="21" t="str">
        <f aca="false">IF(OR(B2391="",N(N2391)=0,N2391=1000),IF(B2391="","","Check"),INDEX(Rules!$B:$B,N2391))</f>
        <v/>
      </c>
      <c r="F2391" s="21" t="str">
        <f aca="false">IF(OR(B2391="",N(N2391)=0,N2391=1000),"",INDEX(Rules!$C:$C,N2391))</f>
        <v/>
      </c>
      <c r="G2391" s="24"/>
      <c r="H2391" s="24"/>
      <c r="I2391" s="20" t="str">
        <f aca="false">IF(B2391="","",IF(G2391&lt;&gt;"",G2391,E2391))</f>
        <v/>
      </c>
      <c r="J2391" s="21" t="str">
        <f aca="false">IF(B2391="","",IF(H2391&lt;&gt;"",H2391,F2391))</f>
        <v/>
      </c>
      <c r="K2391" s="26" t="str">
        <f aca="false">IF(A2391="","",DATE(YEAR(A2391),MONTH(A2391),1))</f>
        <v/>
      </c>
      <c r="L2391" s="21" t="str">
        <f aca="false">IF(J2391="",IF(B2391="","",IF(N(C2391)&gt;=0,"Income","Expense")),IFERROR(INDEX(Lists!$B$2:$B$30,MATCH(J2391,Lists!$A$2:$A$30,0)),""))</f>
        <v/>
      </c>
      <c r="M2391" s="24"/>
      <c r="N2391" s="27" t="str">
        <f aca="false">IF(B2391="","",IFERROR(1000-SUMPRODUCT(MAX(ISNUMBER(SEARCH(Rules!$A$5:$A$204,B2391))*(Rules!$A$5:$A$204&lt;&gt;"")*(1000-ROW(Rules!$A$5:$A$204)))),""))</f>
        <v/>
      </c>
    </row>
    <row r="2392" customFormat="false" ht="15" hidden="false" customHeight="false" outlineLevel="0" collapsed="false">
      <c r="A2392" s="23"/>
      <c r="B2392" s="24"/>
      <c r="C2392" s="25"/>
      <c r="D2392" s="24"/>
      <c r="E2392" s="21" t="str">
        <f aca="false">IF(OR(B2392="",N(N2392)=0,N2392=1000),IF(B2392="","","Check"),INDEX(Rules!$B:$B,N2392))</f>
        <v/>
      </c>
      <c r="F2392" s="21" t="str">
        <f aca="false">IF(OR(B2392="",N(N2392)=0,N2392=1000),"",INDEX(Rules!$C:$C,N2392))</f>
        <v/>
      </c>
      <c r="G2392" s="24"/>
      <c r="H2392" s="24"/>
      <c r="I2392" s="20" t="str">
        <f aca="false">IF(B2392="","",IF(G2392&lt;&gt;"",G2392,E2392))</f>
        <v/>
      </c>
      <c r="J2392" s="21" t="str">
        <f aca="false">IF(B2392="","",IF(H2392&lt;&gt;"",H2392,F2392))</f>
        <v/>
      </c>
      <c r="K2392" s="26" t="str">
        <f aca="false">IF(A2392="","",DATE(YEAR(A2392),MONTH(A2392),1))</f>
        <v/>
      </c>
      <c r="L2392" s="21" t="str">
        <f aca="false">IF(J2392="",IF(B2392="","",IF(N(C2392)&gt;=0,"Income","Expense")),IFERROR(INDEX(Lists!$B$2:$B$30,MATCH(J2392,Lists!$A$2:$A$30,0)),""))</f>
        <v/>
      </c>
      <c r="M2392" s="24"/>
      <c r="N2392" s="27" t="str">
        <f aca="false">IF(B2392="","",IFERROR(1000-SUMPRODUCT(MAX(ISNUMBER(SEARCH(Rules!$A$5:$A$204,B2392))*(Rules!$A$5:$A$204&lt;&gt;"")*(1000-ROW(Rules!$A$5:$A$204)))),""))</f>
        <v/>
      </c>
    </row>
    <row r="2393" customFormat="false" ht="15" hidden="false" customHeight="false" outlineLevel="0" collapsed="false">
      <c r="A2393" s="23"/>
      <c r="B2393" s="24"/>
      <c r="C2393" s="25"/>
      <c r="D2393" s="24"/>
      <c r="E2393" s="21" t="str">
        <f aca="false">IF(OR(B2393="",N(N2393)=0,N2393=1000),IF(B2393="","","Check"),INDEX(Rules!$B:$B,N2393))</f>
        <v/>
      </c>
      <c r="F2393" s="21" t="str">
        <f aca="false">IF(OR(B2393="",N(N2393)=0,N2393=1000),"",INDEX(Rules!$C:$C,N2393))</f>
        <v/>
      </c>
      <c r="G2393" s="24"/>
      <c r="H2393" s="24"/>
      <c r="I2393" s="20" t="str">
        <f aca="false">IF(B2393="","",IF(G2393&lt;&gt;"",G2393,E2393))</f>
        <v/>
      </c>
      <c r="J2393" s="21" t="str">
        <f aca="false">IF(B2393="","",IF(H2393&lt;&gt;"",H2393,F2393))</f>
        <v/>
      </c>
      <c r="K2393" s="26" t="str">
        <f aca="false">IF(A2393="","",DATE(YEAR(A2393),MONTH(A2393),1))</f>
        <v/>
      </c>
      <c r="L2393" s="21" t="str">
        <f aca="false">IF(J2393="",IF(B2393="","",IF(N(C2393)&gt;=0,"Income","Expense")),IFERROR(INDEX(Lists!$B$2:$B$30,MATCH(J2393,Lists!$A$2:$A$30,0)),""))</f>
        <v/>
      </c>
      <c r="M2393" s="24"/>
      <c r="N2393" s="27" t="str">
        <f aca="false">IF(B2393="","",IFERROR(1000-SUMPRODUCT(MAX(ISNUMBER(SEARCH(Rules!$A$5:$A$204,B2393))*(Rules!$A$5:$A$204&lt;&gt;"")*(1000-ROW(Rules!$A$5:$A$204)))),""))</f>
        <v/>
      </c>
    </row>
    <row r="2394" customFormat="false" ht="15" hidden="false" customHeight="false" outlineLevel="0" collapsed="false">
      <c r="A2394" s="23"/>
      <c r="B2394" s="24"/>
      <c r="C2394" s="25"/>
      <c r="D2394" s="24"/>
      <c r="E2394" s="21" t="str">
        <f aca="false">IF(OR(B2394="",N(N2394)=0,N2394=1000),IF(B2394="","","Check"),INDEX(Rules!$B:$B,N2394))</f>
        <v/>
      </c>
      <c r="F2394" s="21" t="str">
        <f aca="false">IF(OR(B2394="",N(N2394)=0,N2394=1000),"",INDEX(Rules!$C:$C,N2394))</f>
        <v/>
      </c>
      <c r="G2394" s="24"/>
      <c r="H2394" s="24"/>
      <c r="I2394" s="20" t="str">
        <f aca="false">IF(B2394="","",IF(G2394&lt;&gt;"",G2394,E2394))</f>
        <v/>
      </c>
      <c r="J2394" s="21" t="str">
        <f aca="false">IF(B2394="","",IF(H2394&lt;&gt;"",H2394,F2394))</f>
        <v/>
      </c>
      <c r="K2394" s="26" t="str">
        <f aca="false">IF(A2394="","",DATE(YEAR(A2394),MONTH(A2394),1))</f>
        <v/>
      </c>
      <c r="L2394" s="21" t="str">
        <f aca="false">IF(J2394="",IF(B2394="","",IF(N(C2394)&gt;=0,"Income","Expense")),IFERROR(INDEX(Lists!$B$2:$B$30,MATCH(J2394,Lists!$A$2:$A$30,0)),""))</f>
        <v/>
      </c>
      <c r="M2394" s="24"/>
      <c r="N2394" s="27" t="str">
        <f aca="false">IF(B2394="","",IFERROR(1000-SUMPRODUCT(MAX(ISNUMBER(SEARCH(Rules!$A$5:$A$204,B2394))*(Rules!$A$5:$A$204&lt;&gt;"")*(1000-ROW(Rules!$A$5:$A$204)))),""))</f>
        <v/>
      </c>
    </row>
    <row r="2395" customFormat="false" ht="15" hidden="false" customHeight="false" outlineLevel="0" collapsed="false">
      <c r="A2395" s="23"/>
      <c r="B2395" s="24"/>
      <c r="C2395" s="25"/>
      <c r="D2395" s="24"/>
      <c r="E2395" s="21" t="str">
        <f aca="false">IF(OR(B2395="",N(N2395)=0,N2395=1000),IF(B2395="","","Check"),INDEX(Rules!$B:$B,N2395))</f>
        <v/>
      </c>
      <c r="F2395" s="21" t="str">
        <f aca="false">IF(OR(B2395="",N(N2395)=0,N2395=1000),"",INDEX(Rules!$C:$C,N2395))</f>
        <v/>
      </c>
      <c r="G2395" s="24"/>
      <c r="H2395" s="24"/>
      <c r="I2395" s="20" t="str">
        <f aca="false">IF(B2395="","",IF(G2395&lt;&gt;"",G2395,E2395))</f>
        <v/>
      </c>
      <c r="J2395" s="21" t="str">
        <f aca="false">IF(B2395="","",IF(H2395&lt;&gt;"",H2395,F2395))</f>
        <v/>
      </c>
      <c r="K2395" s="26" t="str">
        <f aca="false">IF(A2395="","",DATE(YEAR(A2395),MONTH(A2395),1))</f>
        <v/>
      </c>
      <c r="L2395" s="21" t="str">
        <f aca="false">IF(J2395="",IF(B2395="","",IF(N(C2395)&gt;=0,"Income","Expense")),IFERROR(INDEX(Lists!$B$2:$B$30,MATCH(J2395,Lists!$A$2:$A$30,0)),""))</f>
        <v/>
      </c>
      <c r="M2395" s="24"/>
      <c r="N2395" s="27" t="str">
        <f aca="false">IF(B2395="","",IFERROR(1000-SUMPRODUCT(MAX(ISNUMBER(SEARCH(Rules!$A$5:$A$204,B2395))*(Rules!$A$5:$A$204&lt;&gt;"")*(1000-ROW(Rules!$A$5:$A$204)))),""))</f>
        <v/>
      </c>
    </row>
    <row r="2396" customFormat="false" ht="15" hidden="false" customHeight="false" outlineLevel="0" collapsed="false">
      <c r="A2396" s="23"/>
      <c r="B2396" s="24"/>
      <c r="C2396" s="25"/>
      <c r="D2396" s="24"/>
      <c r="E2396" s="21" t="str">
        <f aca="false">IF(OR(B2396="",N(N2396)=0,N2396=1000),IF(B2396="","","Check"),INDEX(Rules!$B:$B,N2396))</f>
        <v/>
      </c>
      <c r="F2396" s="21" t="str">
        <f aca="false">IF(OR(B2396="",N(N2396)=0,N2396=1000),"",INDEX(Rules!$C:$C,N2396))</f>
        <v/>
      </c>
      <c r="G2396" s="24"/>
      <c r="H2396" s="24"/>
      <c r="I2396" s="20" t="str">
        <f aca="false">IF(B2396="","",IF(G2396&lt;&gt;"",G2396,E2396))</f>
        <v/>
      </c>
      <c r="J2396" s="21" t="str">
        <f aca="false">IF(B2396="","",IF(H2396&lt;&gt;"",H2396,F2396))</f>
        <v/>
      </c>
      <c r="K2396" s="26" t="str">
        <f aca="false">IF(A2396="","",DATE(YEAR(A2396),MONTH(A2396),1))</f>
        <v/>
      </c>
      <c r="L2396" s="21" t="str">
        <f aca="false">IF(J2396="",IF(B2396="","",IF(N(C2396)&gt;=0,"Income","Expense")),IFERROR(INDEX(Lists!$B$2:$B$30,MATCH(J2396,Lists!$A$2:$A$30,0)),""))</f>
        <v/>
      </c>
      <c r="M2396" s="24"/>
      <c r="N2396" s="27" t="str">
        <f aca="false">IF(B2396="","",IFERROR(1000-SUMPRODUCT(MAX(ISNUMBER(SEARCH(Rules!$A$5:$A$204,B2396))*(Rules!$A$5:$A$204&lt;&gt;"")*(1000-ROW(Rules!$A$5:$A$204)))),""))</f>
        <v/>
      </c>
    </row>
    <row r="2397" customFormat="false" ht="15" hidden="false" customHeight="false" outlineLevel="0" collapsed="false">
      <c r="A2397" s="23"/>
      <c r="B2397" s="24"/>
      <c r="C2397" s="25"/>
      <c r="D2397" s="24"/>
      <c r="E2397" s="21" t="str">
        <f aca="false">IF(OR(B2397="",N(N2397)=0,N2397=1000),IF(B2397="","","Check"),INDEX(Rules!$B:$B,N2397))</f>
        <v/>
      </c>
      <c r="F2397" s="21" t="str">
        <f aca="false">IF(OR(B2397="",N(N2397)=0,N2397=1000),"",INDEX(Rules!$C:$C,N2397))</f>
        <v/>
      </c>
      <c r="G2397" s="24"/>
      <c r="H2397" s="24"/>
      <c r="I2397" s="20" t="str">
        <f aca="false">IF(B2397="","",IF(G2397&lt;&gt;"",G2397,E2397))</f>
        <v/>
      </c>
      <c r="J2397" s="21" t="str">
        <f aca="false">IF(B2397="","",IF(H2397&lt;&gt;"",H2397,F2397))</f>
        <v/>
      </c>
      <c r="K2397" s="26" t="str">
        <f aca="false">IF(A2397="","",DATE(YEAR(A2397),MONTH(A2397),1))</f>
        <v/>
      </c>
      <c r="L2397" s="21" t="str">
        <f aca="false">IF(J2397="",IF(B2397="","",IF(N(C2397)&gt;=0,"Income","Expense")),IFERROR(INDEX(Lists!$B$2:$B$30,MATCH(J2397,Lists!$A$2:$A$30,0)),""))</f>
        <v/>
      </c>
      <c r="M2397" s="24"/>
      <c r="N2397" s="27" t="str">
        <f aca="false">IF(B2397="","",IFERROR(1000-SUMPRODUCT(MAX(ISNUMBER(SEARCH(Rules!$A$5:$A$204,B2397))*(Rules!$A$5:$A$204&lt;&gt;"")*(1000-ROW(Rules!$A$5:$A$204)))),""))</f>
        <v/>
      </c>
    </row>
    <row r="2398" customFormat="false" ht="15" hidden="false" customHeight="false" outlineLevel="0" collapsed="false">
      <c r="A2398" s="23"/>
      <c r="B2398" s="24"/>
      <c r="C2398" s="25"/>
      <c r="D2398" s="24"/>
      <c r="E2398" s="21" t="str">
        <f aca="false">IF(OR(B2398="",N(N2398)=0,N2398=1000),IF(B2398="","","Check"),INDEX(Rules!$B:$B,N2398))</f>
        <v/>
      </c>
      <c r="F2398" s="21" t="str">
        <f aca="false">IF(OR(B2398="",N(N2398)=0,N2398=1000),"",INDEX(Rules!$C:$C,N2398))</f>
        <v/>
      </c>
      <c r="G2398" s="24"/>
      <c r="H2398" s="24"/>
      <c r="I2398" s="20" t="str">
        <f aca="false">IF(B2398="","",IF(G2398&lt;&gt;"",G2398,E2398))</f>
        <v/>
      </c>
      <c r="J2398" s="21" t="str">
        <f aca="false">IF(B2398="","",IF(H2398&lt;&gt;"",H2398,F2398))</f>
        <v/>
      </c>
      <c r="K2398" s="26" t="str">
        <f aca="false">IF(A2398="","",DATE(YEAR(A2398),MONTH(A2398),1))</f>
        <v/>
      </c>
      <c r="L2398" s="21" t="str">
        <f aca="false">IF(J2398="",IF(B2398="","",IF(N(C2398)&gt;=0,"Income","Expense")),IFERROR(INDEX(Lists!$B$2:$B$30,MATCH(J2398,Lists!$A$2:$A$30,0)),""))</f>
        <v/>
      </c>
      <c r="M2398" s="24"/>
      <c r="N2398" s="27" t="str">
        <f aca="false">IF(B2398="","",IFERROR(1000-SUMPRODUCT(MAX(ISNUMBER(SEARCH(Rules!$A$5:$A$204,B2398))*(Rules!$A$5:$A$204&lt;&gt;"")*(1000-ROW(Rules!$A$5:$A$204)))),""))</f>
        <v/>
      </c>
    </row>
    <row r="2399" customFormat="false" ht="15" hidden="false" customHeight="false" outlineLevel="0" collapsed="false">
      <c r="A2399" s="23"/>
      <c r="B2399" s="24"/>
      <c r="C2399" s="25"/>
      <c r="D2399" s="24"/>
      <c r="E2399" s="21" t="str">
        <f aca="false">IF(OR(B2399="",N(N2399)=0,N2399=1000),IF(B2399="","","Check"),INDEX(Rules!$B:$B,N2399))</f>
        <v/>
      </c>
      <c r="F2399" s="21" t="str">
        <f aca="false">IF(OR(B2399="",N(N2399)=0,N2399=1000),"",INDEX(Rules!$C:$C,N2399))</f>
        <v/>
      </c>
      <c r="G2399" s="24"/>
      <c r="H2399" s="24"/>
      <c r="I2399" s="20" t="str">
        <f aca="false">IF(B2399="","",IF(G2399&lt;&gt;"",G2399,E2399))</f>
        <v/>
      </c>
      <c r="J2399" s="21" t="str">
        <f aca="false">IF(B2399="","",IF(H2399&lt;&gt;"",H2399,F2399))</f>
        <v/>
      </c>
      <c r="K2399" s="26" t="str">
        <f aca="false">IF(A2399="","",DATE(YEAR(A2399),MONTH(A2399),1))</f>
        <v/>
      </c>
      <c r="L2399" s="21" t="str">
        <f aca="false">IF(J2399="",IF(B2399="","",IF(N(C2399)&gt;=0,"Income","Expense")),IFERROR(INDEX(Lists!$B$2:$B$30,MATCH(J2399,Lists!$A$2:$A$30,0)),""))</f>
        <v/>
      </c>
      <c r="M2399" s="24"/>
      <c r="N2399" s="27" t="str">
        <f aca="false">IF(B2399="","",IFERROR(1000-SUMPRODUCT(MAX(ISNUMBER(SEARCH(Rules!$A$5:$A$204,B2399))*(Rules!$A$5:$A$204&lt;&gt;"")*(1000-ROW(Rules!$A$5:$A$204)))),""))</f>
        <v/>
      </c>
    </row>
    <row r="2400" customFormat="false" ht="15" hidden="false" customHeight="false" outlineLevel="0" collapsed="false">
      <c r="A2400" s="23"/>
      <c r="B2400" s="24"/>
      <c r="C2400" s="25"/>
      <c r="D2400" s="24"/>
      <c r="E2400" s="21" t="str">
        <f aca="false">IF(OR(B2400="",N(N2400)=0,N2400=1000),IF(B2400="","","Check"),INDEX(Rules!$B:$B,N2400))</f>
        <v/>
      </c>
      <c r="F2400" s="21" t="str">
        <f aca="false">IF(OR(B2400="",N(N2400)=0,N2400=1000),"",INDEX(Rules!$C:$C,N2400))</f>
        <v/>
      </c>
      <c r="G2400" s="24"/>
      <c r="H2400" s="24"/>
      <c r="I2400" s="20" t="str">
        <f aca="false">IF(B2400="","",IF(G2400&lt;&gt;"",G2400,E2400))</f>
        <v/>
      </c>
      <c r="J2400" s="21" t="str">
        <f aca="false">IF(B2400="","",IF(H2400&lt;&gt;"",H2400,F2400))</f>
        <v/>
      </c>
      <c r="K2400" s="26" t="str">
        <f aca="false">IF(A2400="","",DATE(YEAR(A2400),MONTH(A2400),1))</f>
        <v/>
      </c>
      <c r="L2400" s="21" t="str">
        <f aca="false">IF(J2400="",IF(B2400="","",IF(N(C2400)&gt;=0,"Income","Expense")),IFERROR(INDEX(Lists!$B$2:$B$30,MATCH(J2400,Lists!$A$2:$A$30,0)),""))</f>
        <v/>
      </c>
      <c r="M2400" s="24"/>
      <c r="N2400" s="27" t="str">
        <f aca="false">IF(B2400="","",IFERROR(1000-SUMPRODUCT(MAX(ISNUMBER(SEARCH(Rules!$A$5:$A$204,B2400))*(Rules!$A$5:$A$204&lt;&gt;"")*(1000-ROW(Rules!$A$5:$A$204)))),""))</f>
        <v/>
      </c>
    </row>
    <row r="2401" customFormat="false" ht="15" hidden="false" customHeight="false" outlineLevel="0" collapsed="false">
      <c r="A2401" s="23"/>
      <c r="B2401" s="24"/>
      <c r="C2401" s="25"/>
      <c r="D2401" s="24"/>
      <c r="E2401" s="21" t="str">
        <f aca="false">IF(OR(B2401="",N(N2401)=0,N2401=1000),IF(B2401="","","Check"),INDEX(Rules!$B:$B,N2401))</f>
        <v/>
      </c>
      <c r="F2401" s="21" t="str">
        <f aca="false">IF(OR(B2401="",N(N2401)=0,N2401=1000),"",INDEX(Rules!$C:$C,N2401))</f>
        <v/>
      </c>
      <c r="G2401" s="24"/>
      <c r="H2401" s="24"/>
      <c r="I2401" s="20" t="str">
        <f aca="false">IF(B2401="","",IF(G2401&lt;&gt;"",G2401,E2401))</f>
        <v/>
      </c>
      <c r="J2401" s="21" t="str">
        <f aca="false">IF(B2401="","",IF(H2401&lt;&gt;"",H2401,F2401))</f>
        <v/>
      </c>
      <c r="K2401" s="26" t="str">
        <f aca="false">IF(A2401="","",DATE(YEAR(A2401),MONTH(A2401),1))</f>
        <v/>
      </c>
      <c r="L2401" s="21" t="str">
        <f aca="false">IF(J2401="",IF(B2401="","",IF(N(C2401)&gt;=0,"Income","Expense")),IFERROR(INDEX(Lists!$B$2:$B$30,MATCH(J2401,Lists!$A$2:$A$30,0)),""))</f>
        <v/>
      </c>
      <c r="M2401" s="24"/>
      <c r="N2401" s="27" t="str">
        <f aca="false">IF(B2401="","",IFERROR(1000-SUMPRODUCT(MAX(ISNUMBER(SEARCH(Rules!$A$5:$A$204,B2401))*(Rules!$A$5:$A$204&lt;&gt;"")*(1000-ROW(Rules!$A$5:$A$204)))),""))</f>
        <v/>
      </c>
    </row>
    <row r="2402" customFormat="false" ht="15" hidden="false" customHeight="false" outlineLevel="0" collapsed="false">
      <c r="A2402" s="23"/>
      <c r="B2402" s="24"/>
      <c r="C2402" s="25"/>
      <c r="D2402" s="24"/>
      <c r="E2402" s="21" t="str">
        <f aca="false">IF(OR(B2402="",N(N2402)=0,N2402=1000),IF(B2402="","","Check"),INDEX(Rules!$B:$B,N2402))</f>
        <v/>
      </c>
      <c r="F2402" s="21" t="str">
        <f aca="false">IF(OR(B2402="",N(N2402)=0,N2402=1000),"",INDEX(Rules!$C:$C,N2402))</f>
        <v/>
      </c>
      <c r="G2402" s="24"/>
      <c r="H2402" s="24"/>
      <c r="I2402" s="20" t="str">
        <f aca="false">IF(B2402="","",IF(G2402&lt;&gt;"",G2402,E2402))</f>
        <v/>
      </c>
      <c r="J2402" s="21" t="str">
        <f aca="false">IF(B2402="","",IF(H2402&lt;&gt;"",H2402,F2402))</f>
        <v/>
      </c>
      <c r="K2402" s="26" t="str">
        <f aca="false">IF(A2402="","",DATE(YEAR(A2402),MONTH(A2402),1))</f>
        <v/>
      </c>
      <c r="L2402" s="21" t="str">
        <f aca="false">IF(J2402="",IF(B2402="","",IF(N(C2402)&gt;=0,"Income","Expense")),IFERROR(INDEX(Lists!$B$2:$B$30,MATCH(J2402,Lists!$A$2:$A$30,0)),""))</f>
        <v/>
      </c>
      <c r="M2402" s="24"/>
      <c r="N2402" s="27" t="str">
        <f aca="false">IF(B2402="","",IFERROR(1000-SUMPRODUCT(MAX(ISNUMBER(SEARCH(Rules!$A$5:$A$204,B2402))*(Rules!$A$5:$A$204&lt;&gt;"")*(1000-ROW(Rules!$A$5:$A$204)))),""))</f>
        <v/>
      </c>
    </row>
    <row r="2403" customFormat="false" ht="15" hidden="false" customHeight="false" outlineLevel="0" collapsed="false">
      <c r="A2403" s="23"/>
      <c r="B2403" s="24"/>
      <c r="C2403" s="25"/>
      <c r="D2403" s="24"/>
      <c r="E2403" s="21" t="str">
        <f aca="false">IF(OR(B2403="",N(N2403)=0,N2403=1000),IF(B2403="","","Check"),INDEX(Rules!$B:$B,N2403))</f>
        <v/>
      </c>
      <c r="F2403" s="21" t="str">
        <f aca="false">IF(OR(B2403="",N(N2403)=0,N2403=1000),"",INDEX(Rules!$C:$C,N2403))</f>
        <v/>
      </c>
      <c r="G2403" s="24"/>
      <c r="H2403" s="24"/>
      <c r="I2403" s="20" t="str">
        <f aca="false">IF(B2403="","",IF(G2403&lt;&gt;"",G2403,E2403))</f>
        <v/>
      </c>
      <c r="J2403" s="21" t="str">
        <f aca="false">IF(B2403="","",IF(H2403&lt;&gt;"",H2403,F2403))</f>
        <v/>
      </c>
      <c r="K2403" s="26" t="str">
        <f aca="false">IF(A2403="","",DATE(YEAR(A2403),MONTH(A2403),1))</f>
        <v/>
      </c>
      <c r="L2403" s="21" t="str">
        <f aca="false">IF(J2403="",IF(B2403="","",IF(N(C2403)&gt;=0,"Income","Expense")),IFERROR(INDEX(Lists!$B$2:$B$30,MATCH(J2403,Lists!$A$2:$A$30,0)),""))</f>
        <v/>
      </c>
      <c r="M2403" s="24"/>
      <c r="N2403" s="27" t="str">
        <f aca="false">IF(B2403="","",IFERROR(1000-SUMPRODUCT(MAX(ISNUMBER(SEARCH(Rules!$A$5:$A$204,B2403))*(Rules!$A$5:$A$204&lt;&gt;"")*(1000-ROW(Rules!$A$5:$A$204)))),""))</f>
        <v/>
      </c>
    </row>
    <row r="2404" customFormat="false" ht="15" hidden="false" customHeight="false" outlineLevel="0" collapsed="false">
      <c r="A2404" s="23"/>
      <c r="B2404" s="24"/>
      <c r="C2404" s="25"/>
      <c r="D2404" s="24"/>
      <c r="E2404" s="21" t="str">
        <f aca="false">IF(OR(B2404="",N(N2404)=0,N2404=1000),IF(B2404="","","Check"),INDEX(Rules!$B:$B,N2404))</f>
        <v/>
      </c>
      <c r="F2404" s="21" t="str">
        <f aca="false">IF(OR(B2404="",N(N2404)=0,N2404=1000),"",INDEX(Rules!$C:$C,N2404))</f>
        <v/>
      </c>
      <c r="G2404" s="24"/>
      <c r="H2404" s="24"/>
      <c r="I2404" s="20" t="str">
        <f aca="false">IF(B2404="","",IF(G2404&lt;&gt;"",G2404,E2404))</f>
        <v/>
      </c>
      <c r="J2404" s="21" t="str">
        <f aca="false">IF(B2404="","",IF(H2404&lt;&gt;"",H2404,F2404))</f>
        <v/>
      </c>
      <c r="K2404" s="26" t="str">
        <f aca="false">IF(A2404="","",DATE(YEAR(A2404),MONTH(A2404),1))</f>
        <v/>
      </c>
      <c r="L2404" s="21" t="str">
        <f aca="false">IF(J2404="",IF(B2404="","",IF(N(C2404)&gt;=0,"Income","Expense")),IFERROR(INDEX(Lists!$B$2:$B$30,MATCH(J2404,Lists!$A$2:$A$30,0)),""))</f>
        <v/>
      </c>
      <c r="M2404" s="24"/>
      <c r="N2404" s="27" t="str">
        <f aca="false">IF(B2404="","",IFERROR(1000-SUMPRODUCT(MAX(ISNUMBER(SEARCH(Rules!$A$5:$A$204,B2404))*(Rules!$A$5:$A$204&lt;&gt;"")*(1000-ROW(Rules!$A$5:$A$204)))),""))</f>
        <v/>
      </c>
    </row>
    <row r="2405" customFormat="false" ht="15" hidden="false" customHeight="false" outlineLevel="0" collapsed="false">
      <c r="A2405" s="23"/>
      <c r="B2405" s="24"/>
      <c r="C2405" s="25"/>
      <c r="D2405" s="24"/>
      <c r="E2405" s="21" t="str">
        <f aca="false">IF(OR(B2405="",N(N2405)=0,N2405=1000),IF(B2405="","","Check"),INDEX(Rules!$B:$B,N2405))</f>
        <v/>
      </c>
      <c r="F2405" s="21" t="str">
        <f aca="false">IF(OR(B2405="",N(N2405)=0,N2405=1000),"",INDEX(Rules!$C:$C,N2405))</f>
        <v/>
      </c>
      <c r="G2405" s="24"/>
      <c r="H2405" s="24"/>
      <c r="I2405" s="20" t="str">
        <f aca="false">IF(B2405="","",IF(G2405&lt;&gt;"",G2405,E2405))</f>
        <v/>
      </c>
      <c r="J2405" s="21" t="str">
        <f aca="false">IF(B2405="","",IF(H2405&lt;&gt;"",H2405,F2405))</f>
        <v/>
      </c>
      <c r="K2405" s="26" t="str">
        <f aca="false">IF(A2405="","",DATE(YEAR(A2405),MONTH(A2405),1))</f>
        <v/>
      </c>
      <c r="L2405" s="21" t="str">
        <f aca="false">IF(J2405="",IF(B2405="","",IF(N(C2405)&gt;=0,"Income","Expense")),IFERROR(INDEX(Lists!$B$2:$B$30,MATCH(J2405,Lists!$A$2:$A$30,0)),""))</f>
        <v/>
      </c>
      <c r="M2405" s="24"/>
      <c r="N2405" s="27" t="str">
        <f aca="false">IF(B2405="","",IFERROR(1000-SUMPRODUCT(MAX(ISNUMBER(SEARCH(Rules!$A$5:$A$204,B2405))*(Rules!$A$5:$A$204&lt;&gt;"")*(1000-ROW(Rules!$A$5:$A$204)))),""))</f>
        <v/>
      </c>
    </row>
    <row r="2406" customFormat="false" ht="15" hidden="false" customHeight="false" outlineLevel="0" collapsed="false">
      <c r="A2406" s="23"/>
      <c r="B2406" s="24"/>
      <c r="C2406" s="25"/>
      <c r="D2406" s="24"/>
      <c r="E2406" s="21" t="str">
        <f aca="false">IF(OR(B2406="",N(N2406)=0,N2406=1000),IF(B2406="","","Check"),INDEX(Rules!$B:$B,N2406))</f>
        <v/>
      </c>
      <c r="F2406" s="21" t="str">
        <f aca="false">IF(OR(B2406="",N(N2406)=0,N2406=1000),"",INDEX(Rules!$C:$C,N2406))</f>
        <v/>
      </c>
      <c r="G2406" s="24"/>
      <c r="H2406" s="24"/>
      <c r="I2406" s="20" t="str">
        <f aca="false">IF(B2406="","",IF(G2406&lt;&gt;"",G2406,E2406))</f>
        <v/>
      </c>
      <c r="J2406" s="21" t="str">
        <f aca="false">IF(B2406="","",IF(H2406&lt;&gt;"",H2406,F2406))</f>
        <v/>
      </c>
      <c r="K2406" s="26" t="str">
        <f aca="false">IF(A2406="","",DATE(YEAR(A2406),MONTH(A2406),1))</f>
        <v/>
      </c>
      <c r="L2406" s="21" t="str">
        <f aca="false">IF(J2406="",IF(B2406="","",IF(N(C2406)&gt;=0,"Income","Expense")),IFERROR(INDEX(Lists!$B$2:$B$30,MATCH(J2406,Lists!$A$2:$A$30,0)),""))</f>
        <v/>
      </c>
      <c r="M2406" s="24"/>
      <c r="N2406" s="27" t="str">
        <f aca="false">IF(B2406="","",IFERROR(1000-SUMPRODUCT(MAX(ISNUMBER(SEARCH(Rules!$A$5:$A$204,B2406))*(Rules!$A$5:$A$204&lt;&gt;"")*(1000-ROW(Rules!$A$5:$A$204)))),""))</f>
        <v/>
      </c>
    </row>
    <row r="2407" customFormat="false" ht="15" hidden="false" customHeight="false" outlineLevel="0" collapsed="false">
      <c r="A2407" s="23"/>
      <c r="B2407" s="24"/>
      <c r="C2407" s="25"/>
      <c r="D2407" s="24"/>
      <c r="E2407" s="21" t="str">
        <f aca="false">IF(OR(B2407="",N(N2407)=0,N2407=1000),IF(B2407="","","Check"),INDEX(Rules!$B:$B,N2407))</f>
        <v/>
      </c>
      <c r="F2407" s="21" t="str">
        <f aca="false">IF(OR(B2407="",N(N2407)=0,N2407=1000),"",INDEX(Rules!$C:$C,N2407))</f>
        <v/>
      </c>
      <c r="G2407" s="24"/>
      <c r="H2407" s="24"/>
      <c r="I2407" s="20" t="str">
        <f aca="false">IF(B2407="","",IF(G2407&lt;&gt;"",G2407,E2407))</f>
        <v/>
      </c>
      <c r="J2407" s="21" t="str">
        <f aca="false">IF(B2407="","",IF(H2407&lt;&gt;"",H2407,F2407))</f>
        <v/>
      </c>
      <c r="K2407" s="26" t="str">
        <f aca="false">IF(A2407="","",DATE(YEAR(A2407),MONTH(A2407),1))</f>
        <v/>
      </c>
      <c r="L2407" s="21" t="str">
        <f aca="false">IF(J2407="",IF(B2407="","",IF(N(C2407)&gt;=0,"Income","Expense")),IFERROR(INDEX(Lists!$B$2:$B$30,MATCH(J2407,Lists!$A$2:$A$30,0)),""))</f>
        <v/>
      </c>
      <c r="M2407" s="24"/>
      <c r="N2407" s="27" t="str">
        <f aca="false">IF(B2407="","",IFERROR(1000-SUMPRODUCT(MAX(ISNUMBER(SEARCH(Rules!$A$5:$A$204,B2407))*(Rules!$A$5:$A$204&lt;&gt;"")*(1000-ROW(Rules!$A$5:$A$204)))),""))</f>
        <v/>
      </c>
    </row>
    <row r="2408" customFormat="false" ht="15" hidden="false" customHeight="false" outlineLevel="0" collapsed="false">
      <c r="A2408" s="23"/>
      <c r="B2408" s="24"/>
      <c r="C2408" s="25"/>
      <c r="D2408" s="24"/>
      <c r="E2408" s="21" t="str">
        <f aca="false">IF(OR(B2408="",N(N2408)=0,N2408=1000),IF(B2408="","","Check"),INDEX(Rules!$B:$B,N2408))</f>
        <v/>
      </c>
      <c r="F2408" s="21" t="str">
        <f aca="false">IF(OR(B2408="",N(N2408)=0,N2408=1000),"",INDEX(Rules!$C:$C,N2408))</f>
        <v/>
      </c>
      <c r="G2408" s="24"/>
      <c r="H2408" s="24"/>
      <c r="I2408" s="20" t="str">
        <f aca="false">IF(B2408="","",IF(G2408&lt;&gt;"",G2408,E2408))</f>
        <v/>
      </c>
      <c r="J2408" s="21" t="str">
        <f aca="false">IF(B2408="","",IF(H2408&lt;&gt;"",H2408,F2408))</f>
        <v/>
      </c>
      <c r="K2408" s="26" t="str">
        <f aca="false">IF(A2408="","",DATE(YEAR(A2408),MONTH(A2408),1))</f>
        <v/>
      </c>
      <c r="L2408" s="21" t="str">
        <f aca="false">IF(J2408="",IF(B2408="","",IF(N(C2408)&gt;=0,"Income","Expense")),IFERROR(INDEX(Lists!$B$2:$B$30,MATCH(J2408,Lists!$A$2:$A$30,0)),""))</f>
        <v/>
      </c>
      <c r="M2408" s="24"/>
      <c r="N2408" s="27" t="str">
        <f aca="false">IF(B2408="","",IFERROR(1000-SUMPRODUCT(MAX(ISNUMBER(SEARCH(Rules!$A$5:$A$204,B2408))*(Rules!$A$5:$A$204&lt;&gt;"")*(1000-ROW(Rules!$A$5:$A$204)))),""))</f>
        <v/>
      </c>
    </row>
    <row r="2409" customFormat="false" ht="15" hidden="false" customHeight="false" outlineLevel="0" collapsed="false">
      <c r="A2409" s="23"/>
      <c r="B2409" s="24"/>
      <c r="C2409" s="25"/>
      <c r="D2409" s="24"/>
      <c r="E2409" s="21" t="str">
        <f aca="false">IF(OR(B2409="",N(N2409)=0,N2409=1000),IF(B2409="","","Check"),INDEX(Rules!$B:$B,N2409))</f>
        <v/>
      </c>
      <c r="F2409" s="21" t="str">
        <f aca="false">IF(OR(B2409="",N(N2409)=0,N2409=1000),"",INDEX(Rules!$C:$C,N2409))</f>
        <v/>
      </c>
      <c r="G2409" s="24"/>
      <c r="H2409" s="24"/>
      <c r="I2409" s="20" t="str">
        <f aca="false">IF(B2409="","",IF(G2409&lt;&gt;"",G2409,E2409))</f>
        <v/>
      </c>
      <c r="J2409" s="21" t="str">
        <f aca="false">IF(B2409="","",IF(H2409&lt;&gt;"",H2409,F2409))</f>
        <v/>
      </c>
      <c r="K2409" s="26" t="str">
        <f aca="false">IF(A2409="","",DATE(YEAR(A2409),MONTH(A2409),1))</f>
        <v/>
      </c>
      <c r="L2409" s="21" t="str">
        <f aca="false">IF(J2409="",IF(B2409="","",IF(N(C2409)&gt;=0,"Income","Expense")),IFERROR(INDEX(Lists!$B$2:$B$30,MATCH(J2409,Lists!$A$2:$A$30,0)),""))</f>
        <v/>
      </c>
      <c r="M2409" s="24"/>
      <c r="N2409" s="27" t="str">
        <f aca="false">IF(B2409="","",IFERROR(1000-SUMPRODUCT(MAX(ISNUMBER(SEARCH(Rules!$A$5:$A$204,B2409))*(Rules!$A$5:$A$204&lt;&gt;"")*(1000-ROW(Rules!$A$5:$A$204)))),""))</f>
        <v/>
      </c>
    </row>
    <row r="2410" customFormat="false" ht="15" hidden="false" customHeight="false" outlineLevel="0" collapsed="false">
      <c r="A2410" s="23"/>
      <c r="B2410" s="24"/>
      <c r="C2410" s="25"/>
      <c r="D2410" s="24"/>
      <c r="E2410" s="21" t="str">
        <f aca="false">IF(OR(B2410="",N(N2410)=0,N2410=1000),IF(B2410="","","Check"),INDEX(Rules!$B:$B,N2410))</f>
        <v/>
      </c>
      <c r="F2410" s="21" t="str">
        <f aca="false">IF(OR(B2410="",N(N2410)=0,N2410=1000),"",INDEX(Rules!$C:$C,N2410))</f>
        <v/>
      </c>
      <c r="G2410" s="24"/>
      <c r="H2410" s="24"/>
      <c r="I2410" s="20" t="str">
        <f aca="false">IF(B2410="","",IF(G2410&lt;&gt;"",G2410,E2410))</f>
        <v/>
      </c>
      <c r="J2410" s="21" t="str">
        <f aca="false">IF(B2410="","",IF(H2410&lt;&gt;"",H2410,F2410))</f>
        <v/>
      </c>
      <c r="K2410" s="26" t="str">
        <f aca="false">IF(A2410="","",DATE(YEAR(A2410),MONTH(A2410),1))</f>
        <v/>
      </c>
      <c r="L2410" s="21" t="str">
        <f aca="false">IF(J2410="",IF(B2410="","",IF(N(C2410)&gt;=0,"Income","Expense")),IFERROR(INDEX(Lists!$B$2:$B$30,MATCH(J2410,Lists!$A$2:$A$30,0)),""))</f>
        <v/>
      </c>
      <c r="M2410" s="24"/>
      <c r="N2410" s="27" t="str">
        <f aca="false">IF(B2410="","",IFERROR(1000-SUMPRODUCT(MAX(ISNUMBER(SEARCH(Rules!$A$5:$A$204,B2410))*(Rules!$A$5:$A$204&lt;&gt;"")*(1000-ROW(Rules!$A$5:$A$204)))),""))</f>
        <v/>
      </c>
    </row>
    <row r="2411" customFormat="false" ht="15" hidden="false" customHeight="false" outlineLevel="0" collapsed="false">
      <c r="A2411" s="23"/>
      <c r="B2411" s="24"/>
      <c r="C2411" s="25"/>
      <c r="D2411" s="24"/>
      <c r="E2411" s="21" t="str">
        <f aca="false">IF(OR(B2411="",N(N2411)=0,N2411=1000),IF(B2411="","","Check"),INDEX(Rules!$B:$B,N2411))</f>
        <v/>
      </c>
      <c r="F2411" s="21" t="str">
        <f aca="false">IF(OR(B2411="",N(N2411)=0,N2411=1000),"",INDEX(Rules!$C:$C,N2411))</f>
        <v/>
      </c>
      <c r="G2411" s="24"/>
      <c r="H2411" s="24"/>
      <c r="I2411" s="20" t="str">
        <f aca="false">IF(B2411="","",IF(G2411&lt;&gt;"",G2411,E2411))</f>
        <v/>
      </c>
      <c r="J2411" s="21" t="str">
        <f aca="false">IF(B2411="","",IF(H2411&lt;&gt;"",H2411,F2411))</f>
        <v/>
      </c>
      <c r="K2411" s="26" t="str">
        <f aca="false">IF(A2411="","",DATE(YEAR(A2411),MONTH(A2411),1))</f>
        <v/>
      </c>
      <c r="L2411" s="21" t="str">
        <f aca="false">IF(J2411="",IF(B2411="","",IF(N(C2411)&gt;=0,"Income","Expense")),IFERROR(INDEX(Lists!$B$2:$B$30,MATCH(J2411,Lists!$A$2:$A$30,0)),""))</f>
        <v/>
      </c>
      <c r="M2411" s="24"/>
      <c r="N2411" s="27" t="str">
        <f aca="false">IF(B2411="","",IFERROR(1000-SUMPRODUCT(MAX(ISNUMBER(SEARCH(Rules!$A$5:$A$204,B2411))*(Rules!$A$5:$A$204&lt;&gt;"")*(1000-ROW(Rules!$A$5:$A$204)))),""))</f>
        <v/>
      </c>
    </row>
    <row r="2412" customFormat="false" ht="15" hidden="false" customHeight="false" outlineLevel="0" collapsed="false">
      <c r="A2412" s="23"/>
      <c r="B2412" s="24"/>
      <c r="C2412" s="25"/>
      <c r="D2412" s="24"/>
      <c r="E2412" s="21" t="str">
        <f aca="false">IF(OR(B2412="",N(N2412)=0,N2412=1000),IF(B2412="","","Check"),INDEX(Rules!$B:$B,N2412))</f>
        <v/>
      </c>
      <c r="F2412" s="21" t="str">
        <f aca="false">IF(OR(B2412="",N(N2412)=0,N2412=1000),"",INDEX(Rules!$C:$C,N2412))</f>
        <v/>
      </c>
      <c r="G2412" s="24"/>
      <c r="H2412" s="24"/>
      <c r="I2412" s="20" t="str">
        <f aca="false">IF(B2412="","",IF(G2412&lt;&gt;"",G2412,E2412))</f>
        <v/>
      </c>
      <c r="J2412" s="21" t="str">
        <f aca="false">IF(B2412="","",IF(H2412&lt;&gt;"",H2412,F2412))</f>
        <v/>
      </c>
      <c r="K2412" s="26" t="str">
        <f aca="false">IF(A2412="","",DATE(YEAR(A2412),MONTH(A2412),1))</f>
        <v/>
      </c>
      <c r="L2412" s="21" t="str">
        <f aca="false">IF(J2412="",IF(B2412="","",IF(N(C2412)&gt;=0,"Income","Expense")),IFERROR(INDEX(Lists!$B$2:$B$30,MATCH(J2412,Lists!$A$2:$A$30,0)),""))</f>
        <v/>
      </c>
      <c r="M2412" s="24"/>
      <c r="N2412" s="27" t="str">
        <f aca="false">IF(B2412="","",IFERROR(1000-SUMPRODUCT(MAX(ISNUMBER(SEARCH(Rules!$A$5:$A$204,B2412))*(Rules!$A$5:$A$204&lt;&gt;"")*(1000-ROW(Rules!$A$5:$A$204)))),""))</f>
        <v/>
      </c>
    </row>
    <row r="2413" customFormat="false" ht="15" hidden="false" customHeight="false" outlineLevel="0" collapsed="false">
      <c r="A2413" s="23"/>
      <c r="B2413" s="24"/>
      <c r="C2413" s="25"/>
      <c r="D2413" s="24"/>
      <c r="E2413" s="21" t="str">
        <f aca="false">IF(OR(B2413="",N(N2413)=0,N2413=1000),IF(B2413="","","Check"),INDEX(Rules!$B:$B,N2413))</f>
        <v/>
      </c>
      <c r="F2413" s="21" t="str">
        <f aca="false">IF(OR(B2413="",N(N2413)=0,N2413=1000),"",INDEX(Rules!$C:$C,N2413))</f>
        <v/>
      </c>
      <c r="G2413" s="24"/>
      <c r="H2413" s="24"/>
      <c r="I2413" s="20" t="str">
        <f aca="false">IF(B2413="","",IF(G2413&lt;&gt;"",G2413,E2413))</f>
        <v/>
      </c>
      <c r="J2413" s="21" t="str">
        <f aca="false">IF(B2413="","",IF(H2413&lt;&gt;"",H2413,F2413))</f>
        <v/>
      </c>
      <c r="K2413" s="26" t="str">
        <f aca="false">IF(A2413="","",DATE(YEAR(A2413),MONTH(A2413),1))</f>
        <v/>
      </c>
      <c r="L2413" s="21" t="str">
        <f aca="false">IF(J2413="",IF(B2413="","",IF(N(C2413)&gt;=0,"Income","Expense")),IFERROR(INDEX(Lists!$B$2:$B$30,MATCH(J2413,Lists!$A$2:$A$30,0)),""))</f>
        <v/>
      </c>
      <c r="M2413" s="24"/>
      <c r="N2413" s="27" t="str">
        <f aca="false">IF(B2413="","",IFERROR(1000-SUMPRODUCT(MAX(ISNUMBER(SEARCH(Rules!$A$5:$A$204,B2413))*(Rules!$A$5:$A$204&lt;&gt;"")*(1000-ROW(Rules!$A$5:$A$204)))),""))</f>
        <v/>
      </c>
    </row>
    <row r="2414" customFormat="false" ht="15" hidden="false" customHeight="false" outlineLevel="0" collapsed="false">
      <c r="A2414" s="23"/>
      <c r="B2414" s="24"/>
      <c r="C2414" s="25"/>
      <c r="D2414" s="24"/>
      <c r="E2414" s="21" t="str">
        <f aca="false">IF(OR(B2414="",N(N2414)=0,N2414=1000),IF(B2414="","","Check"),INDEX(Rules!$B:$B,N2414))</f>
        <v/>
      </c>
      <c r="F2414" s="21" t="str">
        <f aca="false">IF(OR(B2414="",N(N2414)=0,N2414=1000),"",INDEX(Rules!$C:$C,N2414))</f>
        <v/>
      </c>
      <c r="G2414" s="24"/>
      <c r="H2414" s="24"/>
      <c r="I2414" s="20" t="str">
        <f aca="false">IF(B2414="","",IF(G2414&lt;&gt;"",G2414,E2414))</f>
        <v/>
      </c>
      <c r="J2414" s="21" t="str">
        <f aca="false">IF(B2414="","",IF(H2414&lt;&gt;"",H2414,F2414))</f>
        <v/>
      </c>
      <c r="K2414" s="26" t="str">
        <f aca="false">IF(A2414="","",DATE(YEAR(A2414),MONTH(A2414),1))</f>
        <v/>
      </c>
      <c r="L2414" s="21" t="str">
        <f aca="false">IF(J2414="",IF(B2414="","",IF(N(C2414)&gt;=0,"Income","Expense")),IFERROR(INDEX(Lists!$B$2:$B$30,MATCH(J2414,Lists!$A$2:$A$30,0)),""))</f>
        <v/>
      </c>
      <c r="M2414" s="24"/>
      <c r="N2414" s="27" t="str">
        <f aca="false">IF(B2414="","",IFERROR(1000-SUMPRODUCT(MAX(ISNUMBER(SEARCH(Rules!$A$5:$A$204,B2414))*(Rules!$A$5:$A$204&lt;&gt;"")*(1000-ROW(Rules!$A$5:$A$204)))),""))</f>
        <v/>
      </c>
    </row>
    <row r="2415" customFormat="false" ht="15" hidden="false" customHeight="false" outlineLevel="0" collapsed="false">
      <c r="A2415" s="23"/>
      <c r="B2415" s="24"/>
      <c r="C2415" s="25"/>
      <c r="D2415" s="24"/>
      <c r="E2415" s="21" t="str">
        <f aca="false">IF(OR(B2415="",N(N2415)=0,N2415=1000),IF(B2415="","","Check"),INDEX(Rules!$B:$B,N2415))</f>
        <v/>
      </c>
      <c r="F2415" s="21" t="str">
        <f aca="false">IF(OR(B2415="",N(N2415)=0,N2415=1000),"",INDEX(Rules!$C:$C,N2415))</f>
        <v/>
      </c>
      <c r="G2415" s="24"/>
      <c r="H2415" s="24"/>
      <c r="I2415" s="20" t="str">
        <f aca="false">IF(B2415="","",IF(G2415&lt;&gt;"",G2415,E2415))</f>
        <v/>
      </c>
      <c r="J2415" s="21" t="str">
        <f aca="false">IF(B2415="","",IF(H2415&lt;&gt;"",H2415,F2415))</f>
        <v/>
      </c>
      <c r="K2415" s="26" t="str">
        <f aca="false">IF(A2415="","",DATE(YEAR(A2415),MONTH(A2415),1))</f>
        <v/>
      </c>
      <c r="L2415" s="21" t="str">
        <f aca="false">IF(J2415="",IF(B2415="","",IF(N(C2415)&gt;=0,"Income","Expense")),IFERROR(INDEX(Lists!$B$2:$B$30,MATCH(J2415,Lists!$A$2:$A$30,0)),""))</f>
        <v/>
      </c>
      <c r="M2415" s="24"/>
      <c r="N2415" s="27" t="str">
        <f aca="false">IF(B2415="","",IFERROR(1000-SUMPRODUCT(MAX(ISNUMBER(SEARCH(Rules!$A$5:$A$204,B2415))*(Rules!$A$5:$A$204&lt;&gt;"")*(1000-ROW(Rules!$A$5:$A$204)))),""))</f>
        <v/>
      </c>
    </row>
    <row r="2416" customFormat="false" ht="15" hidden="false" customHeight="false" outlineLevel="0" collapsed="false">
      <c r="A2416" s="23"/>
      <c r="B2416" s="24"/>
      <c r="C2416" s="25"/>
      <c r="D2416" s="24"/>
      <c r="E2416" s="21" t="str">
        <f aca="false">IF(OR(B2416="",N(N2416)=0,N2416=1000),IF(B2416="","","Check"),INDEX(Rules!$B:$B,N2416))</f>
        <v/>
      </c>
      <c r="F2416" s="21" t="str">
        <f aca="false">IF(OR(B2416="",N(N2416)=0,N2416=1000),"",INDEX(Rules!$C:$C,N2416))</f>
        <v/>
      </c>
      <c r="G2416" s="24"/>
      <c r="H2416" s="24"/>
      <c r="I2416" s="20" t="str">
        <f aca="false">IF(B2416="","",IF(G2416&lt;&gt;"",G2416,E2416))</f>
        <v/>
      </c>
      <c r="J2416" s="21" t="str">
        <f aca="false">IF(B2416="","",IF(H2416&lt;&gt;"",H2416,F2416))</f>
        <v/>
      </c>
      <c r="K2416" s="26" t="str">
        <f aca="false">IF(A2416="","",DATE(YEAR(A2416),MONTH(A2416),1))</f>
        <v/>
      </c>
      <c r="L2416" s="21" t="str">
        <f aca="false">IF(J2416="",IF(B2416="","",IF(N(C2416)&gt;=0,"Income","Expense")),IFERROR(INDEX(Lists!$B$2:$B$30,MATCH(J2416,Lists!$A$2:$A$30,0)),""))</f>
        <v/>
      </c>
      <c r="M2416" s="24"/>
      <c r="N2416" s="27" t="str">
        <f aca="false">IF(B2416="","",IFERROR(1000-SUMPRODUCT(MAX(ISNUMBER(SEARCH(Rules!$A$5:$A$204,B2416))*(Rules!$A$5:$A$204&lt;&gt;"")*(1000-ROW(Rules!$A$5:$A$204)))),""))</f>
        <v/>
      </c>
    </row>
    <row r="2417" customFormat="false" ht="15" hidden="false" customHeight="false" outlineLevel="0" collapsed="false">
      <c r="A2417" s="23"/>
      <c r="B2417" s="24"/>
      <c r="C2417" s="25"/>
      <c r="D2417" s="24"/>
      <c r="E2417" s="21" t="str">
        <f aca="false">IF(OR(B2417="",N(N2417)=0,N2417=1000),IF(B2417="","","Check"),INDEX(Rules!$B:$B,N2417))</f>
        <v/>
      </c>
      <c r="F2417" s="21" t="str">
        <f aca="false">IF(OR(B2417="",N(N2417)=0,N2417=1000),"",INDEX(Rules!$C:$C,N2417))</f>
        <v/>
      </c>
      <c r="G2417" s="24"/>
      <c r="H2417" s="24"/>
      <c r="I2417" s="20" t="str">
        <f aca="false">IF(B2417="","",IF(G2417&lt;&gt;"",G2417,E2417))</f>
        <v/>
      </c>
      <c r="J2417" s="21" t="str">
        <f aca="false">IF(B2417="","",IF(H2417&lt;&gt;"",H2417,F2417))</f>
        <v/>
      </c>
      <c r="K2417" s="26" t="str">
        <f aca="false">IF(A2417="","",DATE(YEAR(A2417),MONTH(A2417),1))</f>
        <v/>
      </c>
      <c r="L2417" s="21" t="str">
        <f aca="false">IF(J2417="",IF(B2417="","",IF(N(C2417)&gt;=0,"Income","Expense")),IFERROR(INDEX(Lists!$B$2:$B$30,MATCH(J2417,Lists!$A$2:$A$30,0)),""))</f>
        <v/>
      </c>
      <c r="M2417" s="24"/>
      <c r="N2417" s="27" t="str">
        <f aca="false">IF(B2417="","",IFERROR(1000-SUMPRODUCT(MAX(ISNUMBER(SEARCH(Rules!$A$5:$A$204,B2417))*(Rules!$A$5:$A$204&lt;&gt;"")*(1000-ROW(Rules!$A$5:$A$204)))),""))</f>
        <v/>
      </c>
    </row>
    <row r="2418" customFormat="false" ht="15" hidden="false" customHeight="false" outlineLevel="0" collapsed="false">
      <c r="A2418" s="23"/>
      <c r="B2418" s="24"/>
      <c r="C2418" s="25"/>
      <c r="D2418" s="24"/>
      <c r="E2418" s="21" t="str">
        <f aca="false">IF(OR(B2418="",N(N2418)=0,N2418=1000),IF(B2418="","","Check"),INDEX(Rules!$B:$B,N2418))</f>
        <v/>
      </c>
      <c r="F2418" s="21" t="str">
        <f aca="false">IF(OR(B2418="",N(N2418)=0,N2418=1000),"",INDEX(Rules!$C:$C,N2418))</f>
        <v/>
      </c>
      <c r="G2418" s="24"/>
      <c r="H2418" s="24"/>
      <c r="I2418" s="20" t="str">
        <f aca="false">IF(B2418="","",IF(G2418&lt;&gt;"",G2418,E2418))</f>
        <v/>
      </c>
      <c r="J2418" s="21" t="str">
        <f aca="false">IF(B2418="","",IF(H2418&lt;&gt;"",H2418,F2418))</f>
        <v/>
      </c>
      <c r="K2418" s="26" t="str">
        <f aca="false">IF(A2418="","",DATE(YEAR(A2418),MONTH(A2418),1))</f>
        <v/>
      </c>
      <c r="L2418" s="21" t="str">
        <f aca="false">IF(J2418="",IF(B2418="","",IF(N(C2418)&gt;=0,"Income","Expense")),IFERROR(INDEX(Lists!$B$2:$B$30,MATCH(J2418,Lists!$A$2:$A$30,0)),""))</f>
        <v/>
      </c>
      <c r="M2418" s="24"/>
      <c r="N2418" s="27" t="str">
        <f aca="false">IF(B2418="","",IFERROR(1000-SUMPRODUCT(MAX(ISNUMBER(SEARCH(Rules!$A$5:$A$204,B2418))*(Rules!$A$5:$A$204&lt;&gt;"")*(1000-ROW(Rules!$A$5:$A$204)))),""))</f>
        <v/>
      </c>
    </row>
    <row r="2419" customFormat="false" ht="15" hidden="false" customHeight="false" outlineLevel="0" collapsed="false">
      <c r="A2419" s="23"/>
      <c r="B2419" s="24"/>
      <c r="C2419" s="25"/>
      <c r="D2419" s="24"/>
      <c r="E2419" s="21" t="str">
        <f aca="false">IF(OR(B2419="",N(N2419)=0,N2419=1000),IF(B2419="","","Check"),INDEX(Rules!$B:$B,N2419))</f>
        <v/>
      </c>
      <c r="F2419" s="21" t="str">
        <f aca="false">IF(OR(B2419="",N(N2419)=0,N2419=1000),"",INDEX(Rules!$C:$C,N2419))</f>
        <v/>
      </c>
      <c r="G2419" s="24"/>
      <c r="H2419" s="24"/>
      <c r="I2419" s="20" t="str">
        <f aca="false">IF(B2419="","",IF(G2419&lt;&gt;"",G2419,E2419))</f>
        <v/>
      </c>
      <c r="J2419" s="21" t="str">
        <f aca="false">IF(B2419="","",IF(H2419&lt;&gt;"",H2419,F2419))</f>
        <v/>
      </c>
      <c r="K2419" s="26" t="str">
        <f aca="false">IF(A2419="","",DATE(YEAR(A2419),MONTH(A2419),1))</f>
        <v/>
      </c>
      <c r="L2419" s="21" t="str">
        <f aca="false">IF(J2419="",IF(B2419="","",IF(N(C2419)&gt;=0,"Income","Expense")),IFERROR(INDEX(Lists!$B$2:$B$30,MATCH(J2419,Lists!$A$2:$A$30,0)),""))</f>
        <v/>
      </c>
      <c r="M2419" s="24"/>
      <c r="N2419" s="27" t="str">
        <f aca="false">IF(B2419="","",IFERROR(1000-SUMPRODUCT(MAX(ISNUMBER(SEARCH(Rules!$A$5:$A$204,B2419))*(Rules!$A$5:$A$204&lt;&gt;"")*(1000-ROW(Rules!$A$5:$A$204)))),""))</f>
        <v/>
      </c>
    </row>
    <row r="2420" customFormat="false" ht="15" hidden="false" customHeight="false" outlineLevel="0" collapsed="false">
      <c r="A2420" s="23"/>
      <c r="B2420" s="24"/>
      <c r="C2420" s="25"/>
      <c r="D2420" s="24"/>
      <c r="E2420" s="21" t="str">
        <f aca="false">IF(OR(B2420="",N(N2420)=0,N2420=1000),IF(B2420="","","Check"),INDEX(Rules!$B:$B,N2420))</f>
        <v/>
      </c>
      <c r="F2420" s="21" t="str">
        <f aca="false">IF(OR(B2420="",N(N2420)=0,N2420=1000),"",INDEX(Rules!$C:$C,N2420))</f>
        <v/>
      </c>
      <c r="G2420" s="24"/>
      <c r="H2420" s="24"/>
      <c r="I2420" s="20" t="str">
        <f aca="false">IF(B2420="","",IF(G2420&lt;&gt;"",G2420,E2420))</f>
        <v/>
      </c>
      <c r="J2420" s="21" t="str">
        <f aca="false">IF(B2420="","",IF(H2420&lt;&gt;"",H2420,F2420))</f>
        <v/>
      </c>
      <c r="K2420" s="26" t="str">
        <f aca="false">IF(A2420="","",DATE(YEAR(A2420),MONTH(A2420),1))</f>
        <v/>
      </c>
      <c r="L2420" s="21" t="str">
        <f aca="false">IF(J2420="",IF(B2420="","",IF(N(C2420)&gt;=0,"Income","Expense")),IFERROR(INDEX(Lists!$B$2:$B$30,MATCH(J2420,Lists!$A$2:$A$30,0)),""))</f>
        <v/>
      </c>
      <c r="M2420" s="24"/>
      <c r="N2420" s="27" t="str">
        <f aca="false">IF(B2420="","",IFERROR(1000-SUMPRODUCT(MAX(ISNUMBER(SEARCH(Rules!$A$5:$A$204,B2420))*(Rules!$A$5:$A$204&lt;&gt;"")*(1000-ROW(Rules!$A$5:$A$204)))),""))</f>
        <v/>
      </c>
    </row>
    <row r="2421" customFormat="false" ht="15" hidden="false" customHeight="false" outlineLevel="0" collapsed="false">
      <c r="A2421" s="23"/>
      <c r="B2421" s="24"/>
      <c r="C2421" s="25"/>
      <c r="D2421" s="24"/>
      <c r="E2421" s="21" t="str">
        <f aca="false">IF(OR(B2421="",N(N2421)=0,N2421=1000),IF(B2421="","","Check"),INDEX(Rules!$B:$B,N2421))</f>
        <v/>
      </c>
      <c r="F2421" s="21" t="str">
        <f aca="false">IF(OR(B2421="",N(N2421)=0,N2421=1000),"",INDEX(Rules!$C:$C,N2421))</f>
        <v/>
      </c>
      <c r="G2421" s="24"/>
      <c r="H2421" s="24"/>
      <c r="I2421" s="20" t="str">
        <f aca="false">IF(B2421="","",IF(G2421&lt;&gt;"",G2421,E2421))</f>
        <v/>
      </c>
      <c r="J2421" s="21" t="str">
        <f aca="false">IF(B2421="","",IF(H2421&lt;&gt;"",H2421,F2421))</f>
        <v/>
      </c>
      <c r="K2421" s="26" t="str">
        <f aca="false">IF(A2421="","",DATE(YEAR(A2421),MONTH(A2421),1))</f>
        <v/>
      </c>
      <c r="L2421" s="21" t="str">
        <f aca="false">IF(J2421="",IF(B2421="","",IF(N(C2421)&gt;=0,"Income","Expense")),IFERROR(INDEX(Lists!$B$2:$B$30,MATCH(J2421,Lists!$A$2:$A$30,0)),""))</f>
        <v/>
      </c>
      <c r="M2421" s="24"/>
      <c r="N2421" s="27" t="str">
        <f aca="false">IF(B2421="","",IFERROR(1000-SUMPRODUCT(MAX(ISNUMBER(SEARCH(Rules!$A$5:$A$204,B2421))*(Rules!$A$5:$A$204&lt;&gt;"")*(1000-ROW(Rules!$A$5:$A$204)))),""))</f>
        <v/>
      </c>
    </row>
    <row r="2422" customFormat="false" ht="15" hidden="false" customHeight="false" outlineLevel="0" collapsed="false">
      <c r="A2422" s="23"/>
      <c r="B2422" s="24"/>
      <c r="C2422" s="25"/>
      <c r="D2422" s="24"/>
      <c r="E2422" s="21" t="str">
        <f aca="false">IF(OR(B2422="",N(N2422)=0,N2422=1000),IF(B2422="","","Check"),INDEX(Rules!$B:$B,N2422))</f>
        <v/>
      </c>
      <c r="F2422" s="21" t="str">
        <f aca="false">IF(OR(B2422="",N(N2422)=0,N2422=1000),"",INDEX(Rules!$C:$C,N2422))</f>
        <v/>
      </c>
      <c r="G2422" s="24"/>
      <c r="H2422" s="24"/>
      <c r="I2422" s="20" t="str">
        <f aca="false">IF(B2422="","",IF(G2422&lt;&gt;"",G2422,E2422))</f>
        <v/>
      </c>
      <c r="J2422" s="21" t="str">
        <f aca="false">IF(B2422="","",IF(H2422&lt;&gt;"",H2422,F2422))</f>
        <v/>
      </c>
      <c r="K2422" s="26" t="str">
        <f aca="false">IF(A2422="","",DATE(YEAR(A2422),MONTH(A2422),1))</f>
        <v/>
      </c>
      <c r="L2422" s="21" t="str">
        <f aca="false">IF(J2422="",IF(B2422="","",IF(N(C2422)&gt;=0,"Income","Expense")),IFERROR(INDEX(Lists!$B$2:$B$30,MATCH(J2422,Lists!$A$2:$A$30,0)),""))</f>
        <v/>
      </c>
      <c r="M2422" s="24"/>
      <c r="N2422" s="27" t="str">
        <f aca="false">IF(B2422="","",IFERROR(1000-SUMPRODUCT(MAX(ISNUMBER(SEARCH(Rules!$A$5:$A$204,B2422))*(Rules!$A$5:$A$204&lt;&gt;"")*(1000-ROW(Rules!$A$5:$A$204)))),""))</f>
        <v/>
      </c>
    </row>
    <row r="2423" customFormat="false" ht="15" hidden="false" customHeight="false" outlineLevel="0" collapsed="false">
      <c r="A2423" s="23"/>
      <c r="B2423" s="24"/>
      <c r="C2423" s="25"/>
      <c r="D2423" s="24"/>
      <c r="E2423" s="21" t="str">
        <f aca="false">IF(OR(B2423="",N(N2423)=0,N2423=1000),IF(B2423="","","Check"),INDEX(Rules!$B:$B,N2423))</f>
        <v/>
      </c>
      <c r="F2423" s="21" t="str">
        <f aca="false">IF(OR(B2423="",N(N2423)=0,N2423=1000),"",INDEX(Rules!$C:$C,N2423))</f>
        <v/>
      </c>
      <c r="G2423" s="24"/>
      <c r="H2423" s="24"/>
      <c r="I2423" s="20" t="str">
        <f aca="false">IF(B2423="","",IF(G2423&lt;&gt;"",G2423,E2423))</f>
        <v/>
      </c>
      <c r="J2423" s="21" t="str">
        <f aca="false">IF(B2423="","",IF(H2423&lt;&gt;"",H2423,F2423))</f>
        <v/>
      </c>
      <c r="K2423" s="26" t="str">
        <f aca="false">IF(A2423="","",DATE(YEAR(A2423),MONTH(A2423),1))</f>
        <v/>
      </c>
      <c r="L2423" s="21" t="str">
        <f aca="false">IF(J2423="",IF(B2423="","",IF(N(C2423)&gt;=0,"Income","Expense")),IFERROR(INDEX(Lists!$B$2:$B$30,MATCH(J2423,Lists!$A$2:$A$30,0)),""))</f>
        <v/>
      </c>
      <c r="M2423" s="24"/>
      <c r="N2423" s="27" t="str">
        <f aca="false">IF(B2423="","",IFERROR(1000-SUMPRODUCT(MAX(ISNUMBER(SEARCH(Rules!$A$5:$A$204,B2423))*(Rules!$A$5:$A$204&lt;&gt;"")*(1000-ROW(Rules!$A$5:$A$204)))),""))</f>
        <v/>
      </c>
    </row>
    <row r="2424" customFormat="false" ht="15" hidden="false" customHeight="false" outlineLevel="0" collapsed="false">
      <c r="A2424" s="23"/>
      <c r="B2424" s="24"/>
      <c r="C2424" s="25"/>
      <c r="D2424" s="24"/>
      <c r="E2424" s="21" t="str">
        <f aca="false">IF(OR(B2424="",N(N2424)=0,N2424=1000),IF(B2424="","","Check"),INDEX(Rules!$B:$B,N2424))</f>
        <v/>
      </c>
      <c r="F2424" s="21" t="str">
        <f aca="false">IF(OR(B2424="",N(N2424)=0,N2424=1000),"",INDEX(Rules!$C:$C,N2424))</f>
        <v/>
      </c>
      <c r="G2424" s="24"/>
      <c r="H2424" s="24"/>
      <c r="I2424" s="20" t="str">
        <f aca="false">IF(B2424="","",IF(G2424&lt;&gt;"",G2424,E2424))</f>
        <v/>
      </c>
      <c r="J2424" s="21" t="str">
        <f aca="false">IF(B2424="","",IF(H2424&lt;&gt;"",H2424,F2424))</f>
        <v/>
      </c>
      <c r="K2424" s="26" t="str">
        <f aca="false">IF(A2424="","",DATE(YEAR(A2424),MONTH(A2424),1))</f>
        <v/>
      </c>
      <c r="L2424" s="21" t="str">
        <f aca="false">IF(J2424="",IF(B2424="","",IF(N(C2424)&gt;=0,"Income","Expense")),IFERROR(INDEX(Lists!$B$2:$B$30,MATCH(J2424,Lists!$A$2:$A$30,0)),""))</f>
        <v/>
      </c>
      <c r="M2424" s="24"/>
      <c r="N2424" s="27" t="str">
        <f aca="false">IF(B2424="","",IFERROR(1000-SUMPRODUCT(MAX(ISNUMBER(SEARCH(Rules!$A$5:$A$204,B2424))*(Rules!$A$5:$A$204&lt;&gt;"")*(1000-ROW(Rules!$A$5:$A$204)))),""))</f>
        <v/>
      </c>
    </row>
    <row r="2425" customFormat="false" ht="15" hidden="false" customHeight="false" outlineLevel="0" collapsed="false">
      <c r="A2425" s="23"/>
      <c r="B2425" s="24"/>
      <c r="C2425" s="25"/>
      <c r="D2425" s="24"/>
      <c r="E2425" s="21" t="str">
        <f aca="false">IF(OR(B2425="",N(N2425)=0,N2425=1000),IF(B2425="","","Check"),INDEX(Rules!$B:$B,N2425))</f>
        <v/>
      </c>
      <c r="F2425" s="21" t="str">
        <f aca="false">IF(OR(B2425="",N(N2425)=0,N2425=1000),"",INDEX(Rules!$C:$C,N2425))</f>
        <v/>
      </c>
      <c r="G2425" s="24"/>
      <c r="H2425" s="24"/>
      <c r="I2425" s="20" t="str">
        <f aca="false">IF(B2425="","",IF(G2425&lt;&gt;"",G2425,E2425))</f>
        <v/>
      </c>
      <c r="J2425" s="21" t="str">
        <f aca="false">IF(B2425="","",IF(H2425&lt;&gt;"",H2425,F2425))</f>
        <v/>
      </c>
      <c r="K2425" s="26" t="str">
        <f aca="false">IF(A2425="","",DATE(YEAR(A2425),MONTH(A2425),1))</f>
        <v/>
      </c>
      <c r="L2425" s="21" t="str">
        <f aca="false">IF(J2425="",IF(B2425="","",IF(N(C2425)&gt;=0,"Income","Expense")),IFERROR(INDEX(Lists!$B$2:$B$30,MATCH(J2425,Lists!$A$2:$A$30,0)),""))</f>
        <v/>
      </c>
      <c r="M2425" s="24"/>
      <c r="N2425" s="27" t="str">
        <f aca="false">IF(B2425="","",IFERROR(1000-SUMPRODUCT(MAX(ISNUMBER(SEARCH(Rules!$A$5:$A$204,B2425))*(Rules!$A$5:$A$204&lt;&gt;"")*(1000-ROW(Rules!$A$5:$A$204)))),""))</f>
        <v/>
      </c>
    </row>
    <row r="2426" customFormat="false" ht="15" hidden="false" customHeight="false" outlineLevel="0" collapsed="false">
      <c r="A2426" s="23"/>
      <c r="B2426" s="24"/>
      <c r="C2426" s="25"/>
      <c r="D2426" s="24"/>
      <c r="E2426" s="21" t="str">
        <f aca="false">IF(OR(B2426="",N(N2426)=0,N2426=1000),IF(B2426="","","Check"),INDEX(Rules!$B:$B,N2426))</f>
        <v/>
      </c>
      <c r="F2426" s="21" t="str">
        <f aca="false">IF(OR(B2426="",N(N2426)=0,N2426=1000),"",INDEX(Rules!$C:$C,N2426))</f>
        <v/>
      </c>
      <c r="G2426" s="24"/>
      <c r="H2426" s="24"/>
      <c r="I2426" s="20" t="str">
        <f aca="false">IF(B2426="","",IF(G2426&lt;&gt;"",G2426,E2426))</f>
        <v/>
      </c>
      <c r="J2426" s="21" t="str">
        <f aca="false">IF(B2426="","",IF(H2426&lt;&gt;"",H2426,F2426))</f>
        <v/>
      </c>
      <c r="K2426" s="26" t="str">
        <f aca="false">IF(A2426="","",DATE(YEAR(A2426),MONTH(A2426),1))</f>
        <v/>
      </c>
      <c r="L2426" s="21" t="str">
        <f aca="false">IF(J2426="",IF(B2426="","",IF(N(C2426)&gt;=0,"Income","Expense")),IFERROR(INDEX(Lists!$B$2:$B$30,MATCH(J2426,Lists!$A$2:$A$30,0)),""))</f>
        <v/>
      </c>
      <c r="M2426" s="24"/>
      <c r="N2426" s="27" t="str">
        <f aca="false">IF(B2426="","",IFERROR(1000-SUMPRODUCT(MAX(ISNUMBER(SEARCH(Rules!$A$5:$A$204,B2426))*(Rules!$A$5:$A$204&lt;&gt;"")*(1000-ROW(Rules!$A$5:$A$204)))),""))</f>
        <v/>
      </c>
    </row>
    <row r="2427" customFormat="false" ht="15" hidden="false" customHeight="false" outlineLevel="0" collapsed="false">
      <c r="A2427" s="23"/>
      <c r="B2427" s="24"/>
      <c r="C2427" s="25"/>
      <c r="D2427" s="24"/>
      <c r="E2427" s="21" t="str">
        <f aca="false">IF(OR(B2427="",N(N2427)=0,N2427=1000),IF(B2427="","","Check"),INDEX(Rules!$B:$B,N2427))</f>
        <v/>
      </c>
      <c r="F2427" s="21" t="str">
        <f aca="false">IF(OR(B2427="",N(N2427)=0,N2427=1000),"",INDEX(Rules!$C:$C,N2427))</f>
        <v/>
      </c>
      <c r="G2427" s="24"/>
      <c r="H2427" s="24"/>
      <c r="I2427" s="20" t="str">
        <f aca="false">IF(B2427="","",IF(G2427&lt;&gt;"",G2427,E2427))</f>
        <v/>
      </c>
      <c r="J2427" s="21" t="str">
        <f aca="false">IF(B2427="","",IF(H2427&lt;&gt;"",H2427,F2427))</f>
        <v/>
      </c>
      <c r="K2427" s="26" t="str">
        <f aca="false">IF(A2427="","",DATE(YEAR(A2427),MONTH(A2427),1))</f>
        <v/>
      </c>
      <c r="L2427" s="21" t="str">
        <f aca="false">IF(J2427="",IF(B2427="","",IF(N(C2427)&gt;=0,"Income","Expense")),IFERROR(INDEX(Lists!$B$2:$B$30,MATCH(J2427,Lists!$A$2:$A$30,0)),""))</f>
        <v/>
      </c>
      <c r="M2427" s="24"/>
      <c r="N2427" s="27" t="str">
        <f aca="false">IF(B2427="","",IFERROR(1000-SUMPRODUCT(MAX(ISNUMBER(SEARCH(Rules!$A$5:$A$204,B2427))*(Rules!$A$5:$A$204&lt;&gt;"")*(1000-ROW(Rules!$A$5:$A$204)))),""))</f>
        <v/>
      </c>
    </row>
    <row r="2428" customFormat="false" ht="15" hidden="false" customHeight="false" outlineLevel="0" collapsed="false">
      <c r="A2428" s="23"/>
      <c r="B2428" s="24"/>
      <c r="C2428" s="25"/>
      <c r="D2428" s="24"/>
      <c r="E2428" s="21" t="str">
        <f aca="false">IF(OR(B2428="",N(N2428)=0,N2428=1000),IF(B2428="","","Check"),INDEX(Rules!$B:$B,N2428))</f>
        <v/>
      </c>
      <c r="F2428" s="21" t="str">
        <f aca="false">IF(OR(B2428="",N(N2428)=0,N2428=1000),"",INDEX(Rules!$C:$C,N2428))</f>
        <v/>
      </c>
      <c r="G2428" s="24"/>
      <c r="H2428" s="24"/>
      <c r="I2428" s="20" t="str">
        <f aca="false">IF(B2428="","",IF(G2428&lt;&gt;"",G2428,E2428))</f>
        <v/>
      </c>
      <c r="J2428" s="21" t="str">
        <f aca="false">IF(B2428="","",IF(H2428&lt;&gt;"",H2428,F2428))</f>
        <v/>
      </c>
      <c r="K2428" s="26" t="str">
        <f aca="false">IF(A2428="","",DATE(YEAR(A2428),MONTH(A2428),1))</f>
        <v/>
      </c>
      <c r="L2428" s="21" t="str">
        <f aca="false">IF(J2428="",IF(B2428="","",IF(N(C2428)&gt;=0,"Income","Expense")),IFERROR(INDEX(Lists!$B$2:$B$30,MATCH(J2428,Lists!$A$2:$A$30,0)),""))</f>
        <v/>
      </c>
      <c r="M2428" s="24"/>
      <c r="N2428" s="27" t="str">
        <f aca="false">IF(B2428="","",IFERROR(1000-SUMPRODUCT(MAX(ISNUMBER(SEARCH(Rules!$A$5:$A$204,B2428))*(Rules!$A$5:$A$204&lt;&gt;"")*(1000-ROW(Rules!$A$5:$A$204)))),""))</f>
        <v/>
      </c>
    </row>
    <row r="2429" customFormat="false" ht="15" hidden="false" customHeight="false" outlineLevel="0" collapsed="false">
      <c r="A2429" s="23"/>
      <c r="B2429" s="24"/>
      <c r="C2429" s="25"/>
      <c r="D2429" s="24"/>
      <c r="E2429" s="21" t="str">
        <f aca="false">IF(OR(B2429="",N(N2429)=0,N2429=1000),IF(B2429="","","Check"),INDEX(Rules!$B:$B,N2429))</f>
        <v/>
      </c>
      <c r="F2429" s="21" t="str">
        <f aca="false">IF(OR(B2429="",N(N2429)=0,N2429=1000),"",INDEX(Rules!$C:$C,N2429))</f>
        <v/>
      </c>
      <c r="G2429" s="24"/>
      <c r="H2429" s="24"/>
      <c r="I2429" s="20" t="str">
        <f aca="false">IF(B2429="","",IF(G2429&lt;&gt;"",G2429,E2429))</f>
        <v/>
      </c>
      <c r="J2429" s="21" t="str">
        <f aca="false">IF(B2429="","",IF(H2429&lt;&gt;"",H2429,F2429))</f>
        <v/>
      </c>
      <c r="K2429" s="26" t="str">
        <f aca="false">IF(A2429="","",DATE(YEAR(A2429),MONTH(A2429),1))</f>
        <v/>
      </c>
      <c r="L2429" s="21" t="str">
        <f aca="false">IF(J2429="",IF(B2429="","",IF(N(C2429)&gt;=0,"Income","Expense")),IFERROR(INDEX(Lists!$B$2:$B$30,MATCH(J2429,Lists!$A$2:$A$30,0)),""))</f>
        <v/>
      </c>
      <c r="M2429" s="24"/>
      <c r="N2429" s="27" t="str">
        <f aca="false">IF(B2429="","",IFERROR(1000-SUMPRODUCT(MAX(ISNUMBER(SEARCH(Rules!$A$5:$A$204,B2429))*(Rules!$A$5:$A$204&lt;&gt;"")*(1000-ROW(Rules!$A$5:$A$204)))),""))</f>
        <v/>
      </c>
    </row>
    <row r="2430" customFormat="false" ht="15" hidden="false" customHeight="false" outlineLevel="0" collapsed="false">
      <c r="A2430" s="23"/>
      <c r="B2430" s="24"/>
      <c r="C2430" s="25"/>
      <c r="D2430" s="24"/>
      <c r="E2430" s="21" t="str">
        <f aca="false">IF(OR(B2430="",N(N2430)=0,N2430=1000),IF(B2430="","","Check"),INDEX(Rules!$B:$B,N2430))</f>
        <v/>
      </c>
      <c r="F2430" s="21" t="str">
        <f aca="false">IF(OR(B2430="",N(N2430)=0,N2430=1000),"",INDEX(Rules!$C:$C,N2430))</f>
        <v/>
      </c>
      <c r="G2430" s="24"/>
      <c r="H2430" s="24"/>
      <c r="I2430" s="20" t="str">
        <f aca="false">IF(B2430="","",IF(G2430&lt;&gt;"",G2430,E2430))</f>
        <v/>
      </c>
      <c r="J2430" s="21" t="str">
        <f aca="false">IF(B2430="","",IF(H2430&lt;&gt;"",H2430,F2430))</f>
        <v/>
      </c>
      <c r="K2430" s="26" t="str">
        <f aca="false">IF(A2430="","",DATE(YEAR(A2430),MONTH(A2430),1))</f>
        <v/>
      </c>
      <c r="L2430" s="21" t="str">
        <f aca="false">IF(J2430="",IF(B2430="","",IF(N(C2430)&gt;=0,"Income","Expense")),IFERROR(INDEX(Lists!$B$2:$B$30,MATCH(J2430,Lists!$A$2:$A$30,0)),""))</f>
        <v/>
      </c>
      <c r="M2430" s="24"/>
      <c r="N2430" s="27" t="str">
        <f aca="false">IF(B2430="","",IFERROR(1000-SUMPRODUCT(MAX(ISNUMBER(SEARCH(Rules!$A$5:$A$204,B2430))*(Rules!$A$5:$A$204&lt;&gt;"")*(1000-ROW(Rules!$A$5:$A$204)))),""))</f>
        <v/>
      </c>
    </row>
    <row r="2431" customFormat="false" ht="15" hidden="false" customHeight="false" outlineLevel="0" collapsed="false">
      <c r="A2431" s="23"/>
      <c r="B2431" s="24"/>
      <c r="C2431" s="25"/>
      <c r="D2431" s="24"/>
      <c r="E2431" s="21" t="str">
        <f aca="false">IF(OR(B2431="",N(N2431)=0,N2431=1000),IF(B2431="","","Check"),INDEX(Rules!$B:$B,N2431))</f>
        <v/>
      </c>
      <c r="F2431" s="21" t="str">
        <f aca="false">IF(OR(B2431="",N(N2431)=0,N2431=1000),"",INDEX(Rules!$C:$C,N2431))</f>
        <v/>
      </c>
      <c r="G2431" s="24"/>
      <c r="H2431" s="24"/>
      <c r="I2431" s="20" t="str">
        <f aca="false">IF(B2431="","",IF(G2431&lt;&gt;"",G2431,E2431))</f>
        <v/>
      </c>
      <c r="J2431" s="21" t="str">
        <f aca="false">IF(B2431="","",IF(H2431&lt;&gt;"",H2431,F2431))</f>
        <v/>
      </c>
      <c r="K2431" s="26" t="str">
        <f aca="false">IF(A2431="","",DATE(YEAR(A2431),MONTH(A2431),1))</f>
        <v/>
      </c>
      <c r="L2431" s="21" t="str">
        <f aca="false">IF(J2431="",IF(B2431="","",IF(N(C2431)&gt;=0,"Income","Expense")),IFERROR(INDEX(Lists!$B$2:$B$30,MATCH(J2431,Lists!$A$2:$A$30,0)),""))</f>
        <v/>
      </c>
      <c r="M2431" s="24"/>
      <c r="N2431" s="27" t="str">
        <f aca="false">IF(B2431="","",IFERROR(1000-SUMPRODUCT(MAX(ISNUMBER(SEARCH(Rules!$A$5:$A$204,B2431))*(Rules!$A$5:$A$204&lt;&gt;"")*(1000-ROW(Rules!$A$5:$A$204)))),""))</f>
        <v/>
      </c>
    </row>
    <row r="2432" customFormat="false" ht="15" hidden="false" customHeight="false" outlineLevel="0" collapsed="false">
      <c r="A2432" s="23"/>
      <c r="B2432" s="24"/>
      <c r="C2432" s="25"/>
      <c r="D2432" s="24"/>
      <c r="E2432" s="21" t="str">
        <f aca="false">IF(OR(B2432="",N(N2432)=0,N2432=1000),IF(B2432="","","Check"),INDEX(Rules!$B:$B,N2432))</f>
        <v/>
      </c>
      <c r="F2432" s="21" t="str">
        <f aca="false">IF(OR(B2432="",N(N2432)=0,N2432=1000),"",INDEX(Rules!$C:$C,N2432))</f>
        <v/>
      </c>
      <c r="G2432" s="24"/>
      <c r="H2432" s="24"/>
      <c r="I2432" s="20" t="str">
        <f aca="false">IF(B2432="","",IF(G2432&lt;&gt;"",G2432,E2432))</f>
        <v/>
      </c>
      <c r="J2432" s="21" t="str">
        <f aca="false">IF(B2432="","",IF(H2432&lt;&gt;"",H2432,F2432))</f>
        <v/>
      </c>
      <c r="K2432" s="26" t="str">
        <f aca="false">IF(A2432="","",DATE(YEAR(A2432),MONTH(A2432),1))</f>
        <v/>
      </c>
      <c r="L2432" s="21" t="str">
        <f aca="false">IF(J2432="",IF(B2432="","",IF(N(C2432)&gt;=0,"Income","Expense")),IFERROR(INDEX(Lists!$B$2:$B$30,MATCH(J2432,Lists!$A$2:$A$30,0)),""))</f>
        <v/>
      </c>
      <c r="M2432" s="24"/>
      <c r="N2432" s="27" t="str">
        <f aca="false">IF(B2432="","",IFERROR(1000-SUMPRODUCT(MAX(ISNUMBER(SEARCH(Rules!$A$5:$A$204,B2432))*(Rules!$A$5:$A$204&lt;&gt;"")*(1000-ROW(Rules!$A$5:$A$204)))),""))</f>
        <v/>
      </c>
    </row>
    <row r="2433" customFormat="false" ht="15" hidden="false" customHeight="false" outlineLevel="0" collapsed="false">
      <c r="A2433" s="23"/>
      <c r="B2433" s="24"/>
      <c r="C2433" s="25"/>
      <c r="D2433" s="24"/>
      <c r="E2433" s="21" t="str">
        <f aca="false">IF(OR(B2433="",N(N2433)=0,N2433=1000),IF(B2433="","","Check"),INDEX(Rules!$B:$B,N2433))</f>
        <v/>
      </c>
      <c r="F2433" s="21" t="str">
        <f aca="false">IF(OR(B2433="",N(N2433)=0,N2433=1000),"",INDEX(Rules!$C:$C,N2433))</f>
        <v/>
      </c>
      <c r="G2433" s="24"/>
      <c r="H2433" s="24"/>
      <c r="I2433" s="20" t="str">
        <f aca="false">IF(B2433="","",IF(G2433&lt;&gt;"",G2433,E2433))</f>
        <v/>
      </c>
      <c r="J2433" s="21" t="str">
        <f aca="false">IF(B2433="","",IF(H2433&lt;&gt;"",H2433,F2433))</f>
        <v/>
      </c>
      <c r="K2433" s="26" t="str">
        <f aca="false">IF(A2433="","",DATE(YEAR(A2433),MONTH(A2433),1))</f>
        <v/>
      </c>
      <c r="L2433" s="21" t="str">
        <f aca="false">IF(J2433="",IF(B2433="","",IF(N(C2433)&gt;=0,"Income","Expense")),IFERROR(INDEX(Lists!$B$2:$B$30,MATCH(J2433,Lists!$A$2:$A$30,0)),""))</f>
        <v/>
      </c>
      <c r="M2433" s="24"/>
      <c r="N2433" s="27" t="str">
        <f aca="false">IF(B2433="","",IFERROR(1000-SUMPRODUCT(MAX(ISNUMBER(SEARCH(Rules!$A$5:$A$204,B2433))*(Rules!$A$5:$A$204&lt;&gt;"")*(1000-ROW(Rules!$A$5:$A$204)))),""))</f>
        <v/>
      </c>
    </row>
    <row r="2434" customFormat="false" ht="15" hidden="false" customHeight="false" outlineLevel="0" collapsed="false">
      <c r="A2434" s="23"/>
      <c r="B2434" s="24"/>
      <c r="C2434" s="25"/>
      <c r="D2434" s="24"/>
      <c r="E2434" s="21" t="str">
        <f aca="false">IF(OR(B2434="",N(N2434)=0,N2434=1000),IF(B2434="","","Check"),INDEX(Rules!$B:$B,N2434))</f>
        <v/>
      </c>
      <c r="F2434" s="21" t="str">
        <f aca="false">IF(OR(B2434="",N(N2434)=0,N2434=1000),"",INDEX(Rules!$C:$C,N2434))</f>
        <v/>
      </c>
      <c r="G2434" s="24"/>
      <c r="H2434" s="24"/>
      <c r="I2434" s="20" t="str">
        <f aca="false">IF(B2434="","",IF(G2434&lt;&gt;"",G2434,E2434))</f>
        <v/>
      </c>
      <c r="J2434" s="21" t="str">
        <f aca="false">IF(B2434="","",IF(H2434&lt;&gt;"",H2434,F2434))</f>
        <v/>
      </c>
      <c r="K2434" s="26" t="str">
        <f aca="false">IF(A2434="","",DATE(YEAR(A2434),MONTH(A2434),1))</f>
        <v/>
      </c>
      <c r="L2434" s="21" t="str">
        <f aca="false">IF(J2434="",IF(B2434="","",IF(N(C2434)&gt;=0,"Income","Expense")),IFERROR(INDEX(Lists!$B$2:$B$30,MATCH(J2434,Lists!$A$2:$A$30,0)),""))</f>
        <v/>
      </c>
      <c r="M2434" s="24"/>
      <c r="N2434" s="27" t="str">
        <f aca="false">IF(B2434="","",IFERROR(1000-SUMPRODUCT(MAX(ISNUMBER(SEARCH(Rules!$A$5:$A$204,B2434))*(Rules!$A$5:$A$204&lt;&gt;"")*(1000-ROW(Rules!$A$5:$A$204)))),""))</f>
        <v/>
      </c>
    </row>
    <row r="2435" customFormat="false" ht="15" hidden="false" customHeight="false" outlineLevel="0" collapsed="false">
      <c r="A2435" s="23"/>
      <c r="B2435" s="24"/>
      <c r="C2435" s="25"/>
      <c r="D2435" s="24"/>
      <c r="E2435" s="21" t="str">
        <f aca="false">IF(OR(B2435="",N(N2435)=0,N2435=1000),IF(B2435="","","Check"),INDEX(Rules!$B:$B,N2435))</f>
        <v/>
      </c>
      <c r="F2435" s="21" t="str">
        <f aca="false">IF(OR(B2435="",N(N2435)=0,N2435=1000),"",INDEX(Rules!$C:$C,N2435))</f>
        <v/>
      </c>
      <c r="G2435" s="24"/>
      <c r="H2435" s="24"/>
      <c r="I2435" s="20" t="str">
        <f aca="false">IF(B2435="","",IF(G2435&lt;&gt;"",G2435,E2435))</f>
        <v/>
      </c>
      <c r="J2435" s="21" t="str">
        <f aca="false">IF(B2435="","",IF(H2435&lt;&gt;"",H2435,F2435))</f>
        <v/>
      </c>
      <c r="K2435" s="26" t="str">
        <f aca="false">IF(A2435="","",DATE(YEAR(A2435),MONTH(A2435),1))</f>
        <v/>
      </c>
      <c r="L2435" s="21" t="str">
        <f aca="false">IF(J2435="",IF(B2435="","",IF(N(C2435)&gt;=0,"Income","Expense")),IFERROR(INDEX(Lists!$B$2:$B$30,MATCH(J2435,Lists!$A$2:$A$30,0)),""))</f>
        <v/>
      </c>
      <c r="M2435" s="24"/>
      <c r="N2435" s="27" t="str">
        <f aca="false">IF(B2435="","",IFERROR(1000-SUMPRODUCT(MAX(ISNUMBER(SEARCH(Rules!$A$5:$A$204,B2435))*(Rules!$A$5:$A$204&lt;&gt;"")*(1000-ROW(Rules!$A$5:$A$204)))),""))</f>
        <v/>
      </c>
    </row>
    <row r="2436" customFormat="false" ht="15" hidden="false" customHeight="false" outlineLevel="0" collapsed="false">
      <c r="A2436" s="23"/>
      <c r="B2436" s="24"/>
      <c r="C2436" s="25"/>
      <c r="D2436" s="24"/>
      <c r="E2436" s="21" t="str">
        <f aca="false">IF(OR(B2436="",N(N2436)=0,N2436=1000),IF(B2436="","","Check"),INDEX(Rules!$B:$B,N2436))</f>
        <v/>
      </c>
      <c r="F2436" s="21" t="str">
        <f aca="false">IF(OR(B2436="",N(N2436)=0,N2436=1000),"",INDEX(Rules!$C:$C,N2436))</f>
        <v/>
      </c>
      <c r="G2436" s="24"/>
      <c r="H2436" s="24"/>
      <c r="I2436" s="20" t="str">
        <f aca="false">IF(B2436="","",IF(G2436&lt;&gt;"",G2436,E2436))</f>
        <v/>
      </c>
      <c r="J2436" s="21" t="str">
        <f aca="false">IF(B2436="","",IF(H2436&lt;&gt;"",H2436,F2436))</f>
        <v/>
      </c>
      <c r="K2436" s="26" t="str">
        <f aca="false">IF(A2436="","",DATE(YEAR(A2436),MONTH(A2436),1))</f>
        <v/>
      </c>
      <c r="L2436" s="21" t="str">
        <f aca="false">IF(J2436="",IF(B2436="","",IF(N(C2436)&gt;=0,"Income","Expense")),IFERROR(INDEX(Lists!$B$2:$B$30,MATCH(J2436,Lists!$A$2:$A$30,0)),""))</f>
        <v/>
      </c>
      <c r="M2436" s="24"/>
      <c r="N2436" s="27" t="str">
        <f aca="false">IF(B2436="","",IFERROR(1000-SUMPRODUCT(MAX(ISNUMBER(SEARCH(Rules!$A$5:$A$204,B2436))*(Rules!$A$5:$A$204&lt;&gt;"")*(1000-ROW(Rules!$A$5:$A$204)))),""))</f>
        <v/>
      </c>
    </row>
    <row r="2437" customFormat="false" ht="15" hidden="false" customHeight="false" outlineLevel="0" collapsed="false">
      <c r="A2437" s="23"/>
      <c r="B2437" s="24"/>
      <c r="C2437" s="25"/>
      <c r="D2437" s="24"/>
      <c r="E2437" s="21" t="str">
        <f aca="false">IF(OR(B2437="",N(N2437)=0,N2437=1000),IF(B2437="","","Check"),INDEX(Rules!$B:$B,N2437))</f>
        <v/>
      </c>
      <c r="F2437" s="21" t="str">
        <f aca="false">IF(OR(B2437="",N(N2437)=0,N2437=1000),"",INDEX(Rules!$C:$C,N2437))</f>
        <v/>
      </c>
      <c r="G2437" s="24"/>
      <c r="H2437" s="24"/>
      <c r="I2437" s="20" t="str">
        <f aca="false">IF(B2437="","",IF(G2437&lt;&gt;"",G2437,E2437))</f>
        <v/>
      </c>
      <c r="J2437" s="21" t="str">
        <f aca="false">IF(B2437="","",IF(H2437&lt;&gt;"",H2437,F2437))</f>
        <v/>
      </c>
      <c r="K2437" s="26" t="str">
        <f aca="false">IF(A2437="","",DATE(YEAR(A2437),MONTH(A2437),1))</f>
        <v/>
      </c>
      <c r="L2437" s="21" t="str">
        <f aca="false">IF(J2437="",IF(B2437="","",IF(N(C2437)&gt;=0,"Income","Expense")),IFERROR(INDEX(Lists!$B$2:$B$30,MATCH(J2437,Lists!$A$2:$A$30,0)),""))</f>
        <v/>
      </c>
      <c r="M2437" s="24"/>
      <c r="N2437" s="27" t="str">
        <f aca="false">IF(B2437="","",IFERROR(1000-SUMPRODUCT(MAX(ISNUMBER(SEARCH(Rules!$A$5:$A$204,B2437))*(Rules!$A$5:$A$204&lt;&gt;"")*(1000-ROW(Rules!$A$5:$A$204)))),""))</f>
        <v/>
      </c>
    </row>
    <row r="2438" customFormat="false" ht="15" hidden="false" customHeight="false" outlineLevel="0" collapsed="false">
      <c r="A2438" s="23"/>
      <c r="B2438" s="24"/>
      <c r="C2438" s="25"/>
      <c r="D2438" s="24"/>
      <c r="E2438" s="21" t="str">
        <f aca="false">IF(OR(B2438="",N(N2438)=0,N2438=1000),IF(B2438="","","Check"),INDEX(Rules!$B:$B,N2438))</f>
        <v/>
      </c>
      <c r="F2438" s="21" t="str">
        <f aca="false">IF(OR(B2438="",N(N2438)=0,N2438=1000),"",INDEX(Rules!$C:$C,N2438))</f>
        <v/>
      </c>
      <c r="G2438" s="24"/>
      <c r="H2438" s="24"/>
      <c r="I2438" s="20" t="str">
        <f aca="false">IF(B2438="","",IF(G2438&lt;&gt;"",G2438,E2438))</f>
        <v/>
      </c>
      <c r="J2438" s="21" t="str">
        <f aca="false">IF(B2438="","",IF(H2438&lt;&gt;"",H2438,F2438))</f>
        <v/>
      </c>
      <c r="K2438" s="26" t="str">
        <f aca="false">IF(A2438="","",DATE(YEAR(A2438),MONTH(A2438),1))</f>
        <v/>
      </c>
      <c r="L2438" s="21" t="str">
        <f aca="false">IF(J2438="",IF(B2438="","",IF(N(C2438)&gt;=0,"Income","Expense")),IFERROR(INDEX(Lists!$B$2:$B$30,MATCH(J2438,Lists!$A$2:$A$30,0)),""))</f>
        <v/>
      </c>
      <c r="M2438" s="24"/>
      <c r="N2438" s="27" t="str">
        <f aca="false">IF(B2438="","",IFERROR(1000-SUMPRODUCT(MAX(ISNUMBER(SEARCH(Rules!$A$5:$A$204,B2438))*(Rules!$A$5:$A$204&lt;&gt;"")*(1000-ROW(Rules!$A$5:$A$204)))),""))</f>
        <v/>
      </c>
    </row>
    <row r="2439" customFormat="false" ht="15" hidden="false" customHeight="false" outlineLevel="0" collapsed="false">
      <c r="A2439" s="23"/>
      <c r="B2439" s="24"/>
      <c r="C2439" s="25"/>
      <c r="D2439" s="24"/>
      <c r="E2439" s="21" t="str">
        <f aca="false">IF(OR(B2439="",N(N2439)=0,N2439=1000),IF(B2439="","","Check"),INDEX(Rules!$B:$B,N2439))</f>
        <v/>
      </c>
      <c r="F2439" s="21" t="str">
        <f aca="false">IF(OR(B2439="",N(N2439)=0,N2439=1000),"",INDEX(Rules!$C:$C,N2439))</f>
        <v/>
      </c>
      <c r="G2439" s="24"/>
      <c r="H2439" s="24"/>
      <c r="I2439" s="20" t="str">
        <f aca="false">IF(B2439="","",IF(G2439&lt;&gt;"",G2439,E2439))</f>
        <v/>
      </c>
      <c r="J2439" s="21" t="str">
        <f aca="false">IF(B2439="","",IF(H2439&lt;&gt;"",H2439,F2439))</f>
        <v/>
      </c>
      <c r="K2439" s="26" t="str">
        <f aca="false">IF(A2439="","",DATE(YEAR(A2439),MONTH(A2439),1))</f>
        <v/>
      </c>
      <c r="L2439" s="21" t="str">
        <f aca="false">IF(J2439="",IF(B2439="","",IF(N(C2439)&gt;=0,"Income","Expense")),IFERROR(INDEX(Lists!$B$2:$B$30,MATCH(J2439,Lists!$A$2:$A$30,0)),""))</f>
        <v/>
      </c>
      <c r="M2439" s="24"/>
      <c r="N2439" s="27" t="str">
        <f aca="false">IF(B2439="","",IFERROR(1000-SUMPRODUCT(MAX(ISNUMBER(SEARCH(Rules!$A$5:$A$204,B2439))*(Rules!$A$5:$A$204&lt;&gt;"")*(1000-ROW(Rules!$A$5:$A$204)))),""))</f>
        <v/>
      </c>
    </row>
    <row r="2440" customFormat="false" ht="15" hidden="false" customHeight="false" outlineLevel="0" collapsed="false">
      <c r="A2440" s="23"/>
      <c r="B2440" s="24"/>
      <c r="C2440" s="25"/>
      <c r="D2440" s="24"/>
      <c r="E2440" s="21" t="str">
        <f aca="false">IF(OR(B2440="",N(N2440)=0,N2440=1000),IF(B2440="","","Check"),INDEX(Rules!$B:$B,N2440))</f>
        <v/>
      </c>
      <c r="F2440" s="21" t="str">
        <f aca="false">IF(OR(B2440="",N(N2440)=0,N2440=1000),"",INDEX(Rules!$C:$C,N2440))</f>
        <v/>
      </c>
      <c r="G2440" s="24"/>
      <c r="H2440" s="24"/>
      <c r="I2440" s="20" t="str">
        <f aca="false">IF(B2440="","",IF(G2440&lt;&gt;"",G2440,E2440))</f>
        <v/>
      </c>
      <c r="J2440" s="21" t="str">
        <f aca="false">IF(B2440="","",IF(H2440&lt;&gt;"",H2440,F2440))</f>
        <v/>
      </c>
      <c r="K2440" s="26" t="str">
        <f aca="false">IF(A2440="","",DATE(YEAR(A2440),MONTH(A2440),1))</f>
        <v/>
      </c>
      <c r="L2440" s="21" t="str">
        <f aca="false">IF(J2440="",IF(B2440="","",IF(N(C2440)&gt;=0,"Income","Expense")),IFERROR(INDEX(Lists!$B$2:$B$30,MATCH(J2440,Lists!$A$2:$A$30,0)),""))</f>
        <v/>
      </c>
      <c r="M2440" s="24"/>
      <c r="N2440" s="27" t="str">
        <f aca="false">IF(B2440="","",IFERROR(1000-SUMPRODUCT(MAX(ISNUMBER(SEARCH(Rules!$A$5:$A$204,B2440))*(Rules!$A$5:$A$204&lt;&gt;"")*(1000-ROW(Rules!$A$5:$A$204)))),""))</f>
        <v/>
      </c>
    </row>
    <row r="2441" customFormat="false" ht="15" hidden="false" customHeight="false" outlineLevel="0" collapsed="false">
      <c r="A2441" s="23"/>
      <c r="B2441" s="24"/>
      <c r="C2441" s="25"/>
      <c r="D2441" s="24"/>
      <c r="E2441" s="21" t="str">
        <f aca="false">IF(OR(B2441="",N(N2441)=0,N2441=1000),IF(B2441="","","Check"),INDEX(Rules!$B:$B,N2441))</f>
        <v/>
      </c>
      <c r="F2441" s="21" t="str">
        <f aca="false">IF(OR(B2441="",N(N2441)=0,N2441=1000),"",INDEX(Rules!$C:$C,N2441))</f>
        <v/>
      </c>
      <c r="G2441" s="24"/>
      <c r="H2441" s="24"/>
      <c r="I2441" s="20" t="str">
        <f aca="false">IF(B2441="","",IF(G2441&lt;&gt;"",G2441,E2441))</f>
        <v/>
      </c>
      <c r="J2441" s="21" t="str">
        <f aca="false">IF(B2441="","",IF(H2441&lt;&gt;"",H2441,F2441))</f>
        <v/>
      </c>
      <c r="K2441" s="26" t="str">
        <f aca="false">IF(A2441="","",DATE(YEAR(A2441),MONTH(A2441),1))</f>
        <v/>
      </c>
      <c r="L2441" s="21" t="str">
        <f aca="false">IF(J2441="",IF(B2441="","",IF(N(C2441)&gt;=0,"Income","Expense")),IFERROR(INDEX(Lists!$B$2:$B$30,MATCH(J2441,Lists!$A$2:$A$30,0)),""))</f>
        <v/>
      </c>
      <c r="M2441" s="24"/>
      <c r="N2441" s="27" t="str">
        <f aca="false">IF(B2441="","",IFERROR(1000-SUMPRODUCT(MAX(ISNUMBER(SEARCH(Rules!$A$5:$A$204,B2441))*(Rules!$A$5:$A$204&lt;&gt;"")*(1000-ROW(Rules!$A$5:$A$204)))),""))</f>
        <v/>
      </c>
    </row>
    <row r="2442" customFormat="false" ht="15" hidden="false" customHeight="false" outlineLevel="0" collapsed="false">
      <c r="A2442" s="23"/>
      <c r="B2442" s="24"/>
      <c r="C2442" s="25"/>
      <c r="D2442" s="24"/>
      <c r="E2442" s="21" t="str">
        <f aca="false">IF(OR(B2442="",N(N2442)=0,N2442=1000),IF(B2442="","","Check"),INDEX(Rules!$B:$B,N2442))</f>
        <v/>
      </c>
      <c r="F2442" s="21" t="str">
        <f aca="false">IF(OR(B2442="",N(N2442)=0,N2442=1000),"",INDEX(Rules!$C:$C,N2442))</f>
        <v/>
      </c>
      <c r="G2442" s="24"/>
      <c r="H2442" s="24"/>
      <c r="I2442" s="20" t="str">
        <f aca="false">IF(B2442="","",IF(G2442&lt;&gt;"",G2442,E2442))</f>
        <v/>
      </c>
      <c r="J2442" s="21" t="str">
        <f aca="false">IF(B2442="","",IF(H2442&lt;&gt;"",H2442,F2442))</f>
        <v/>
      </c>
      <c r="K2442" s="26" t="str">
        <f aca="false">IF(A2442="","",DATE(YEAR(A2442),MONTH(A2442),1))</f>
        <v/>
      </c>
      <c r="L2442" s="21" t="str">
        <f aca="false">IF(J2442="",IF(B2442="","",IF(N(C2442)&gt;=0,"Income","Expense")),IFERROR(INDEX(Lists!$B$2:$B$30,MATCH(J2442,Lists!$A$2:$A$30,0)),""))</f>
        <v/>
      </c>
      <c r="M2442" s="24"/>
      <c r="N2442" s="27" t="str">
        <f aca="false">IF(B2442="","",IFERROR(1000-SUMPRODUCT(MAX(ISNUMBER(SEARCH(Rules!$A$5:$A$204,B2442))*(Rules!$A$5:$A$204&lt;&gt;"")*(1000-ROW(Rules!$A$5:$A$204)))),""))</f>
        <v/>
      </c>
    </row>
    <row r="2443" customFormat="false" ht="15" hidden="false" customHeight="false" outlineLevel="0" collapsed="false">
      <c r="A2443" s="23"/>
      <c r="B2443" s="24"/>
      <c r="C2443" s="25"/>
      <c r="D2443" s="24"/>
      <c r="E2443" s="21" t="str">
        <f aca="false">IF(OR(B2443="",N(N2443)=0,N2443=1000),IF(B2443="","","Check"),INDEX(Rules!$B:$B,N2443))</f>
        <v/>
      </c>
      <c r="F2443" s="21" t="str">
        <f aca="false">IF(OR(B2443="",N(N2443)=0,N2443=1000),"",INDEX(Rules!$C:$C,N2443))</f>
        <v/>
      </c>
      <c r="G2443" s="24"/>
      <c r="H2443" s="24"/>
      <c r="I2443" s="20" t="str">
        <f aca="false">IF(B2443="","",IF(G2443&lt;&gt;"",G2443,E2443))</f>
        <v/>
      </c>
      <c r="J2443" s="21" t="str">
        <f aca="false">IF(B2443="","",IF(H2443&lt;&gt;"",H2443,F2443))</f>
        <v/>
      </c>
      <c r="K2443" s="26" t="str">
        <f aca="false">IF(A2443="","",DATE(YEAR(A2443),MONTH(A2443),1))</f>
        <v/>
      </c>
      <c r="L2443" s="21" t="str">
        <f aca="false">IF(J2443="",IF(B2443="","",IF(N(C2443)&gt;=0,"Income","Expense")),IFERROR(INDEX(Lists!$B$2:$B$30,MATCH(J2443,Lists!$A$2:$A$30,0)),""))</f>
        <v/>
      </c>
      <c r="M2443" s="24"/>
      <c r="N2443" s="27" t="str">
        <f aca="false">IF(B2443="","",IFERROR(1000-SUMPRODUCT(MAX(ISNUMBER(SEARCH(Rules!$A$5:$A$204,B2443))*(Rules!$A$5:$A$204&lt;&gt;"")*(1000-ROW(Rules!$A$5:$A$204)))),""))</f>
        <v/>
      </c>
    </row>
    <row r="2444" customFormat="false" ht="15" hidden="false" customHeight="false" outlineLevel="0" collapsed="false">
      <c r="A2444" s="23"/>
      <c r="B2444" s="24"/>
      <c r="C2444" s="25"/>
      <c r="D2444" s="24"/>
      <c r="E2444" s="21" t="str">
        <f aca="false">IF(OR(B2444="",N(N2444)=0,N2444=1000),IF(B2444="","","Check"),INDEX(Rules!$B:$B,N2444))</f>
        <v/>
      </c>
      <c r="F2444" s="21" t="str">
        <f aca="false">IF(OR(B2444="",N(N2444)=0,N2444=1000),"",INDEX(Rules!$C:$C,N2444))</f>
        <v/>
      </c>
      <c r="G2444" s="24"/>
      <c r="H2444" s="24"/>
      <c r="I2444" s="20" t="str">
        <f aca="false">IF(B2444="","",IF(G2444&lt;&gt;"",G2444,E2444))</f>
        <v/>
      </c>
      <c r="J2444" s="21" t="str">
        <f aca="false">IF(B2444="","",IF(H2444&lt;&gt;"",H2444,F2444))</f>
        <v/>
      </c>
      <c r="K2444" s="26" t="str">
        <f aca="false">IF(A2444="","",DATE(YEAR(A2444),MONTH(A2444),1))</f>
        <v/>
      </c>
      <c r="L2444" s="21" t="str">
        <f aca="false">IF(J2444="",IF(B2444="","",IF(N(C2444)&gt;=0,"Income","Expense")),IFERROR(INDEX(Lists!$B$2:$B$30,MATCH(J2444,Lists!$A$2:$A$30,0)),""))</f>
        <v/>
      </c>
      <c r="M2444" s="24"/>
      <c r="N2444" s="27" t="str">
        <f aca="false">IF(B2444="","",IFERROR(1000-SUMPRODUCT(MAX(ISNUMBER(SEARCH(Rules!$A$5:$A$204,B2444))*(Rules!$A$5:$A$204&lt;&gt;"")*(1000-ROW(Rules!$A$5:$A$204)))),""))</f>
        <v/>
      </c>
    </row>
    <row r="2445" customFormat="false" ht="15" hidden="false" customHeight="false" outlineLevel="0" collapsed="false">
      <c r="A2445" s="23"/>
      <c r="B2445" s="24"/>
      <c r="C2445" s="25"/>
      <c r="D2445" s="24"/>
      <c r="E2445" s="21" t="str">
        <f aca="false">IF(OR(B2445="",N(N2445)=0,N2445=1000),IF(B2445="","","Check"),INDEX(Rules!$B:$B,N2445))</f>
        <v/>
      </c>
      <c r="F2445" s="21" t="str">
        <f aca="false">IF(OR(B2445="",N(N2445)=0,N2445=1000),"",INDEX(Rules!$C:$C,N2445))</f>
        <v/>
      </c>
      <c r="G2445" s="24"/>
      <c r="H2445" s="24"/>
      <c r="I2445" s="20" t="str">
        <f aca="false">IF(B2445="","",IF(G2445&lt;&gt;"",G2445,E2445))</f>
        <v/>
      </c>
      <c r="J2445" s="21" t="str">
        <f aca="false">IF(B2445="","",IF(H2445&lt;&gt;"",H2445,F2445))</f>
        <v/>
      </c>
      <c r="K2445" s="26" t="str">
        <f aca="false">IF(A2445="","",DATE(YEAR(A2445),MONTH(A2445),1))</f>
        <v/>
      </c>
      <c r="L2445" s="21" t="str">
        <f aca="false">IF(J2445="",IF(B2445="","",IF(N(C2445)&gt;=0,"Income","Expense")),IFERROR(INDEX(Lists!$B$2:$B$30,MATCH(J2445,Lists!$A$2:$A$30,0)),""))</f>
        <v/>
      </c>
      <c r="M2445" s="24"/>
      <c r="N2445" s="27" t="str">
        <f aca="false">IF(B2445="","",IFERROR(1000-SUMPRODUCT(MAX(ISNUMBER(SEARCH(Rules!$A$5:$A$204,B2445))*(Rules!$A$5:$A$204&lt;&gt;"")*(1000-ROW(Rules!$A$5:$A$204)))),""))</f>
        <v/>
      </c>
    </row>
    <row r="2446" customFormat="false" ht="15" hidden="false" customHeight="false" outlineLevel="0" collapsed="false">
      <c r="A2446" s="23"/>
      <c r="B2446" s="24"/>
      <c r="C2446" s="25"/>
      <c r="D2446" s="24"/>
      <c r="E2446" s="21" t="str">
        <f aca="false">IF(OR(B2446="",N(N2446)=0,N2446=1000),IF(B2446="","","Check"),INDEX(Rules!$B:$B,N2446))</f>
        <v/>
      </c>
      <c r="F2446" s="21" t="str">
        <f aca="false">IF(OR(B2446="",N(N2446)=0,N2446=1000),"",INDEX(Rules!$C:$C,N2446))</f>
        <v/>
      </c>
      <c r="G2446" s="24"/>
      <c r="H2446" s="24"/>
      <c r="I2446" s="20" t="str">
        <f aca="false">IF(B2446="","",IF(G2446&lt;&gt;"",G2446,E2446))</f>
        <v/>
      </c>
      <c r="J2446" s="21" t="str">
        <f aca="false">IF(B2446="","",IF(H2446&lt;&gt;"",H2446,F2446))</f>
        <v/>
      </c>
      <c r="K2446" s="26" t="str">
        <f aca="false">IF(A2446="","",DATE(YEAR(A2446),MONTH(A2446),1))</f>
        <v/>
      </c>
      <c r="L2446" s="21" t="str">
        <f aca="false">IF(J2446="",IF(B2446="","",IF(N(C2446)&gt;=0,"Income","Expense")),IFERROR(INDEX(Lists!$B$2:$B$30,MATCH(J2446,Lists!$A$2:$A$30,0)),""))</f>
        <v/>
      </c>
      <c r="M2446" s="24"/>
      <c r="N2446" s="27" t="str">
        <f aca="false">IF(B2446="","",IFERROR(1000-SUMPRODUCT(MAX(ISNUMBER(SEARCH(Rules!$A$5:$A$204,B2446))*(Rules!$A$5:$A$204&lt;&gt;"")*(1000-ROW(Rules!$A$5:$A$204)))),""))</f>
        <v/>
      </c>
    </row>
    <row r="2447" customFormat="false" ht="15" hidden="false" customHeight="false" outlineLevel="0" collapsed="false">
      <c r="A2447" s="23"/>
      <c r="B2447" s="24"/>
      <c r="C2447" s="25"/>
      <c r="D2447" s="24"/>
      <c r="E2447" s="21" t="str">
        <f aca="false">IF(OR(B2447="",N(N2447)=0,N2447=1000),IF(B2447="","","Check"),INDEX(Rules!$B:$B,N2447))</f>
        <v/>
      </c>
      <c r="F2447" s="21" t="str">
        <f aca="false">IF(OR(B2447="",N(N2447)=0,N2447=1000),"",INDEX(Rules!$C:$C,N2447))</f>
        <v/>
      </c>
      <c r="G2447" s="24"/>
      <c r="H2447" s="24"/>
      <c r="I2447" s="20" t="str">
        <f aca="false">IF(B2447="","",IF(G2447&lt;&gt;"",G2447,E2447))</f>
        <v/>
      </c>
      <c r="J2447" s="21" t="str">
        <f aca="false">IF(B2447="","",IF(H2447&lt;&gt;"",H2447,F2447))</f>
        <v/>
      </c>
      <c r="K2447" s="26" t="str">
        <f aca="false">IF(A2447="","",DATE(YEAR(A2447),MONTH(A2447),1))</f>
        <v/>
      </c>
      <c r="L2447" s="21" t="str">
        <f aca="false">IF(J2447="",IF(B2447="","",IF(N(C2447)&gt;=0,"Income","Expense")),IFERROR(INDEX(Lists!$B$2:$B$30,MATCH(J2447,Lists!$A$2:$A$30,0)),""))</f>
        <v/>
      </c>
      <c r="M2447" s="24"/>
      <c r="N2447" s="27" t="str">
        <f aca="false">IF(B2447="","",IFERROR(1000-SUMPRODUCT(MAX(ISNUMBER(SEARCH(Rules!$A$5:$A$204,B2447))*(Rules!$A$5:$A$204&lt;&gt;"")*(1000-ROW(Rules!$A$5:$A$204)))),""))</f>
        <v/>
      </c>
    </row>
    <row r="2448" customFormat="false" ht="15" hidden="false" customHeight="false" outlineLevel="0" collapsed="false">
      <c r="A2448" s="23"/>
      <c r="B2448" s="24"/>
      <c r="C2448" s="25"/>
      <c r="D2448" s="24"/>
      <c r="E2448" s="21" t="str">
        <f aca="false">IF(OR(B2448="",N(N2448)=0,N2448=1000),IF(B2448="","","Check"),INDEX(Rules!$B:$B,N2448))</f>
        <v/>
      </c>
      <c r="F2448" s="21" t="str">
        <f aca="false">IF(OR(B2448="",N(N2448)=0,N2448=1000),"",INDEX(Rules!$C:$C,N2448))</f>
        <v/>
      </c>
      <c r="G2448" s="24"/>
      <c r="H2448" s="24"/>
      <c r="I2448" s="20" t="str">
        <f aca="false">IF(B2448="","",IF(G2448&lt;&gt;"",G2448,E2448))</f>
        <v/>
      </c>
      <c r="J2448" s="21" t="str">
        <f aca="false">IF(B2448="","",IF(H2448&lt;&gt;"",H2448,F2448))</f>
        <v/>
      </c>
      <c r="K2448" s="26" t="str">
        <f aca="false">IF(A2448="","",DATE(YEAR(A2448),MONTH(A2448),1))</f>
        <v/>
      </c>
      <c r="L2448" s="21" t="str">
        <f aca="false">IF(J2448="",IF(B2448="","",IF(N(C2448)&gt;=0,"Income","Expense")),IFERROR(INDEX(Lists!$B$2:$B$30,MATCH(J2448,Lists!$A$2:$A$30,0)),""))</f>
        <v/>
      </c>
      <c r="M2448" s="24"/>
      <c r="N2448" s="27" t="str">
        <f aca="false">IF(B2448="","",IFERROR(1000-SUMPRODUCT(MAX(ISNUMBER(SEARCH(Rules!$A$5:$A$204,B2448))*(Rules!$A$5:$A$204&lt;&gt;"")*(1000-ROW(Rules!$A$5:$A$204)))),""))</f>
        <v/>
      </c>
    </row>
    <row r="2449" customFormat="false" ht="15" hidden="false" customHeight="false" outlineLevel="0" collapsed="false">
      <c r="A2449" s="23"/>
      <c r="B2449" s="24"/>
      <c r="C2449" s="25"/>
      <c r="D2449" s="24"/>
      <c r="E2449" s="21" t="str">
        <f aca="false">IF(OR(B2449="",N(N2449)=0,N2449=1000),IF(B2449="","","Check"),INDEX(Rules!$B:$B,N2449))</f>
        <v/>
      </c>
      <c r="F2449" s="21" t="str">
        <f aca="false">IF(OR(B2449="",N(N2449)=0,N2449=1000),"",INDEX(Rules!$C:$C,N2449))</f>
        <v/>
      </c>
      <c r="G2449" s="24"/>
      <c r="H2449" s="24"/>
      <c r="I2449" s="20" t="str">
        <f aca="false">IF(B2449="","",IF(G2449&lt;&gt;"",G2449,E2449))</f>
        <v/>
      </c>
      <c r="J2449" s="21" t="str">
        <f aca="false">IF(B2449="","",IF(H2449&lt;&gt;"",H2449,F2449))</f>
        <v/>
      </c>
      <c r="K2449" s="26" t="str">
        <f aca="false">IF(A2449="","",DATE(YEAR(A2449),MONTH(A2449),1))</f>
        <v/>
      </c>
      <c r="L2449" s="21" t="str">
        <f aca="false">IF(J2449="",IF(B2449="","",IF(N(C2449)&gt;=0,"Income","Expense")),IFERROR(INDEX(Lists!$B$2:$B$30,MATCH(J2449,Lists!$A$2:$A$30,0)),""))</f>
        <v/>
      </c>
      <c r="M2449" s="24"/>
      <c r="N2449" s="27" t="str">
        <f aca="false">IF(B2449="","",IFERROR(1000-SUMPRODUCT(MAX(ISNUMBER(SEARCH(Rules!$A$5:$A$204,B2449))*(Rules!$A$5:$A$204&lt;&gt;"")*(1000-ROW(Rules!$A$5:$A$204)))),""))</f>
        <v/>
      </c>
    </row>
    <row r="2450" customFormat="false" ht="15" hidden="false" customHeight="false" outlineLevel="0" collapsed="false">
      <c r="A2450" s="23"/>
      <c r="B2450" s="24"/>
      <c r="C2450" s="25"/>
      <c r="D2450" s="24"/>
      <c r="E2450" s="21" t="str">
        <f aca="false">IF(OR(B2450="",N(N2450)=0,N2450=1000),IF(B2450="","","Check"),INDEX(Rules!$B:$B,N2450))</f>
        <v/>
      </c>
      <c r="F2450" s="21" t="str">
        <f aca="false">IF(OR(B2450="",N(N2450)=0,N2450=1000),"",INDEX(Rules!$C:$C,N2450))</f>
        <v/>
      </c>
      <c r="G2450" s="24"/>
      <c r="H2450" s="24"/>
      <c r="I2450" s="20" t="str">
        <f aca="false">IF(B2450="","",IF(G2450&lt;&gt;"",G2450,E2450))</f>
        <v/>
      </c>
      <c r="J2450" s="21" t="str">
        <f aca="false">IF(B2450="","",IF(H2450&lt;&gt;"",H2450,F2450))</f>
        <v/>
      </c>
      <c r="K2450" s="26" t="str">
        <f aca="false">IF(A2450="","",DATE(YEAR(A2450),MONTH(A2450),1))</f>
        <v/>
      </c>
      <c r="L2450" s="21" t="str">
        <f aca="false">IF(J2450="",IF(B2450="","",IF(N(C2450)&gt;=0,"Income","Expense")),IFERROR(INDEX(Lists!$B$2:$B$30,MATCH(J2450,Lists!$A$2:$A$30,0)),""))</f>
        <v/>
      </c>
      <c r="M2450" s="24"/>
      <c r="N2450" s="27" t="str">
        <f aca="false">IF(B2450="","",IFERROR(1000-SUMPRODUCT(MAX(ISNUMBER(SEARCH(Rules!$A$5:$A$204,B2450))*(Rules!$A$5:$A$204&lt;&gt;"")*(1000-ROW(Rules!$A$5:$A$204)))),""))</f>
        <v/>
      </c>
    </row>
    <row r="2451" customFormat="false" ht="15" hidden="false" customHeight="false" outlineLevel="0" collapsed="false">
      <c r="A2451" s="23"/>
      <c r="B2451" s="24"/>
      <c r="C2451" s="25"/>
      <c r="D2451" s="24"/>
      <c r="E2451" s="21" t="str">
        <f aca="false">IF(OR(B2451="",N(N2451)=0,N2451=1000),IF(B2451="","","Check"),INDEX(Rules!$B:$B,N2451))</f>
        <v/>
      </c>
      <c r="F2451" s="21" t="str">
        <f aca="false">IF(OR(B2451="",N(N2451)=0,N2451=1000),"",INDEX(Rules!$C:$C,N2451))</f>
        <v/>
      </c>
      <c r="G2451" s="24"/>
      <c r="H2451" s="24"/>
      <c r="I2451" s="20" t="str">
        <f aca="false">IF(B2451="","",IF(G2451&lt;&gt;"",G2451,E2451))</f>
        <v/>
      </c>
      <c r="J2451" s="21" t="str">
        <f aca="false">IF(B2451="","",IF(H2451&lt;&gt;"",H2451,F2451))</f>
        <v/>
      </c>
      <c r="K2451" s="26" t="str">
        <f aca="false">IF(A2451="","",DATE(YEAR(A2451),MONTH(A2451),1))</f>
        <v/>
      </c>
      <c r="L2451" s="21" t="str">
        <f aca="false">IF(J2451="",IF(B2451="","",IF(N(C2451)&gt;=0,"Income","Expense")),IFERROR(INDEX(Lists!$B$2:$B$30,MATCH(J2451,Lists!$A$2:$A$30,0)),""))</f>
        <v/>
      </c>
      <c r="M2451" s="24"/>
      <c r="N2451" s="27" t="str">
        <f aca="false">IF(B2451="","",IFERROR(1000-SUMPRODUCT(MAX(ISNUMBER(SEARCH(Rules!$A$5:$A$204,B2451))*(Rules!$A$5:$A$204&lt;&gt;"")*(1000-ROW(Rules!$A$5:$A$204)))),""))</f>
        <v/>
      </c>
    </row>
    <row r="2452" customFormat="false" ht="15" hidden="false" customHeight="false" outlineLevel="0" collapsed="false">
      <c r="A2452" s="23"/>
      <c r="B2452" s="24"/>
      <c r="C2452" s="25"/>
      <c r="D2452" s="24"/>
      <c r="E2452" s="21" t="str">
        <f aca="false">IF(OR(B2452="",N(N2452)=0,N2452=1000),IF(B2452="","","Check"),INDEX(Rules!$B:$B,N2452))</f>
        <v/>
      </c>
      <c r="F2452" s="21" t="str">
        <f aca="false">IF(OR(B2452="",N(N2452)=0,N2452=1000),"",INDEX(Rules!$C:$C,N2452))</f>
        <v/>
      </c>
      <c r="G2452" s="24"/>
      <c r="H2452" s="24"/>
      <c r="I2452" s="20" t="str">
        <f aca="false">IF(B2452="","",IF(G2452&lt;&gt;"",G2452,E2452))</f>
        <v/>
      </c>
      <c r="J2452" s="21" t="str">
        <f aca="false">IF(B2452="","",IF(H2452&lt;&gt;"",H2452,F2452))</f>
        <v/>
      </c>
      <c r="K2452" s="26" t="str">
        <f aca="false">IF(A2452="","",DATE(YEAR(A2452),MONTH(A2452),1))</f>
        <v/>
      </c>
      <c r="L2452" s="21" t="str">
        <f aca="false">IF(J2452="",IF(B2452="","",IF(N(C2452)&gt;=0,"Income","Expense")),IFERROR(INDEX(Lists!$B$2:$B$30,MATCH(J2452,Lists!$A$2:$A$30,0)),""))</f>
        <v/>
      </c>
      <c r="M2452" s="24"/>
      <c r="N2452" s="27" t="str">
        <f aca="false">IF(B2452="","",IFERROR(1000-SUMPRODUCT(MAX(ISNUMBER(SEARCH(Rules!$A$5:$A$204,B2452))*(Rules!$A$5:$A$204&lt;&gt;"")*(1000-ROW(Rules!$A$5:$A$204)))),""))</f>
        <v/>
      </c>
    </row>
    <row r="2453" customFormat="false" ht="15" hidden="false" customHeight="false" outlineLevel="0" collapsed="false">
      <c r="A2453" s="23"/>
      <c r="B2453" s="24"/>
      <c r="C2453" s="25"/>
      <c r="D2453" s="24"/>
      <c r="E2453" s="21" t="str">
        <f aca="false">IF(OR(B2453="",N(N2453)=0,N2453=1000),IF(B2453="","","Check"),INDEX(Rules!$B:$B,N2453))</f>
        <v/>
      </c>
      <c r="F2453" s="21" t="str">
        <f aca="false">IF(OR(B2453="",N(N2453)=0,N2453=1000),"",INDEX(Rules!$C:$C,N2453))</f>
        <v/>
      </c>
      <c r="G2453" s="24"/>
      <c r="H2453" s="24"/>
      <c r="I2453" s="20" t="str">
        <f aca="false">IF(B2453="","",IF(G2453&lt;&gt;"",G2453,E2453))</f>
        <v/>
      </c>
      <c r="J2453" s="21" t="str">
        <f aca="false">IF(B2453="","",IF(H2453&lt;&gt;"",H2453,F2453))</f>
        <v/>
      </c>
      <c r="K2453" s="26" t="str">
        <f aca="false">IF(A2453="","",DATE(YEAR(A2453),MONTH(A2453),1))</f>
        <v/>
      </c>
      <c r="L2453" s="21" t="str">
        <f aca="false">IF(J2453="",IF(B2453="","",IF(N(C2453)&gt;=0,"Income","Expense")),IFERROR(INDEX(Lists!$B$2:$B$30,MATCH(J2453,Lists!$A$2:$A$30,0)),""))</f>
        <v/>
      </c>
      <c r="M2453" s="24"/>
      <c r="N2453" s="27" t="str">
        <f aca="false">IF(B2453="","",IFERROR(1000-SUMPRODUCT(MAX(ISNUMBER(SEARCH(Rules!$A$5:$A$204,B2453))*(Rules!$A$5:$A$204&lt;&gt;"")*(1000-ROW(Rules!$A$5:$A$204)))),""))</f>
        <v/>
      </c>
    </row>
    <row r="2454" customFormat="false" ht="15" hidden="false" customHeight="false" outlineLevel="0" collapsed="false">
      <c r="A2454" s="23"/>
      <c r="B2454" s="24"/>
      <c r="C2454" s="25"/>
      <c r="D2454" s="24"/>
      <c r="E2454" s="21" t="str">
        <f aca="false">IF(OR(B2454="",N(N2454)=0,N2454=1000),IF(B2454="","","Check"),INDEX(Rules!$B:$B,N2454))</f>
        <v/>
      </c>
      <c r="F2454" s="21" t="str">
        <f aca="false">IF(OR(B2454="",N(N2454)=0,N2454=1000),"",INDEX(Rules!$C:$C,N2454))</f>
        <v/>
      </c>
      <c r="G2454" s="24"/>
      <c r="H2454" s="24"/>
      <c r="I2454" s="20" t="str">
        <f aca="false">IF(B2454="","",IF(G2454&lt;&gt;"",G2454,E2454))</f>
        <v/>
      </c>
      <c r="J2454" s="21" t="str">
        <f aca="false">IF(B2454="","",IF(H2454&lt;&gt;"",H2454,F2454))</f>
        <v/>
      </c>
      <c r="K2454" s="26" t="str">
        <f aca="false">IF(A2454="","",DATE(YEAR(A2454),MONTH(A2454),1))</f>
        <v/>
      </c>
      <c r="L2454" s="21" t="str">
        <f aca="false">IF(J2454="",IF(B2454="","",IF(N(C2454)&gt;=0,"Income","Expense")),IFERROR(INDEX(Lists!$B$2:$B$30,MATCH(J2454,Lists!$A$2:$A$30,0)),""))</f>
        <v/>
      </c>
      <c r="M2454" s="24"/>
      <c r="N2454" s="27" t="str">
        <f aca="false">IF(B2454="","",IFERROR(1000-SUMPRODUCT(MAX(ISNUMBER(SEARCH(Rules!$A$5:$A$204,B2454))*(Rules!$A$5:$A$204&lt;&gt;"")*(1000-ROW(Rules!$A$5:$A$204)))),""))</f>
        <v/>
      </c>
    </row>
    <row r="2455" customFormat="false" ht="15" hidden="false" customHeight="false" outlineLevel="0" collapsed="false">
      <c r="A2455" s="23"/>
      <c r="B2455" s="24"/>
      <c r="C2455" s="25"/>
      <c r="D2455" s="24"/>
      <c r="E2455" s="21" t="str">
        <f aca="false">IF(OR(B2455="",N(N2455)=0,N2455=1000),IF(B2455="","","Check"),INDEX(Rules!$B:$B,N2455))</f>
        <v/>
      </c>
      <c r="F2455" s="21" t="str">
        <f aca="false">IF(OR(B2455="",N(N2455)=0,N2455=1000),"",INDEX(Rules!$C:$C,N2455))</f>
        <v/>
      </c>
      <c r="G2455" s="24"/>
      <c r="H2455" s="24"/>
      <c r="I2455" s="20" t="str">
        <f aca="false">IF(B2455="","",IF(G2455&lt;&gt;"",G2455,E2455))</f>
        <v/>
      </c>
      <c r="J2455" s="21" t="str">
        <f aca="false">IF(B2455="","",IF(H2455&lt;&gt;"",H2455,F2455))</f>
        <v/>
      </c>
      <c r="K2455" s="26" t="str">
        <f aca="false">IF(A2455="","",DATE(YEAR(A2455),MONTH(A2455),1))</f>
        <v/>
      </c>
      <c r="L2455" s="21" t="str">
        <f aca="false">IF(J2455="",IF(B2455="","",IF(N(C2455)&gt;=0,"Income","Expense")),IFERROR(INDEX(Lists!$B$2:$B$30,MATCH(J2455,Lists!$A$2:$A$30,0)),""))</f>
        <v/>
      </c>
      <c r="M2455" s="24"/>
      <c r="N2455" s="27" t="str">
        <f aca="false">IF(B2455="","",IFERROR(1000-SUMPRODUCT(MAX(ISNUMBER(SEARCH(Rules!$A$5:$A$204,B2455))*(Rules!$A$5:$A$204&lt;&gt;"")*(1000-ROW(Rules!$A$5:$A$204)))),""))</f>
        <v/>
      </c>
    </row>
    <row r="2456" customFormat="false" ht="15" hidden="false" customHeight="false" outlineLevel="0" collapsed="false">
      <c r="A2456" s="23"/>
      <c r="B2456" s="24"/>
      <c r="C2456" s="25"/>
      <c r="D2456" s="24"/>
      <c r="E2456" s="21" t="str">
        <f aca="false">IF(OR(B2456="",N(N2456)=0,N2456=1000),IF(B2456="","","Check"),INDEX(Rules!$B:$B,N2456))</f>
        <v/>
      </c>
      <c r="F2456" s="21" t="str">
        <f aca="false">IF(OR(B2456="",N(N2456)=0,N2456=1000),"",INDEX(Rules!$C:$C,N2456))</f>
        <v/>
      </c>
      <c r="G2456" s="24"/>
      <c r="H2456" s="24"/>
      <c r="I2456" s="20" t="str">
        <f aca="false">IF(B2456="","",IF(G2456&lt;&gt;"",G2456,E2456))</f>
        <v/>
      </c>
      <c r="J2456" s="21" t="str">
        <f aca="false">IF(B2456="","",IF(H2456&lt;&gt;"",H2456,F2456))</f>
        <v/>
      </c>
      <c r="K2456" s="26" t="str">
        <f aca="false">IF(A2456="","",DATE(YEAR(A2456),MONTH(A2456),1))</f>
        <v/>
      </c>
      <c r="L2456" s="21" t="str">
        <f aca="false">IF(J2456="",IF(B2456="","",IF(N(C2456)&gt;=0,"Income","Expense")),IFERROR(INDEX(Lists!$B$2:$B$30,MATCH(J2456,Lists!$A$2:$A$30,0)),""))</f>
        <v/>
      </c>
      <c r="M2456" s="24"/>
      <c r="N2456" s="27" t="str">
        <f aca="false">IF(B2456="","",IFERROR(1000-SUMPRODUCT(MAX(ISNUMBER(SEARCH(Rules!$A$5:$A$204,B2456))*(Rules!$A$5:$A$204&lt;&gt;"")*(1000-ROW(Rules!$A$5:$A$204)))),""))</f>
        <v/>
      </c>
    </row>
    <row r="2457" customFormat="false" ht="15" hidden="false" customHeight="false" outlineLevel="0" collapsed="false">
      <c r="A2457" s="23"/>
      <c r="B2457" s="24"/>
      <c r="C2457" s="25"/>
      <c r="D2457" s="24"/>
      <c r="E2457" s="21" t="str">
        <f aca="false">IF(OR(B2457="",N(N2457)=0,N2457=1000),IF(B2457="","","Check"),INDEX(Rules!$B:$B,N2457))</f>
        <v/>
      </c>
      <c r="F2457" s="21" t="str">
        <f aca="false">IF(OR(B2457="",N(N2457)=0,N2457=1000),"",INDEX(Rules!$C:$C,N2457))</f>
        <v/>
      </c>
      <c r="G2457" s="24"/>
      <c r="H2457" s="24"/>
      <c r="I2457" s="20" t="str">
        <f aca="false">IF(B2457="","",IF(G2457&lt;&gt;"",G2457,E2457))</f>
        <v/>
      </c>
      <c r="J2457" s="21" t="str">
        <f aca="false">IF(B2457="","",IF(H2457&lt;&gt;"",H2457,F2457))</f>
        <v/>
      </c>
      <c r="K2457" s="26" t="str">
        <f aca="false">IF(A2457="","",DATE(YEAR(A2457),MONTH(A2457),1))</f>
        <v/>
      </c>
      <c r="L2457" s="21" t="str">
        <f aca="false">IF(J2457="",IF(B2457="","",IF(N(C2457)&gt;=0,"Income","Expense")),IFERROR(INDEX(Lists!$B$2:$B$30,MATCH(J2457,Lists!$A$2:$A$30,0)),""))</f>
        <v/>
      </c>
      <c r="M2457" s="24"/>
      <c r="N2457" s="27" t="str">
        <f aca="false">IF(B2457="","",IFERROR(1000-SUMPRODUCT(MAX(ISNUMBER(SEARCH(Rules!$A$5:$A$204,B2457))*(Rules!$A$5:$A$204&lt;&gt;"")*(1000-ROW(Rules!$A$5:$A$204)))),""))</f>
        <v/>
      </c>
    </row>
    <row r="2458" customFormat="false" ht="15" hidden="false" customHeight="false" outlineLevel="0" collapsed="false">
      <c r="A2458" s="23"/>
      <c r="B2458" s="24"/>
      <c r="C2458" s="25"/>
      <c r="D2458" s="24"/>
      <c r="E2458" s="21" t="str">
        <f aca="false">IF(OR(B2458="",N(N2458)=0,N2458=1000),IF(B2458="","","Check"),INDEX(Rules!$B:$B,N2458))</f>
        <v/>
      </c>
      <c r="F2458" s="21" t="str">
        <f aca="false">IF(OR(B2458="",N(N2458)=0,N2458=1000),"",INDEX(Rules!$C:$C,N2458))</f>
        <v/>
      </c>
      <c r="G2458" s="24"/>
      <c r="H2458" s="24"/>
      <c r="I2458" s="20" t="str">
        <f aca="false">IF(B2458="","",IF(G2458&lt;&gt;"",G2458,E2458))</f>
        <v/>
      </c>
      <c r="J2458" s="21" t="str">
        <f aca="false">IF(B2458="","",IF(H2458&lt;&gt;"",H2458,F2458))</f>
        <v/>
      </c>
      <c r="K2458" s="26" t="str">
        <f aca="false">IF(A2458="","",DATE(YEAR(A2458),MONTH(A2458),1))</f>
        <v/>
      </c>
      <c r="L2458" s="21" t="str">
        <f aca="false">IF(J2458="",IF(B2458="","",IF(N(C2458)&gt;=0,"Income","Expense")),IFERROR(INDEX(Lists!$B$2:$B$30,MATCH(J2458,Lists!$A$2:$A$30,0)),""))</f>
        <v/>
      </c>
      <c r="M2458" s="24"/>
      <c r="N2458" s="27" t="str">
        <f aca="false">IF(B2458="","",IFERROR(1000-SUMPRODUCT(MAX(ISNUMBER(SEARCH(Rules!$A$5:$A$204,B2458))*(Rules!$A$5:$A$204&lt;&gt;"")*(1000-ROW(Rules!$A$5:$A$204)))),""))</f>
        <v/>
      </c>
    </row>
    <row r="2459" customFormat="false" ht="15" hidden="false" customHeight="false" outlineLevel="0" collapsed="false">
      <c r="A2459" s="23"/>
      <c r="B2459" s="24"/>
      <c r="C2459" s="25"/>
      <c r="D2459" s="24"/>
      <c r="E2459" s="21" t="str">
        <f aca="false">IF(OR(B2459="",N(N2459)=0,N2459=1000),IF(B2459="","","Check"),INDEX(Rules!$B:$B,N2459))</f>
        <v/>
      </c>
      <c r="F2459" s="21" t="str">
        <f aca="false">IF(OR(B2459="",N(N2459)=0,N2459=1000),"",INDEX(Rules!$C:$C,N2459))</f>
        <v/>
      </c>
      <c r="G2459" s="24"/>
      <c r="H2459" s="24"/>
      <c r="I2459" s="20" t="str">
        <f aca="false">IF(B2459="","",IF(G2459&lt;&gt;"",G2459,E2459))</f>
        <v/>
      </c>
      <c r="J2459" s="21" t="str">
        <f aca="false">IF(B2459="","",IF(H2459&lt;&gt;"",H2459,F2459))</f>
        <v/>
      </c>
      <c r="K2459" s="26" t="str">
        <f aca="false">IF(A2459="","",DATE(YEAR(A2459),MONTH(A2459),1))</f>
        <v/>
      </c>
      <c r="L2459" s="21" t="str">
        <f aca="false">IF(J2459="",IF(B2459="","",IF(N(C2459)&gt;=0,"Income","Expense")),IFERROR(INDEX(Lists!$B$2:$B$30,MATCH(J2459,Lists!$A$2:$A$30,0)),""))</f>
        <v/>
      </c>
      <c r="M2459" s="24"/>
      <c r="N2459" s="27" t="str">
        <f aca="false">IF(B2459="","",IFERROR(1000-SUMPRODUCT(MAX(ISNUMBER(SEARCH(Rules!$A$5:$A$204,B2459))*(Rules!$A$5:$A$204&lt;&gt;"")*(1000-ROW(Rules!$A$5:$A$204)))),""))</f>
        <v/>
      </c>
    </row>
    <row r="2460" customFormat="false" ht="15" hidden="false" customHeight="false" outlineLevel="0" collapsed="false">
      <c r="A2460" s="23"/>
      <c r="B2460" s="24"/>
      <c r="C2460" s="25"/>
      <c r="D2460" s="24"/>
      <c r="E2460" s="21" t="str">
        <f aca="false">IF(OR(B2460="",N(N2460)=0,N2460=1000),IF(B2460="","","Check"),INDEX(Rules!$B:$B,N2460))</f>
        <v/>
      </c>
      <c r="F2460" s="21" t="str">
        <f aca="false">IF(OR(B2460="",N(N2460)=0,N2460=1000),"",INDEX(Rules!$C:$C,N2460))</f>
        <v/>
      </c>
      <c r="G2460" s="24"/>
      <c r="H2460" s="24"/>
      <c r="I2460" s="20" t="str">
        <f aca="false">IF(B2460="","",IF(G2460&lt;&gt;"",G2460,E2460))</f>
        <v/>
      </c>
      <c r="J2460" s="21" t="str">
        <f aca="false">IF(B2460="","",IF(H2460&lt;&gt;"",H2460,F2460))</f>
        <v/>
      </c>
      <c r="K2460" s="26" t="str">
        <f aca="false">IF(A2460="","",DATE(YEAR(A2460),MONTH(A2460),1))</f>
        <v/>
      </c>
      <c r="L2460" s="21" t="str">
        <f aca="false">IF(J2460="",IF(B2460="","",IF(N(C2460)&gt;=0,"Income","Expense")),IFERROR(INDEX(Lists!$B$2:$B$30,MATCH(J2460,Lists!$A$2:$A$30,0)),""))</f>
        <v/>
      </c>
      <c r="M2460" s="24"/>
      <c r="N2460" s="27" t="str">
        <f aca="false">IF(B2460="","",IFERROR(1000-SUMPRODUCT(MAX(ISNUMBER(SEARCH(Rules!$A$5:$A$204,B2460))*(Rules!$A$5:$A$204&lt;&gt;"")*(1000-ROW(Rules!$A$5:$A$204)))),""))</f>
        <v/>
      </c>
    </row>
    <row r="2461" customFormat="false" ht="15" hidden="false" customHeight="false" outlineLevel="0" collapsed="false">
      <c r="A2461" s="23"/>
      <c r="B2461" s="24"/>
      <c r="C2461" s="25"/>
      <c r="D2461" s="24"/>
      <c r="E2461" s="21" t="str">
        <f aca="false">IF(OR(B2461="",N(N2461)=0,N2461=1000),IF(B2461="","","Check"),INDEX(Rules!$B:$B,N2461))</f>
        <v/>
      </c>
      <c r="F2461" s="21" t="str">
        <f aca="false">IF(OR(B2461="",N(N2461)=0,N2461=1000),"",INDEX(Rules!$C:$C,N2461))</f>
        <v/>
      </c>
      <c r="G2461" s="24"/>
      <c r="H2461" s="24"/>
      <c r="I2461" s="20" t="str">
        <f aca="false">IF(B2461="","",IF(G2461&lt;&gt;"",G2461,E2461))</f>
        <v/>
      </c>
      <c r="J2461" s="21" t="str">
        <f aca="false">IF(B2461="","",IF(H2461&lt;&gt;"",H2461,F2461))</f>
        <v/>
      </c>
      <c r="K2461" s="26" t="str">
        <f aca="false">IF(A2461="","",DATE(YEAR(A2461),MONTH(A2461),1))</f>
        <v/>
      </c>
      <c r="L2461" s="21" t="str">
        <f aca="false">IF(J2461="",IF(B2461="","",IF(N(C2461)&gt;=0,"Income","Expense")),IFERROR(INDEX(Lists!$B$2:$B$30,MATCH(J2461,Lists!$A$2:$A$30,0)),""))</f>
        <v/>
      </c>
      <c r="M2461" s="24"/>
      <c r="N2461" s="27" t="str">
        <f aca="false">IF(B2461="","",IFERROR(1000-SUMPRODUCT(MAX(ISNUMBER(SEARCH(Rules!$A$5:$A$204,B2461))*(Rules!$A$5:$A$204&lt;&gt;"")*(1000-ROW(Rules!$A$5:$A$204)))),""))</f>
        <v/>
      </c>
    </row>
    <row r="2462" customFormat="false" ht="15" hidden="false" customHeight="false" outlineLevel="0" collapsed="false">
      <c r="A2462" s="23"/>
      <c r="B2462" s="24"/>
      <c r="C2462" s="25"/>
      <c r="D2462" s="24"/>
      <c r="E2462" s="21" t="str">
        <f aca="false">IF(OR(B2462="",N(N2462)=0,N2462=1000),IF(B2462="","","Check"),INDEX(Rules!$B:$B,N2462))</f>
        <v/>
      </c>
      <c r="F2462" s="21" t="str">
        <f aca="false">IF(OR(B2462="",N(N2462)=0,N2462=1000),"",INDEX(Rules!$C:$C,N2462))</f>
        <v/>
      </c>
      <c r="G2462" s="24"/>
      <c r="H2462" s="24"/>
      <c r="I2462" s="20" t="str">
        <f aca="false">IF(B2462="","",IF(G2462&lt;&gt;"",G2462,E2462))</f>
        <v/>
      </c>
      <c r="J2462" s="21" t="str">
        <f aca="false">IF(B2462="","",IF(H2462&lt;&gt;"",H2462,F2462))</f>
        <v/>
      </c>
      <c r="K2462" s="26" t="str">
        <f aca="false">IF(A2462="","",DATE(YEAR(A2462),MONTH(A2462),1))</f>
        <v/>
      </c>
      <c r="L2462" s="21" t="str">
        <f aca="false">IF(J2462="",IF(B2462="","",IF(N(C2462)&gt;=0,"Income","Expense")),IFERROR(INDEX(Lists!$B$2:$B$30,MATCH(J2462,Lists!$A$2:$A$30,0)),""))</f>
        <v/>
      </c>
      <c r="M2462" s="24"/>
      <c r="N2462" s="27" t="str">
        <f aca="false">IF(B2462="","",IFERROR(1000-SUMPRODUCT(MAX(ISNUMBER(SEARCH(Rules!$A$5:$A$204,B2462))*(Rules!$A$5:$A$204&lt;&gt;"")*(1000-ROW(Rules!$A$5:$A$204)))),""))</f>
        <v/>
      </c>
    </row>
    <row r="2463" customFormat="false" ht="15" hidden="false" customHeight="false" outlineLevel="0" collapsed="false">
      <c r="A2463" s="23"/>
      <c r="B2463" s="24"/>
      <c r="C2463" s="25"/>
      <c r="D2463" s="24"/>
      <c r="E2463" s="21" t="str">
        <f aca="false">IF(OR(B2463="",N(N2463)=0,N2463=1000),IF(B2463="","","Check"),INDEX(Rules!$B:$B,N2463))</f>
        <v/>
      </c>
      <c r="F2463" s="21" t="str">
        <f aca="false">IF(OR(B2463="",N(N2463)=0,N2463=1000),"",INDEX(Rules!$C:$C,N2463))</f>
        <v/>
      </c>
      <c r="G2463" s="24"/>
      <c r="H2463" s="24"/>
      <c r="I2463" s="20" t="str">
        <f aca="false">IF(B2463="","",IF(G2463&lt;&gt;"",G2463,E2463))</f>
        <v/>
      </c>
      <c r="J2463" s="21" t="str">
        <f aca="false">IF(B2463="","",IF(H2463&lt;&gt;"",H2463,F2463))</f>
        <v/>
      </c>
      <c r="K2463" s="26" t="str">
        <f aca="false">IF(A2463="","",DATE(YEAR(A2463),MONTH(A2463),1))</f>
        <v/>
      </c>
      <c r="L2463" s="21" t="str">
        <f aca="false">IF(J2463="",IF(B2463="","",IF(N(C2463)&gt;=0,"Income","Expense")),IFERROR(INDEX(Lists!$B$2:$B$30,MATCH(J2463,Lists!$A$2:$A$30,0)),""))</f>
        <v/>
      </c>
      <c r="M2463" s="24"/>
      <c r="N2463" s="27" t="str">
        <f aca="false">IF(B2463="","",IFERROR(1000-SUMPRODUCT(MAX(ISNUMBER(SEARCH(Rules!$A$5:$A$204,B2463))*(Rules!$A$5:$A$204&lt;&gt;"")*(1000-ROW(Rules!$A$5:$A$204)))),""))</f>
        <v/>
      </c>
    </row>
    <row r="2464" customFormat="false" ht="15" hidden="false" customHeight="false" outlineLevel="0" collapsed="false">
      <c r="A2464" s="23"/>
      <c r="B2464" s="24"/>
      <c r="C2464" s="25"/>
      <c r="D2464" s="24"/>
      <c r="E2464" s="21" t="str">
        <f aca="false">IF(OR(B2464="",N(N2464)=0,N2464=1000),IF(B2464="","","Check"),INDEX(Rules!$B:$B,N2464))</f>
        <v/>
      </c>
      <c r="F2464" s="21" t="str">
        <f aca="false">IF(OR(B2464="",N(N2464)=0,N2464=1000),"",INDEX(Rules!$C:$C,N2464))</f>
        <v/>
      </c>
      <c r="G2464" s="24"/>
      <c r="H2464" s="24"/>
      <c r="I2464" s="20" t="str">
        <f aca="false">IF(B2464="","",IF(G2464&lt;&gt;"",G2464,E2464))</f>
        <v/>
      </c>
      <c r="J2464" s="21" t="str">
        <f aca="false">IF(B2464="","",IF(H2464&lt;&gt;"",H2464,F2464))</f>
        <v/>
      </c>
      <c r="K2464" s="26" t="str">
        <f aca="false">IF(A2464="","",DATE(YEAR(A2464),MONTH(A2464),1))</f>
        <v/>
      </c>
      <c r="L2464" s="21" t="str">
        <f aca="false">IF(J2464="",IF(B2464="","",IF(N(C2464)&gt;=0,"Income","Expense")),IFERROR(INDEX(Lists!$B$2:$B$30,MATCH(J2464,Lists!$A$2:$A$30,0)),""))</f>
        <v/>
      </c>
      <c r="M2464" s="24"/>
      <c r="N2464" s="27" t="str">
        <f aca="false">IF(B2464="","",IFERROR(1000-SUMPRODUCT(MAX(ISNUMBER(SEARCH(Rules!$A$5:$A$204,B2464))*(Rules!$A$5:$A$204&lt;&gt;"")*(1000-ROW(Rules!$A$5:$A$204)))),""))</f>
        <v/>
      </c>
    </row>
    <row r="2465" customFormat="false" ht="15" hidden="false" customHeight="false" outlineLevel="0" collapsed="false">
      <c r="A2465" s="23"/>
      <c r="B2465" s="24"/>
      <c r="C2465" s="25"/>
      <c r="D2465" s="24"/>
      <c r="E2465" s="21" t="str">
        <f aca="false">IF(OR(B2465="",N(N2465)=0,N2465=1000),IF(B2465="","","Check"),INDEX(Rules!$B:$B,N2465))</f>
        <v/>
      </c>
      <c r="F2465" s="21" t="str">
        <f aca="false">IF(OR(B2465="",N(N2465)=0,N2465=1000),"",INDEX(Rules!$C:$C,N2465))</f>
        <v/>
      </c>
      <c r="G2465" s="24"/>
      <c r="H2465" s="24"/>
      <c r="I2465" s="20" t="str">
        <f aca="false">IF(B2465="","",IF(G2465&lt;&gt;"",G2465,E2465))</f>
        <v/>
      </c>
      <c r="J2465" s="21" t="str">
        <f aca="false">IF(B2465="","",IF(H2465&lt;&gt;"",H2465,F2465))</f>
        <v/>
      </c>
      <c r="K2465" s="26" t="str">
        <f aca="false">IF(A2465="","",DATE(YEAR(A2465),MONTH(A2465),1))</f>
        <v/>
      </c>
      <c r="L2465" s="21" t="str">
        <f aca="false">IF(J2465="",IF(B2465="","",IF(N(C2465)&gt;=0,"Income","Expense")),IFERROR(INDEX(Lists!$B$2:$B$30,MATCH(J2465,Lists!$A$2:$A$30,0)),""))</f>
        <v/>
      </c>
      <c r="M2465" s="24"/>
      <c r="N2465" s="27" t="str">
        <f aca="false">IF(B2465="","",IFERROR(1000-SUMPRODUCT(MAX(ISNUMBER(SEARCH(Rules!$A$5:$A$204,B2465))*(Rules!$A$5:$A$204&lt;&gt;"")*(1000-ROW(Rules!$A$5:$A$204)))),""))</f>
        <v/>
      </c>
    </row>
    <row r="2466" customFormat="false" ht="15" hidden="false" customHeight="false" outlineLevel="0" collapsed="false">
      <c r="A2466" s="23"/>
      <c r="B2466" s="24"/>
      <c r="C2466" s="25"/>
      <c r="D2466" s="24"/>
      <c r="E2466" s="21" t="str">
        <f aca="false">IF(OR(B2466="",N(N2466)=0,N2466=1000),IF(B2466="","","Check"),INDEX(Rules!$B:$B,N2466))</f>
        <v/>
      </c>
      <c r="F2466" s="21" t="str">
        <f aca="false">IF(OR(B2466="",N(N2466)=0,N2466=1000),"",INDEX(Rules!$C:$C,N2466))</f>
        <v/>
      </c>
      <c r="G2466" s="24"/>
      <c r="H2466" s="24"/>
      <c r="I2466" s="20" t="str">
        <f aca="false">IF(B2466="","",IF(G2466&lt;&gt;"",G2466,E2466))</f>
        <v/>
      </c>
      <c r="J2466" s="21" t="str">
        <f aca="false">IF(B2466="","",IF(H2466&lt;&gt;"",H2466,F2466))</f>
        <v/>
      </c>
      <c r="K2466" s="26" t="str">
        <f aca="false">IF(A2466="","",DATE(YEAR(A2466),MONTH(A2466),1))</f>
        <v/>
      </c>
      <c r="L2466" s="21" t="str">
        <f aca="false">IF(J2466="",IF(B2466="","",IF(N(C2466)&gt;=0,"Income","Expense")),IFERROR(INDEX(Lists!$B$2:$B$30,MATCH(J2466,Lists!$A$2:$A$30,0)),""))</f>
        <v/>
      </c>
      <c r="M2466" s="24"/>
      <c r="N2466" s="27" t="str">
        <f aca="false">IF(B2466="","",IFERROR(1000-SUMPRODUCT(MAX(ISNUMBER(SEARCH(Rules!$A$5:$A$204,B2466))*(Rules!$A$5:$A$204&lt;&gt;"")*(1000-ROW(Rules!$A$5:$A$204)))),""))</f>
        <v/>
      </c>
    </row>
    <row r="2467" customFormat="false" ht="15" hidden="false" customHeight="false" outlineLevel="0" collapsed="false">
      <c r="A2467" s="23"/>
      <c r="B2467" s="24"/>
      <c r="C2467" s="25"/>
      <c r="D2467" s="24"/>
      <c r="E2467" s="21" t="str">
        <f aca="false">IF(OR(B2467="",N(N2467)=0,N2467=1000),IF(B2467="","","Check"),INDEX(Rules!$B:$B,N2467))</f>
        <v/>
      </c>
      <c r="F2467" s="21" t="str">
        <f aca="false">IF(OR(B2467="",N(N2467)=0,N2467=1000),"",INDEX(Rules!$C:$C,N2467))</f>
        <v/>
      </c>
      <c r="G2467" s="24"/>
      <c r="H2467" s="24"/>
      <c r="I2467" s="20" t="str">
        <f aca="false">IF(B2467="","",IF(G2467&lt;&gt;"",G2467,E2467))</f>
        <v/>
      </c>
      <c r="J2467" s="21" t="str">
        <f aca="false">IF(B2467="","",IF(H2467&lt;&gt;"",H2467,F2467))</f>
        <v/>
      </c>
      <c r="K2467" s="26" t="str">
        <f aca="false">IF(A2467="","",DATE(YEAR(A2467),MONTH(A2467),1))</f>
        <v/>
      </c>
      <c r="L2467" s="21" t="str">
        <f aca="false">IF(J2467="",IF(B2467="","",IF(N(C2467)&gt;=0,"Income","Expense")),IFERROR(INDEX(Lists!$B$2:$B$30,MATCH(J2467,Lists!$A$2:$A$30,0)),""))</f>
        <v/>
      </c>
      <c r="M2467" s="24"/>
      <c r="N2467" s="27" t="str">
        <f aca="false">IF(B2467="","",IFERROR(1000-SUMPRODUCT(MAX(ISNUMBER(SEARCH(Rules!$A$5:$A$204,B2467))*(Rules!$A$5:$A$204&lt;&gt;"")*(1000-ROW(Rules!$A$5:$A$204)))),""))</f>
        <v/>
      </c>
    </row>
    <row r="2468" customFormat="false" ht="15" hidden="false" customHeight="false" outlineLevel="0" collapsed="false">
      <c r="A2468" s="23"/>
      <c r="B2468" s="24"/>
      <c r="C2468" s="25"/>
      <c r="D2468" s="24"/>
      <c r="E2468" s="21" t="str">
        <f aca="false">IF(OR(B2468="",N(N2468)=0,N2468=1000),IF(B2468="","","Check"),INDEX(Rules!$B:$B,N2468))</f>
        <v/>
      </c>
      <c r="F2468" s="21" t="str">
        <f aca="false">IF(OR(B2468="",N(N2468)=0,N2468=1000),"",INDEX(Rules!$C:$C,N2468))</f>
        <v/>
      </c>
      <c r="G2468" s="24"/>
      <c r="H2468" s="24"/>
      <c r="I2468" s="20" t="str">
        <f aca="false">IF(B2468="","",IF(G2468&lt;&gt;"",G2468,E2468))</f>
        <v/>
      </c>
      <c r="J2468" s="21" t="str">
        <f aca="false">IF(B2468="","",IF(H2468&lt;&gt;"",H2468,F2468))</f>
        <v/>
      </c>
      <c r="K2468" s="26" t="str">
        <f aca="false">IF(A2468="","",DATE(YEAR(A2468),MONTH(A2468),1))</f>
        <v/>
      </c>
      <c r="L2468" s="21" t="str">
        <f aca="false">IF(J2468="",IF(B2468="","",IF(N(C2468)&gt;=0,"Income","Expense")),IFERROR(INDEX(Lists!$B$2:$B$30,MATCH(J2468,Lists!$A$2:$A$30,0)),""))</f>
        <v/>
      </c>
      <c r="M2468" s="24"/>
      <c r="N2468" s="27" t="str">
        <f aca="false">IF(B2468="","",IFERROR(1000-SUMPRODUCT(MAX(ISNUMBER(SEARCH(Rules!$A$5:$A$204,B2468))*(Rules!$A$5:$A$204&lt;&gt;"")*(1000-ROW(Rules!$A$5:$A$204)))),""))</f>
        <v/>
      </c>
    </row>
    <row r="2469" customFormat="false" ht="15" hidden="false" customHeight="false" outlineLevel="0" collapsed="false">
      <c r="A2469" s="23"/>
      <c r="B2469" s="24"/>
      <c r="C2469" s="25"/>
      <c r="D2469" s="24"/>
      <c r="E2469" s="21" t="str">
        <f aca="false">IF(OR(B2469="",N(N2469)=0,N2469=1000),IF(B2469="","","Check"),INDEX(Rules!$B:$B,N2469))</f>
        <v/>
      </c>
      <c r="F2469" s="21" t="str">
        <f aca="false">IF(OR(B2469="",N(N2469)=0,N2469=1000),"",INDEX(Rules!$C:$C,N2469))</f>
        <v/>
      </c>
      <c r="G2469" s="24"/>
      <c r="H2469" s="24"/>
      <c r="I2469" s="20" t="str">
        <f aca="false">IF(B2469="","",IF(G2469&lt;&gt;"",G2469,E2469))</f>
        <v/>
      </c>
      <c r="J2469" s="21" t="str">
        <f aca="false">IF(B2469="","",IF(H2469&lt;&gt;"",H2469,F2469))</f>
        <v/>
      </c>
      <c r="K2469" s="26" t="str">
        <f aca="false">IF(A2469="","",DATE(YEAR(A2469),MONTH(A2469),1))</f>
        <v/>
      </c>
      <c r="L2469" s="21" t="str">
        <f aca="false">IF(J2469="",IF(B2469="","",IF(N(C2469)&gt;=0,"Income","Expense")),IFERROR(INDEX(Lists!$B$2:$B$30,MATCH(J2469,Lists!$A$2:$A$30,0)),""))</f>
        <v/>
      </c>
      <c r="M2469" s="24"/>
      <c r="N2469" s="27" t="str">
        <f aca="false">IF(B2469="","",IFERROR(1000-SUMPRODUCT(MAX(ISNUMBER(SEARCH(Rules!$A$5:$A$204,B2469))*(Rules!$A$5:$A$204&lt;&gt;"")*(1000-ROW(Rules!$A$5:$A$204)))),""))</f>
        <v/>
      </c>
    </row>
    <row r="2470" customFormat="false" ht="15" hidden="false" customHeight="false" outlineLevel="0" collapsed="false">
      <c r="A2470" s="23"/>
      <c r="B2470" s="24"/>
      <c r="C2470" s="25"/>
      <c r="D2470" s="24"/>
      <c r="E2470" s="21" t="str">
        <f aca="false">IF(OR(B2470="",N(N2470)=0,N2470=1000),IF(B2470="","","Check"),INDEX(Rules!$B:$B,N2470))</f>
        <v/>
      </c>
      <c r="F2470" s="21" t="str">
        <f aca="false">IF(OR(B2470="",N(N2470)=0,N2470=1000),"",INDEX(Rules!$C:$C,N2470))</f>
        <v/>
      </c>
      <c r="G2470" s="24"/>
      <c r="H2470" s="24"/>
      <c r="I2470" s="20" t="str">
        <f aca="false">IF(B2470="","",IF(G2470&lt;&gt;"",G2470,E2470))</f>
        <v/>
      </c>
      <c r="J2470" s="21" t="str">
        <f aca="false">IF(B2470="","",IF(H2470&lt;&gt;"",H2470,F2470))</f>
        <v/>
      </c>
      <c r="K2470" s="26" t="str">
        <f aca="false">IF(A2470="","",DATE(YEAR(A2470),MONTH(A2470),1))</f>
        <v/>
      </c>
      <c r="L2470" s="21" t="str">
        <f aca="false">IF(J2470="",IF(B2470="","",IF(N(C2470)&gt;=0,"Income","Expense")),IFERROR(INDEX(Lists!$B$2:$B$30,MATCH(J2470,Lists!$A$2:$A$30,0)),""))</f>
        <v/>
      </c>
      <c r="M2470" s="24"/>
      <c r="N2470" s="27" t="str">
        <f aca="false">IF(B2470="","",IFERROR(1000-SUMPRODUCT(MAX(ISNUMBER(SEARCH(Rules!$A$5:$A$204,B2470))*(Rules!$A$5:$A$204&lt;&gt;"")*(1000-ROW(Rules!$A$5:$A$204)))),""))</f>
        <v/>
      </c>
    </row>
    <row r="2471" customFormat="false" ht="15" hidden="false" customHeight="false" outlineLevel="0" collapsed="false">
      <c r="A2471" s="23"/>
      <c r="B2471" s="24"/>
      <c r="C2471" s="25"/>
      <c r="D2471" s="24"/>
      <c r="E2471" s="21" t="str">
        <f aca="false">IF(OR(B2471="",N(N2471)=0,N2471=1000),IF(B2471="","","Check"),INDEX(Rules!$B:$B,N2471))</f>
        <v/>
      </c>
      <c r="F2471" s="21" t="str">
        <f aca="false">IF(OR(B2471="",N(N2471)=0,N2471=1000),"",INDEX(Rules!$C:$C,N2471))</f>
        <v/>
      </c>
      <c r="G2471" s="24"/>
      <c r="H2471" s="24"/>
      <c r="I2471" s="20" t="str">
        <f aca="false">IF(B2471="","",IF(G2471&lt;&gt;"",G2471,E2471))</f>
        <v/>
      </c>
      <c r="J2471" s="21" t="str">
        <f aca="false">IF(B2471="","",IF(H2471&lt;&gt;"",H2471,F2471))</f>
        <v/>
      </c>
      <c r="K2471" s="26" t="str">
        <f aca="false">IF(A2471="","",DATE(YEAR(A2471),MONTH(A2471),1))</f>
        <v/>
      </c>
      <c r="L2471" s="21" t="str">
        <f aca="false">IF(J2471="",IF(B2471="","",IF(N(C2471)&gt;=0,"Income","Expense")),IFERROR(INDEX(Lists!$B$2:$B$30,MATCH(J2471,Lists!$A$2:$A$30,0)),""))</f>
        <v/>
      </c>
      <c r="M2471" s="24"/>
      <c r="N2471" s="27" t="str">
        <f aca="false">IF(B2471="","",IFERROR(1000-SUMPRODUCT(MAX(ISNUMBER(SEARCH(Rules!$A$5:$A$204,B2471))*(Rules!$A$5:$A$204&lt;&gt;"")*(1000-ROW(Rules!$A$5:$A$204)))),""))</f>
        <v/>
      </c>
    </row>
    <row r="2472" customFormat="false" ht="15" hidden="false" customHeight="false" outlineLevel="0" collapsed="false">
      <c r="A2472" s="23"/>
      <c r="B2472" s="24"/>
      <c r="C2472" s="25"/>
      <c r="D2472" s="24"/>
      <c r="E2472" s="21" t="str">
        <f aca="false">IF(OR(B2472="",N(N2472)=0,N2472=1000),IF(B2472="","","Check"),INDEX(Rules!$B:$B,N2472))</f>
        <v/>
      </c>
      <c r="F2472" s="21" t="str">
        <f aca="false">IF(OR(B2472="",N(N2472)=0,N2472=1000),"",INDEX(Rules!$C:$C,N2472))</f>
        <v/>
      </c>
      <c r="G2472" s="24"/>
      <c r="H2472" s="24"/>
      <c r="I2472" s="20" t="str">
        <f aca="false">IF(B2472="","",IF(G2472&lt;&gt;"",G2472,E2472))</f>
        <v/>
      </c>
      <c r="J2472" s="21" t="str">
        <f aca="false">IF(B2472="","",IF(H2472&lt;&gt;"",H2472,F2472))</f>
        <v/>
      </c>
      <c r="K2472" s="26" t="str">
        <f aca="false">IF(A2472="","",DATE(YEAR(A2472),MONTH(A2472),1))</f>
        <v/>
      </c>
      <c r="L2472" s="21" t="str">
        <f aca="false">IF(J2472="",IF(B2472="","",IF(N(C2472)&gt;=0,"Income","Expense")),IFERROR(INDEX(Lists!$B$2:$B$30,MATCH(J2472,Lists!$A$2:$A$30,0)),""))</f>
        <v/>
      </c>
      <c r="M2472" s="24"/>
      <c r="N2472" s="27" t="str">
        <f aca="false">IF(B2472="","",IFERROR(1000-SUMPRODUCT(MAX(ISNUMBER(SEARCH(Rules!$A$5:$A$204,B2472))*(Rules!$A$5:$A$204&lt;&gt;"")*(1000-ROW(Rules!$A$5:$A$204)))),""))</f>
        <v/>
      </c>
    </row>
    <row r="2473" customFormat="false" ht="15" hidden="false" customHeight="false" outlineLevel="0" collapsed="false">
      <c r="A2473" s="23"/>
      <c r="B2473" s="24"/>
      <c r="C2473" s="25"/>
      <c r="D2473" s="24"/>
      <c r="E2473" s="21" t="str">
        <f aca="false">IF(OR(B2473="",N(N2473)=0,N2473=1000),IF(B2473="","","Check"),INDEX(Rules!$B:$B,N2473))</f>
        <v/>
      </c>
      <c r="F2473" s="21" t="str">
        <f aca="false">IF(OR(B2473="",N(N2473)=0,N2473=1000),"",INDEX(Rules!$C:$C,N2473))</f>
        <v/>
      </c>
      <c r="G2473" s="24"/>
      <c r="H2473" s="24"/>
      <c r="I2473" s="20" t="str">
        <f aca="false">IF(B2473="","",IF(G2473&lt;&gt;"",G2473,E2473))</f>
        <v/>
      </c>
      <c r="J2473" s="21" t="str">
        <f aca="false">IF(B2473="","",IF(H2473&lt;&gt;"",H2473,F2473))</f>
        <v/>
      </c>
      <c r="K2473" s="26" t="str">
        <f aca="false">IF(A2473="","",DATE(YEAR(A2473),MONTH(A2473),1))</f>
        <v/>
      </c>
      <c r="L2473" s="21" t="str">
        <f aca="false">IF(J2473="",IF(B2473="","",IF(N(C2473)&gt;=0,"Income","Expense")),IFERROR(INDEX(Lists!$B$2:$B$30,MATCH(J2473,Lists!$A$2:$A$30,0)),""))</f>
        <v/>
      </c>
      <c r="M2473" s="24"/>
      <c r="N2473" s="27" t="str">
        <f aca="false">IF(B2473="","",IFERROR(1000-SUMPRODUCT(MAX(ISNUMBER(SEARCH(Rules!$A$5:$A$204,B2473))*(Rules!$A$5:$A$204&lt;&gt;"")*(1000-ROW(Rules!$A$5:$A$204)))),""))</f>
        <v/>
      </c>
    </row>
    <row r="2474" customFormat="false" ht="15" hidden="false" customHeight="false" outlineLevel="0" collapsed="false">
      <c r="A2474" s="23"/>
      <c r="B2474" s="24"/>
      <c r="C2474" s="25"/>
      <c r="D2474" s="24"/>
      <c r="E2474" s="21" t="str">
        <f aca="false">IF(OR(B2474="",N(N2474)=0,N2474=1000),IF(B2474="","","Check"),INDEX(Rules!$B:$B,N2474))</f>
        <v/>
      </c>
      <c r="F2474" s="21" t="str">
        <f aca="false">IF(OR(B2474="",N(N2474)=0,N2474=1000),"",INDEX(Rules!$C:$C,N2474))</f>
        <v/>
      </c>
      <c r="G2474" s="24"/>
      <c r="H2474" s="24"/>
      <c r="I2474" s="20" t="str">
        <f aca="false">IF(B2474="","",IF(G2474&lt;&gt;"",G2474,E2474))</f>
        <v/>
      </c>
      <c r="J2474" s="21" t="str">
        <f aca="false">IF(B2474="","",IF(H2474&lt;&gt;"",H2474,F2474))</f>
        <v/>
      </c>
      <c r="K2474" s="26" t="str">
        <f aca="false">IF(A2474="","",DATE(YEAR(A2474),MONTH(A2474),1))</f>
        <v/>
      </c>
      <c r="L2474" s="21" t="str">
        <f aca="false">IF(J2474="",IF(B2474="","",IF(N(C2474)&gt;=0,"Income","Expense")),IFERROR(INDEX(Lists!$B$2:$B$30,MATCH(J2474,Lists!$A$2:$A$30,0)),""))</f>
        <v/>
      </c>
      <c r="M2474" s="24"/>
      <c r="N2474" s="27" t="str">
        <f aca="false">IF(B2474="","",IFERROR(1000-SUMPRODUCT(MAX(ISNUMBER(SEARCH(Rules!$A$5:$A$204,B2474))*(Rules!$A$5:$A$204&lt;&gt;"")*(1000-ROW(Rules!$A$5:$A$204)))),""))</f>
        <v/>
      </c>
    </row>
    <row r="2475" customFormat="false" ht="15" hidden="false" customHeight="false" outlineLevel="0" collapsed="false">
      <c r="A2475" s="23"/>
      <c r="B2475" s="24"/>
      <c r="C2475" s="25"/>
      <c r="D2475" s="24"/>
      <c r="E2475" s="21" t="str">
        <f aca="false">IF(OR(B2475="",N(N2475)=0,N2475=1000),IF(B2475="","","Check"),INDEX(Rules!$B:$B,N2475))</f>
        <v/>
      </c>
      <c r="F2475" s="21" t="str">
        <f aca="false">IF(OR(B2475="",N(N2475)=0,N2475=1000),"",INDEX(Rules!$C:$C,N2475))</f>
        <v/>
      </c>
      <c r="G2475" s="24"/>
      <c r="H2475" s="24"/>
      <c r="I2475" s="20" t="str">
        <f aca="false">IF(B2475="","",IF(G2475&lt;&gt;"",G2475,E2475))</f>
        <v/>
      </c>
      <c r="J2475" s="21" t="str">
        <f aca="false">IF(B2475="","",IF(H2475&lt;&gt;"",H2475,F2475))</f>
        <v/>
      </c>
      <c r="K2475" s="26" t="str">
        <f aca="false">IF(A2475="","",DATE(YEAR(A2475),MONTH(A2475),1))</f>
        <v/>
      </c>
      <c r="L2475" s="21" t="str">
        <f aca="false">IF(J2475="",IF(B2475="","",IF(N(C2475)&gt;=0,"Income","Expense")),IFERROR(INDEX(Lists!$B$2:$B$30,MATCH(J2475,Lists!$A$2:$A$30,0)),""))</f>
        <v/>
      </c>
      <c r="M2475" s="24"/>
      <c r="N2475" s="27" t="str">
        <f aca="false">IF(B2475="","",IFERROR(1000-SUMPRODUCT(MAX(ISNUMBER(SEARCH(Rules!$A$5:$A$204,B2475))*(Rules!$A$5:$A$204&lt;&gt;"")*(1000-ROW(Rules!$A$5:$A$204)))),""))</f>
        <v/>
      </c>
    </row>
    <row r="2476" customFormat="false" ht="15" hidden="false" customHeight="false" outlineLevel="0" collapsed="false">
      <c r="A2476" s="23"/>
      <c r="B2476" s="24"/>
      <c r="C2476" s="25"/>
      <c r="D2476" s="24"/>
      <c r="E2476" s="21" t="str">
        <f aca="false">IF(OR(B2476="",N(N2476)=0,N2476=1000),IF(B2476="","","Check"),INDEX(Rules!$B:$B,N2476))</f>
        <v/>
      </c>
      <c r="F2476" s="21" t="str">
        <f aca="false">IF(OR(B2476="",N(N2476)=0,N2476=1000),"",INDEX(Rules!$C:$C,N2476))</f>
        <v/>
      </c>
      <c r="G2476" s="24"/>
      <c r="H2476" s="24"/>
      <c r="I2476" s="20" t="str">
        <f aca="false">IF(B2476="","",IF(G2476&lt;&gt;"",G2476,E2476))</f>
        <v/>
      </c>
      <c r="J2476" s="21" t="str">
        <f aca="false">IF(B2476="","",IF(H2476&lt;&gt;"",H2476,F2476))</f>
        <v/>
      </c>
      <c r="K2476" s="26" t="str">
        <f aca="false">IF(A2476="","",DATE(YEAR(A2476),MONTH(A2476),1))</f>
        <v/>
      </c>
      <c r="L2476" s="21" t="str">
        <f aca="false">IF(J2476="",IF(B2476="","",IF(N(C2476)&gt;=0,"Income","Expense")),IFERROR(INDEX(Lists!$B$2:$B$30,MATCH(J2476,Lists!$A$2:$A$30,0)),""))</f>
        <v/>
      </c>
      <c r="M2476" s="24"/>
      <c r="N2476" s="27" t="str">
        <f aca="false">IF(B2476="","",IFERROR(1000-SUMPRODUCT(MAX(ISNUMBER(SEARCH(Rules!$A$5:$A$204,B2476))*(Rules!$A$5:$A$204&lt;&gt;"")*(1000-ROW(Rules!$A$5:$A$204)))),""))</f>
        <v/>
      </c>
    </row>
    <row r="2477" customFormat="false" ht="15" hidden="false" customHeight="false" outlineLevel="0" collapsed="false">
      <c r="A2477" s="23"/>
      <c r="B2477" s="24"/>
      <c r="C2477" s="25"/>
      <c r="D2477" s="24"/>
      <c r="E2477" s="21" t="str">
        <f aca="false">IF(OR(B2477="",N(N2477)=0,N2477=1000),IF(B2477="","","Check"),INDEX(Rules!$B:$B,N2477))</f>
        <v/>
      </c>
      <c r="F2477" s="21" t="str">
        <f aca="false">IF(OR(B2477="",N(N2477)=0,N2477=1000),"",INDEX(Rules!$C:$C,N2477))</f>
        <v/>
      </c>
      <c r="G2477" s="24"/>
      <c r="H2477" s="24"/>
      <c r="I2477" s="20" t="str">
        <f aca="false">IF(B2477="","",IF(G2477&lt;&gt;"",G2477,E2477))</f>
        <v/>
      </c>
      <c r="J2477" s="21" t="str">
        <f aca="false">IF(B2477="","",IF(H2477&lt;&gt;"",H2477,F2477))</f>
        <v/>
      </c>
      <c r="K2477" s="26" t="str">
        <f aca="false">IF(A2477="","",DATE(YEAR(A2477),MONTH(A2477),1))</f>
        <v/>
      </c>
      <c r="L2477" s="21" t="str">
        <f aca="false">IF(J2477="",IF(B2477="","",IF(N(C2477)&gt;=0,"Income","Expense")),IFERROR(INDEX(Lists!$B$2:$B$30,MATCH(J2477,Lists!$A$2:$A$30,0)),""))</f>
        <v/>
      </c>
      <c r="M2477" s="24"/>
      <c r="N2477" s="27" t="str">
        <f aca="false">IF(B2477="","",IFERROR(1000-SUMPRODUCT(MAX(ISNUMBER(SEARCH(Rules!$A$5:$A$204,B2477))*(Rules!$A$5:$A$204&lt;&gt;"")*(1000-ROW(Rules!$A$5:$A$204)))),""))</f>
        <v/>
      </c>
    </row>
    <row r="2478" customFormat="false" ht="15" hidden="false" customHeight="false" outlineLevel="0" collapsed="false">
      <c r="A2478" s="23"/>
      <c r="B2478" s="24"/>
      <c r="C2478" s="25"/>
      <c r="D2478" s="24"/>
      <c r="E2478" s="21" t="str">
        <f aca="false">IF(OR(B2478="",N(N2478)=0,N2478=1000),IF(B2478="","","Check"),INDEX(Rules!$B:$B,N2478))</f>
        <v/>
      </c>
      <c r="F2478" s="21" t="str">
        <f aca="false">IF(OR(B2478="",N(N2478)=0,N2478=1000),"",INDEX(Rules!$C:$C,N2478))</f>
        <v/>
      </c>
      <c r="G2478" s="24"/>
      <c r="H2478" s="24"/>
      <c r="I2478" s="20" t="str">
        <f aca="false">IF(B2478="","",IF(G2478&lt;&gt;"",G2478,E2478))</f>
        <v/>
      </c>
      <c r="J2478" s="21" t="str">
        <f aca="false">IF(B2478="","",IF(H2478&lt;&gt;"",H2478,F2478))</f>
        <v/>
      </c>
      <c r="K2478" s="26" t="str">
        <f aca="false">IF(A2478="","",DATE(YEAR(A2478),MONTH(A2478),1))</f>
        <v/>
      </c>
      <c r="L2478" s="21" t="str">
        <f aca="false">IF(J2478="",IF(B2478="","",IF(N(C2478)&gt;=0,"Income","Expense")),IFERROR(INDEX(Lists!$B$2:$B$30,MATCH(J2478,Lists!$A$2:$A$30,0)),""))</f>
        <v/>
      </c>
      <c r="M2478" s="24"/>
      <c r="N2478" s="27" t="str">
        <f aca="false">IF(B2478="","",IFERROR(1000-SUMPRODUCT(MAX(ISNUMBER(SEARCH(Rules!$A$5:$A$204,B2478))*(Rules!$A$5:$A$204&lt;&gt;"")*(1000-ROW(Rules!$A$5:$A$204)))),""))</f>
        <v/>
      </c>
    </row>
    <row r="2479" customFormat="false" ht="15" hidden="false" customHeight="false" outlineLevel="0" collapsed="false">
      <c r="A2479" s="23"/>
      <c r="B2479" s="24"/>
      <c r="C2479" s="25"/>
      <c r="D2479" s="24"/>
      <c r="E2479" s="21" t="str">
        <f aca="false">IF(OR(B2479="",N(N2479)=0,N2479=1000),IF(B2479="","","Check"),INDEX(Rules!$B:$B,N2479))</f>
        <v/>
      </c>
      <c r="F2479" s="21" t="str">
        <f aca="false">IF(OR(B2479="",N(N2479)=0,N2479=1000),"",INDEX(Rules!$C:$C,N2479))</f>
        <v/>
      </c>
      <c r="G2479" s="24"/>
      <c r="H2479" s="24"/>
      <c r="I2479" s="20" t="str">
        <f aca="false">IF(B2479="","",IF(G2479&lt;&gt;"",G2479,E2479))</f>
        <v/>
      </c>
      <c r="J2479" s="21" t="str">
        <f aca="false">IF(B2479="","",IF(H2479&lt;&gt;"",H2479,F2479))</f>
        <v/>
      </c>
      <c r="K2479" s="26" t="str">
        <f aca="false">IF(A2479="","",DATE(YEAR(A2479),MONTH(A2479),1))</f>
        <v/>
      </c>
      <c r="L2479" s="21" t="str">
        <f aca="false">IF(J2479="",IF(B2479="","",IF(N(C2479)&gt;=0,"Income","Expense")),IFERROR(INDEX(Lists!$B$2:$B$30,MATCH(J2479,Lists!$A$2:$A$30,0)),""))</f>
        <v/>
      </c>
      <c r="M2479" s="24"/>
      <c r="N2479" s="27" t="str">
        <f aca="false">IF(B2479="","",IFERROR(1000-SUMPRODUCT(MAX(ISNUMBER(SEARCH(Rules!$A$5:$A$204,B2479))*(Rules!$A$5:$A$204&lt;&gt;"")*(1000-ROW(Rules!$A$5:$A$204)))),""))</f>
        <v/>
      </c>
    </row>
    <row r="2480" customFormat="false" ht="15" hidden="false" customHeight="false" outlineLevel="0" collapsed="false">
      <c r="A2480" s="23"/>
      <c r="B2480" s="24"/>
      <c r="C2480" s="25"/>
      <c r="D2480" s="24"/>
      <c r="E2480" s="21" t="str">
        <f aca="false">IF(OR(B2480="",N(N2480)=0,N2480=1000),IF(B2480="","","Check"),INDEX(Rules!$B:$B,N2480))</f>
        <v/>
      </c>
      <c r="F2480" s="21" t="str">
        <f aca="false">IF(OR(B2480="",N(N2480)=0,N2480=1000),"",INDEX(Rules!$C:$C,N2480))</f>
        <v/>
      </c>
      <c r="G2480" s="24"/>
      <c r="H2480" s="24"/>
      <c r="I2480" s="20" t="str">
        <f aca="false">IF(B2480="","",IF(G2480&lt;&gt;"",G2480,E2480))</f>
        <v/>
      </c>
      <c r="J2480" s="21" t="str">
        <f aca="false">IF(B2480="","",IF(H2480&lt;&gt;"",H2480,F2480))</f>
        <v/>
      </c>
      <c r="K2480" s="26" t="str">
        <f aca="false">IF(A2480="","",DATE(YEAR(A2480),MONTH(A2480),1))</f>
        <v/>
      </c>
      <c r="L2480" s="21" t="str">
        <f aca="false">IF(J2480="",IF(B2480="","",IF(N(C2480)&gt;=0,"Income","Expense")),IFERROR(INDEX(Lists!$B$2:$B$30,MATCH(J2480,Lists!$A$2:$A$30,0)),""))</f>
        <v/>
      </c>
      <c r="M2480" s="24"/>
      <c r="N2480" s="27" t="str">
        <f aca="false">IF(B2480="","",IFERROR(1000-SUMPRODUCT(MAX(ISNUMBER(SEARCH(Rules!$A$5:$A$204,B2480))*(Rules!$A$5:$A$204&lt;&gt;"")*(1000-ROW(Rules!$A$5:$A$204)))),""))</f>
        <v/>
      </c>
    </row>
    <row r="2481" customFormat="false" ht="15" hidden="false" customHeight="false" outlineLevel="0" collapsed="false">
      <c r="A2481" s="23"/>
      <c r="B2481" s="24"/>
      <c r="C2481" s="25"/>
      <c r="D2481" s="24"/>
      <c r="E2481" s="21" t="str">
        <f aca="false">IF(OR(B2481="",N(N2481)=0,N2481=1000),IF(B2481="","","Check"),INDEX(Rules!$B:$B,N2481))</f>
        <v/>
      </c>
      <c r="F2481" s="21" t="str">
        <f aca="false">IF(OR(B2481="",N(N2481)=0,N2481=1000),"",INDEX(Rules!$C:$C,N2481))</f>
        <v/>
      </c>
      <c r="G2481" s="24"/>
      <c r="H2481" s="24"/>
      <c r="I2481" s="20" t="str">
        <f aca="false">IF(B2481="","",IF(G2481&lt;&gt;"",G2481,E2481))</f>
        <v/>
      </c>
      <c r="J2481" s="21" t="str">
        <f aca="false">IF(B2481="","",IF(H2481&lt;&gt;"",H2481,F2481))</f>
        <v/>
      </c>
      <c r="K2481" s="26" t="str">
        <f aca="false">IF(A2481="","",DATE(YEAR(A2481),MONTH(A2481),1))</f>
        <v/>
      </c>
      <c r="L2481" s="21" t="str">
        <f aca="false">IF(J2481="",IF(B2481="","",IF(N(C2481)&gt;=0,"Income","Expense")),IFERROR(INDEX(Lists!$B$2:$B$30,MATCH(J2481,Lists!$A$2:$A$30,0)),""))</f>
        <v/>
      </c>
      <c r="M2481" s="24"/>
      <c r="N2481" s="27" t="str">
        <f aca="false">IF(B2481="","",IFERROR(1000-SUMPRODUCT(MAX(ISNUMBER(SEARCH(Rules!$A$5:$A$204,B2481))*(Rules!$A$5:$A$204&lt;&gt;"")*(1000-ROW(Rules!$A$5:$A$204)))),""))</f>
        <v/>
      </c>
    </row>
    <row r="2482" customFormat="false" ht="15" hidden="false" customHeight="false" outlineLevel="0" collapsed="false">
      <c r="A2482" s="23"/>
      <c r="B2482" s="24"/>
      <c r="C2482" s="25"/>
      <c r="D2482" s="24"/>
      <c r="E2482" s="21" t="str">
        <f aca="false">IF(OR(B2482="",N(N2482)=0,N2482=1000),IF(B2482="","","Check"),INDEX(Rules!$B:$B,N2482))</f>
        <v/>
      </c>
      <c r="F2482" s="21" t="str">
        <f aca="false">IF(OR(B2482="",N(N2482)=0,N2482=1000),"",INDEX(Rules!$C:$C,N2482))</f>
        <v/>
      </c>
      <c r="G2482" s="24"/>
      <c r="H2482" s="24"/>
      <c r="I2482" s="20" t="str">
        <f aca="false">IF(B2482="","",IF(G2482&lt;&gt;"",G2482,E2482))</f>
        <v/>
      </c>
      <c r="J2482" s="21" t="str">
        <f aca="false">IF(B2482="","",IF(H2482&lt;&gt;"",H2482,F2482))</f>
        <v/>
      </c>
      <c r="K2482" s="26" t="str">
        <f aca="false">IF(A2482="","",DATE(YEAR(A2482),MONTH(A2482),1))</f>
        <v/>
      </c>
      <c r="L2482" s="21" t="str">
        <f aca="false">IF(J2482="",IF(B2482="","",IF(N(C2482)&gt;=0,"Income","Expense")),IFERROR(INDEX(Lists!$B$2:$B$30,MATCH(J2482,Lists!$A$2:$A$30,0)),""))</f>
        <v/>
      </c>
      <c r="M2482" s="24"/>
      <c r="N2482" s="27" t="str">
        <f aca="false">IF(B2482="","",IFERROR(1000-SUMPRODUCT(MAX(ISNUMBER(SEARCH(Rules!$A$5:$A$204,B2482))*(Rules!$A$5:$A$204&lt;&gt;"")*(1000-ROW(Rules!$A$5:$A$204)))),""))</f>
        <v/>
      </c>
    </row>
    <row r="2483" customFormat="false" ht="15" hidden="false" customHeight="false" outlineLevel="0" collapsed="false">
      <c r="A2483" s="23"/>
      <c r="B2483" s="24"/>
      <c r="C2483" s="25"/>
      <c r="D2483" s="24"/>
      <c r="E2483" s="21" t="str">
        <f aca="false">IF(OR(B2483="",N(N2483)=0,N2483=1000),IF(B2483="","","Check"),INDEX(Rules!$B:$B,N2483))</f>
        <v/>
      </c>
      <c r="F2483" s="21" t="str">
        <f aca="false">IF(OR(B2483="",N(N2483)=0,N2483=1000),"",INDEX(Rules!$C:$C,N2483))</f>
        <v/>
      </c>
      <c r="G2483" s="24"/>
      <c r="H2483" s="24"/>
      <c r="I2483" s="20" t="str">
        <f aca="false">IF(B2483="","",IF(G2483&lt;&gt;"",G2483,E2483))</f>
        <v/>
      </c>
      <c r="J2483" s="21" t="str">
        <f aca="false">IF(B2483="","",IF(H2483&lt;&gt;"",H2483,F2483))</f>
        <v/>
      </c>
      <c r="K2483" s="26" t="str">
        <f aca="false">IF(A2483="","",DATE(YEAR(A2483),MONTH(A2483),1))</f>
        <v/>
      </c>
      <c r="L2483" s="21" t="str">
        <f aca="false">IF(J2483="",IF(B2483="","",IF(N(C2483)&gt;=0,"Income","Expense")),IFERROR(INDEX(Lists!$B$2:$B$30,MATCH(J2483,Lists!$A$2:$A$30,0)),""))</f>
        <v/>
      </c>
      <c r="M2483" s="24"/>
      <c r="N2483" s="27" t="str">
        <f aca="false">IF(B2483="","",IFERROR(1000-SUMPRODUCT(MAX(ISNUMBER(SEARCH(Rules!$A$5:$A$204,B2483))*(Rules!$A$5:$A$204&lt;&gt;"")*(1000-ROW(Rules!$A$5:$A$204)))),""))</f>
        <v/>
      </c>
    </row>
    <row r="2484" customFormat="false" ht="15" hidden="false" customHeight="false" outlineLevel="0" collapsed="false">
      <c r="A2484" s="23"/>
      <c r="B2484" s="24"/>
      <c r="C2484" s="25"/>
      <c r="D2484" s="24"/>
      <c r="E2484" s="21" t="str">
        <f aca="false">IF(OR(B2484="",N(N2484)=0,N2484=1000),IF(B2484="","","Check"),INDEX(Rules!$B:$B,N2484))</f>
        <v/>
      </c>
      <c r="F2484" s="21" t="str">
        <f aca="false">IF(OR(B2484="",N(N2484)=0,N2484=1000),"",INDEX(Rules!$C:$C,N2484))</f>
        <v/>
      </c>
      <c r="G2484" s="24"/>
      <c r="H2484" s="24"/>
      <c r="I2484" s="20" t="str">
        <f aca="false">IF(B2484="","",IF(G2484&lt;&gt;"",G2484,E2484))</f>
        <v/>
      </c>
      <c r="J2484" s="21" t="str">
        <f aca="false">IF(B2484="","",IF(H2484&lt;&gt;"",H2484,F2484))</f>
        <v/>
      </c>
      <c r="K2484" s="26" t="str">
        <f aca="false">IF(A2484="","",DATE(YEAR(A2484),MONTH(A2484),1))</f>
        <v/>
      </c>
      <c r="L2484" s="21" t="str">
        <f aca="false">IF(J2484="",IF(B2484="","",IF(N(C2484)&gt;=0,"Income","Expense")),IFERROR(INDEX(Lists!$B$2:$B$30,MATCH(J2484,Lists!$A$2:$A$30,0)),""))</f>
        <v/>
      </c>
      <c r="M2484" s="24"/>
      <c r="N2484" s="27" t="str">
        <f aca="false">IF(B2484="","",IFERROR(1000-SUMPRODUCT(MAX(ISNUMBER(SEARCH(Rules!$A$5:$A$204,B2484))*(Rules!$A$5:$A$204&lt;&gt;"")*(1000-ROW(Rules!$A$5:$A$204)))),""))</f>
        <v/>
      </c>
    </row>
    <row r="2485" customFormat="false" ht="15" hidden="false" customHeight="false" outlineLevel="0" collapsed="false">
      <c r="A2485" s="23"/>
      <c r="B2485" s="24"/>
      <c r="C2485" s="25"/>
      <c r="D2485" s="24"/>
      <c r="E2485" s="21" t="str">
        <f aca="false">IF(OR(B2485="",N(N2485)=0,N2485=1000),IF(B2485="","","Check"),INDEX(Rules!$B:$B,N2485))</f>
        <v/>
      </c>
      <c r="F2485" s="21" t="str">
        <f aca="false">IF(OR(B2485="",N(N2485)=0,N2485=1000),"",INDEX(Rules!$C:$C,N2485))</f>
        <v/>
      </c>
      <c r="G2485" s="24"/>
      <c r="H2485" s="24"/>
      <c r="I2485" s="20" t="str">
        <f aca="false">IF(B2485="","",IF(G2485&lt;&gt;"",G2485,E2485))</f>
        <v/>
      </c>
      <c r="J2485" s="21" t="str">
        <f aca="false">IF(B2485="","",IF(H2485&lt;&gt;"",H2485,F2485))</f>
        <v/>
      </c>
      <c r="K2485" s="26" t="str">
        <f aca="false">IF(A2485="","",DATE(YEAR(A2485),MONTH(A2485),1))</f>
        <v/>
      </c>
      <c r="L2485" s="21" t="str">
        <f aca="false">IF(J2485="",IF(B2485="","",IF(N(C2485)&gt;=0,"Income","Expense")),IFERROR(INDEX(Lists!$B$2:$B$30,MATCH(J2485,Lists!$A$2:$A$30,0)),""))</f>
        <v/>
      </c>
      <c r="M2485" s="24"/>
      <c r="N2485" s="27" t="str">
        <f aca="false">IF(B2485="","",IFERROR(1000-SUMPRODUCT(MAX(ISNUMBER(SEARCH(Rules!$A$5:$A$204,B2485))*(Rules!$A$5:$A$204&lt;&gt;"")*(1000-ROW(Rules!$A$5:$A$204)))),""))</f>
        <v/>
      </c>
    </row>
    <row r="2486" customFormat="false" ht="15" hidden="false" customHeight="false" outlineLevel="0" collapsed="false">
      <c r="A2486" s="23"/>
      <c r="B2486" s="24"/>
      <c r="C2486" s="25"/>
      <c r="D2486" s="24"/>
      <c r="E2486" s="21" t="str">
        <f aca="false">IF(OR(B2486="",N(N2486)=0,N2486=1000),IF(B2486="","","Check"),INDEX(Rules!$B:$B,N2486))</f>
        <v/>
      </c>
      <c r="F2486" s="21" t="str">
        <f aca="false">IF(OR(B2486="",N(N2486)=0,N2486=1000),"",INDEX(Rules!$C:$C,N2486))</f>
        <v/>
      </c>
      <c r="G2486" s="24"/>
      <c r="H2486" s="24"/>
      <c r="I2486" s="20" t="str">
        <f aca="false">IF(B2486="","",IF(G2486&lt;&gt;"",G2486,E2486))</f>
        <v/>
      </c>
      <c r="J2486" s="21" t="str">
        <f aca="false">IF(B2486="","",IF(H2486&lt;&gt;"",H2486,F2486))</f>
        <v/>
      </c>
      <c r="K2486" s="26" t="str">
        <f aca="false">IF(A2486="","",DATE(YEAR(A2486),MONTH(A2486),1))</f>
        <v/>
      </c>
      <c r="L2486" s="21" t="str">
        <f aca="false">IF(J2486="",IF(B2486="","",IF(N(C2486)&gt;=0,"Income","Expense")),IFERROR(INDEX(Lists!$B$2:$B$30,MATCH(J2486,Lists!$A$2:$A$30,0)),""))</f>
        <v/>
      </c>
      <c r="M2486" s="24"/>
      <c r="N2486" s="27" t="str">
        <f aca="false">IF(B2486="","",IFERROR(1000-SUMPRODUCT(MAX(ISNUMBER(SEARCH(Rules!$A$5:$A$204,B2486))*(Rules!$A$5:$A$204&lt;&gt;"")*(1000-ROW(Rules!$A$5:$A$204)))),""))</f>
        <v/>
      </c>
    </row>
    <row r="2487" customFormat="false" ht="15" hidden="false" customHeight="false" outlineLevel="0" collapsed="false">
      <c r="A2487" s="23"/>
      <c r="B2487" s="24"/>
      <c r="C2487" s="25"/>
      <c r="D2487" s="24"/>
      <c r="E2487" s="21" t="str">
        <f aca="false">IF(OR(B2487="",N(N2487)=0,N2487=1000),IF(B2487="","","Check"),INDEX(Rules!$B:$B,N2487))</f>
        <v/>
      </c>
      <c r="F2487" s="21" t="str">
        <f aca="false">IF(OR(B2487="",N(N2487)=0,N2487=1000),"",INDEX(Rules!$C:$C,N2487))</f>
        <v/>
      </c>
      <c r="G2487" s="24"/>
      <c r="H2487" s="24"/>
      <c r="I2487" s="20" t="str">
        <f aca="false">IF(B2487="","",IF(G2487&lt;&gt;"",G2487,E2487))</f>
        <v/>
      </c>
      <c r="J2487" s="21" t="str">
        <f aca="false">IF(B2487="","",IF(H2487&lt;&gt;"",H2487,F2487))</f>
        <v/>
      </c>
      <c r="K2487" s="26" t="str">
        <f aca="false">IF(A2487="","",DATE(YEAR(A2487),MONTH(A2487),1))</f>
        <v/>
      </c>
      <c r="L2487" s="21" t="str">
        <f aca="false">IF(J2487="",IF(B2487="","",IF(N(C2487)&gt;=0,"Income","Expense")),IFERROR(INDEX(Lists!$B$2:$B$30,MATCH(J2487,Lists!$A$2:$A$30,0)),""))</f>
        <v/>
      </c>
      <c r="M2487" s="24"/>
      <c r="N2487" s="27" t="str">
        <f aca="false">IF(B2487="","",IFERROR(1000-SUMPRODUCT(MAX(ISNUMBER(SEARCH(Rules!$A$5:$A$204,B2487))*(Rules!$A$5:$A$204&lt;&gt;"")*(1000-ROW(Rules!$A$5:$A$204)))),""))</f>
        <v/>
      </c>
    </row>
    <row r="2488" customFormat="false" ht="15" hidden="false" customHeight="false" outlineLevel="0" collapsed="false">
      <c r="A2488" s="23"/>
      <c r="B2488" s="24"/>
      <c r="C2488" s="25"/>
      <c r="D2488" s="24"/>
      <c r="E2488" s="21" t="str">
        <f aca="false">IF(OR(B2488="",N(N2488)=0,N2488=1000),IF(B2488="","","Check"),INDEX(Rules!$B:$B,N2488))</f>
        <v/>
      </c>
      <c r="F2488" s="21" t="str">
        <f aca="false">IF(OR(B2488="",N(N2488)=0,N2488=1000),"",INDEX(Rules!$C:$C,N2488))</f>
        <v/>
      </c>
      <c r="G2488" s="24"/>
      <c r="H2488" s="24"/>
      <c r="I2488" s="20" t="str">
        <f aca="false">IF(B2488="","",IF(G2488&lt;&gt;"",G2488,E2488))</f>
        <v/>
      </c>
      <c r="J2488" s="21" t="str">
        <f aca="false">IF(B2488="","",IF(H2488&lt;&gt;"",H2488,F2488))</f>
        <v/>
      </c>
      <c r="K2488" s="26" t="str">
        <f aca="false">IF(A2488="","",DATE(YEAR(A2488),MONTH(A2488),1))</f>
        <v/>
      </c>
      <c r="L2488" s="21" t="str">
        <f aca="false">IF(J2488="",IF(B2488="","",IF(N(C2488)&gt;=0,"Income","Expense")),IFERROR(INDEX(Lists!$B$2:$B$30,MATCH(J2488,Lists!$A$2:$A$30,0)),""))</f>
        <v/>
      </c>
      <c r="M2488" s="24"/>
      <c r="N2488" s="27" t="str">
        <f aca="false">IF(B2488="","",IFERROR(1000-SUMPRODUCT(MAX(ISNUMBER(SEARCH(Rules!$A$5:$A$204,B2488))*(Rules!$A$5:$A$204&lt;&gt;"")*(1000-ROW(Rules!$A$5:$A$204)))),""))</f>
        <v/>
      </c>
    </row>
    <row r="2489" customFormat="false" ht="15" hidden="false" customHeight="false" outlineLevel="0" collapsed="false">
      <c r="A2489" s="23"/>
      <c r="B2489" s="24"/>
      <c r="C2489" s="25"/>
      <c r="D2489" s="24"/>
      <c r="E2489" s="21" t="str">
        <f aca="false">IF(OR(B2489="",N(N2489)=0,N2489=1000),IF(B2489="","","Check"),INDEX(Rules!$B:$B,N2489))</f>
        <v/>
      </c>
      <c r="F2489" s="21" t="str">
        <f aca="false">IF(OR(B2489="",N(N2489)=0,N2489=1000),"",INDEX(Rules!$C:$C,N2489))</f>
        <v/>
      </c>
      <c r="G2489" s="24"/>
      <c r="H2489" s="24"/>
      <c r="I2489" s="20" t="str">
        <f aca="false">IF(B2489="","",IF(G2489&lt;&gt;"",G2489,E2489))</f>
        <v/>
      </c>
      <c r="J2489" s="21" t="str">
        <f aca="false">IF(B2489="","",IF(H2489&lt;&gt;"",H2489,F2489))</f>
        <v/>
      </c>
      <c r="K2489" s="26" t="str">
        <f aca="false">IF(A2489="","",DATE(YEAR(A2489),MONTH(A2489),1))</f>
        <v/>
      </c>
      <c r="L2489" s="21" t="str">
        <f aca="false">IF(J2489="",IF(B2489="","",IF(N(C2489)&gt;=0,"Income","Expense")),IFERROR(INDEX(Lists!$B$2:$B$30,MATCH(J2489,Lists!$A$2:$A$30,0)),""))</f>
        <v/>
      </c>
      <c r="M2489" s="24"/>
      <c r="N2489" s="27" t="str">
        <f aca="false">IF(B2489="","",IFERROR(1000-SUMPRODUCT(MAX(ISNUMBER(SEARCH(Rules!$A$5:$A$204,B2489))*(Rules!$A$5:$A$204&lt;&gt;"")*(1000-ROW(Rules!$A$5:$A$204)))),""))</f>
        <v/>
      </c>
    </row>
    <row r="2490" customFormat="false" ht="15" hidden="false" customHeight="false" outlineLevel="0" collapsed="false">
      <c r="A2490" s="23"/>
      <c r="B2490" s="24"/>
      <c r="C2490" s="25"/>
      <c r="D2490" s="24"/>
      <c r="E2490" s="21" t="str">
        <f aca="false">IF(OR(B2490="",N(N2490)=0,N2490=1000),IF(B2490="","","Check"),INDEX(Rules!$B:$B,N2490))</f>
        <v/>
      </c>
      <c r="F2490" s="21" t="str">
        <f aca="false">IF(OR(B2490="",N(N2490)=0,N2490=1000),"",INDEX(Rules!$C:$C,N2490))</f>
        <v/>
      </c>
      <c r="G2490" s="24"/>
      <c r="H2490" s="24"/>
      <c r="I2490" s="20" t="str">
        <f aca="false">IF(B2490="","",IF(G2490&lt;&gt;"",G2490,E2490))</f>
        <v/>
      </c>
      <c r="J2490" s="21" t="str">
        <f aca="false">IF(B2490="","",IF(H2490&lt;&gt;"",H2490,F2490))</f>
        <v/>
      </c>
      <c r="K2490" s="26" t="str">
        <f aca="false">IF(A2490="","",DATE(YEAR(A2490),MONTH(A2490),1))</f>
        <v/>
      </c>
      <c r="L2490" s="21" t="str">
        <f aca="false">IF(J2490="",IF(B2490="","",IF(N(C2490)&gt;=0,"Income","Expense")),IFERROR(INDEX(Lists!$B$2:$B$30,MATCH(J2490,Lists!$A$2:$A$30,0)),""))</f>
        <v/>
      </c>
      <c r="M2490" s="24"/>
      <c r="N2490" s="27" t="str">
        <f aca="false">IF(B2490="","",IFERROR(1000-SUMPRODUCT(MAX(ISNUMBER(SEARCH(Rules!$A$5:$A$204,B2490))*(Rules!$A$5:$A$204&lt;&gt;"")*(1000-ROW(Rules!$A$5:$A$204)))),""))</f>
        <v/>
      </c>
    </row>
    <row r="2491" customFormat="false" ht="15" hidden="false" customHeight="false" outlineLevel="0" collapsed="false">
      <c r="A2491" s="23"/>
      <c r="B2491" s="24"/>
      <c r="C2491" s="25"/>
      <c r="D2491" s="24"/>
      <c r="E2491" s="21" t="str">
        <f aca="false">IF(OR(B2491="",N(N2491)=0,N2491=1000),IF(B2491="","","Check"),INDEX(Rules!$B:$B,N2491))</f>
        <v/>
      </c>
      <c r="F2491" s="21" t="str">
        <f aca="false">IF(OR(B2491="",N(N2491)=0,N2491=1000),"",INDEX(Rules!$C:$C,N2491))</f>
        <v/>
      </c>
      <c r="G2491" s="24"/>
      <c r="H2491" s="24"/>
      <c r="I2491" s="20" t="str">
        <f aca="false">IF(B2491="","",IF(G2491&lt;&gt;"",G2491,E2491))</f>
        <v/>
      </c>
      <c r="J2491" s="21" t="str">
        <f aca="false">IF(B2491="","",IF(H2491&lt;&gt;"",H2491,F2491))</f>
        <v/>
      </c>
      <c r="K2491" s="26" t="str">
        <f aca="false">IF(A2491="","",DATE(YEAR(A2491),MONTH(A2491),1))</f>
        <v/>
      </c>
      <c r="L2491" s="21" t="str">
        <f aca="false">IF(J2491="",IF(B2491="","",IF(N(C2491)&gt;=0,"Income","Expense")),IFERROR(INDEX(Lists!$B$2:$B$30,MATCH(J2491,Lists!$A$2:$A$30,0)),""))</f>
        <v/>
      </c>
      <c r="M2491" s="24"/>
      <c r="N2491" s="27" t="str">
        <f aca="false">IF(B2491="","",IFERROR(1000-SUMPRODUCT(MAX(ISNUMBER(SEARCH(Rules!$A$5:$A$204,B2491))*(Rules!$A$5:$A$204&lt;&gt;"")*(1000-ROW(Rules!$A$5:$A$204)))),""))</f>
        <v/>
      </c>
    </row>
    <row r="2492" customFormat="false" ht="15" hidden="false" customHeight="false" outlineLevel="0" collapsed="false">
      <c r="A2492" s="23"/>
      <c r="B2492" s="24"/>
      <c r="C2492" s="25"/>
      <c r="D2492" s="24"/>
      <c r="E2492" s="21" t="str">
        <f aca="false">IF(OR(B2492="",N(N2492)=0,N2492=1000),IF(B2492="","","Check"),INDEX(Rules!$B:$B,N2492))</f>
        <v/>
      </c>
      <c r="F2492" s="21" t="str">
        <f aca="false">IF(OR(B2492="",N(N2492)=0,N2492=1000),"",INDEX(Rules!$C:$C,N2492))</f>
        <v/>
      </c>
      <c r="G2492" s="24"/>
      <c r="H2492" s="24"/>
      <c r="I2492" s="20" t="str">
        <f aca="false">IF(B2492="","",IF(G2492&lt;&gt;"",G2492,E2492))</f>
        <v/>
      </c>
      <c r="J2492" s="21" t="str">
        <f aca="false">IF(B2492="","",IF(H2492&lt;&gt;"",H2492,F2492))</f>
        <v/>
      </c>
      <c r="K2492" s="26" t="str">
        <f aca="false">IF(A2492="","",DATE(YEAR(A2492),MONTH(A2492),1))</f>
        <v/>
      </c>
      <c r="L2492" s="21" t="str">
        <f aca="false">IF(J2492="",IF(B2492="","",IF(N(C2492)&gt;=0,"Income","Expense")),IFERROR(INDEX(Lists!$B$2:$B$30,MATCH(J2492,Lists!$A$2:$A$30,0)),""))</f>
        <v/>
      </c>
      <c r="M2492" s="24"/>
      <c r="N2492" s="27" t="str">
        <f aca="false">IF(B2492="","",IFERROR(1000-SUMPRODUCT(MAX(ISNUMBER(SEARCH(Rules!$A$5:$A$204,B2492))*(Rules!$A$5:$A$204&lt;&gt;"")*(1000-ROW(Rules!$A$5:$A$204)))),""))</f>
        <v/>
      </c>
    </row>
    <row r="2493" customFormat="false" ht="15" hidden="false" customHeight="false" outlineLevel="0" collapsed="false">
      <c r="A2493" s="23"/>
      <c r="B2493" s="24"/>
      <c r="C2493" s="25"/>
      <c r="D2493" s="24"/>
      <c r="E2493" s="21" t="str">
        <f aca="false">IF(OR(B2493="",N(N2493)=0,N2493=1000),IF(B2493="","","Check"),INDEX(Rules!$B:$B,N2493))</f>
        <v/>
      </c>
      <c r="F2493" s="21" t="str">
        <f aca="false">IF(OR(B2493="",N(N2493)=0,N2493=1000),"",INDEX(Rules!$C:$C,N2493))</f>
        <v/>
      </c>
      <c r="G2493" s="24"/>
      <c r="H2493" s="24"/>
      <c r="I2493" s="20" t="str">
        <f aca="false">IF(B2493="","",IF(G2493&lt;&gt;"",G2493,E2493))</f>
        <v/>
      </c>
      <c r="J2493" s="21" t="str">
        <f aca="false">IF(B2493="","",IF(H2493&lt;&gt;"",H2493,F2493))</f>
        <v/>
      </c>
      <c r="K2493" s="26" t="str">
        <f aca="false">IF(A2493="","",DATE(YEAR(A2493),MONTH(A2493),1))</f>
        <v/>
      </c>
      <c r="L2493" s="21" t="str">
        <f aca="false">IF(J2493="",IF(B2493="","",IF(N(C2493)&gt;=0,"Income","Expense")),IFERROR(INDEX(Lists!$B$2:$B$30,MATCH(J2493,Lists!$A$2:$A$30,0)),""))</f>
        <v/>
      </c>
      <c r="M2493" s="24"/>
      <c r="N2493" s="27" t="str">
        <f aca="false">IF(B2493="","",IFERROR(1000-SUMPRODUCT(MAX(ISNUMBER(SEARCH(Rules!$A$5:$A$204,B2493))*(Rules!$A$5:$A$204&lt;&gt;"")*(1000-ROW(Rules!$A$5:$A$204)))),""))</f>
        <v/>
      </c>
    </row>
    <row r="2494" customFormat="false" ht="15" hidden="false" customHeight="false" outlineLevel="0" collapsed="false">
      <c r="A2494" s="23"/>
      <c r="B2494" s="24"/>
      <c r="C2494" s="25"/>
      <c r="D2494" s="24"/>
      <c r="E2494" s="21" t="str">
        <f aca="false">IF(OR(B2494="",N(N2494)=0,N2494=1000),IF(B2494="","","Check"),INDEX(Rules!$B:$B,N2494))</f>
        <v/>
      </c>
      <c r="F2494" s="21" t="str">
        <f aca="false">IF(OR(B2494="",N(N2494)=0,N2494=1000),"",INDEX(Rules!$C:$C,N2494))</f>
        <v/>
      </c>
      <c r="G2494" s="24"/>
      <c r="H2494" s="24"/>
      <c r="I2494" s="20" t="str">
        <f aca="false">IF(B2494="","",IF(G2494&lt;&gt;"",G2494,E2494))</f>
        <v/>
      </c>
      <c r="J2494" s="21" t="str">
        <f aca="false">IF(B2494="","",IF(H2494&lt;&gt;"",H2494,F2494))</f>
        <v/>
      </c>
      <c r="K2494" s="26" t="str">
        <f aca="false">IF(A2494="","",DATE(YEAR(A2494),MONTH(A2494),1))</f>
        <v/>
      </c>
      <c r="L2494" s="21" t="str">
        <f aca="false">IF(J2494="",IF(B2494="","",IF(N(C2494)&gt;=0,"Income","Expense")),IFERROR(INDEX(Lists!$B$2:$B$30,MATCH(J2494,Lists!$A$2:$A$30,0)),""))</f>
        <v/>
      </c>
      <c r="M2494" s="24"/>
      <c r="N2494" s="27" t="str">
        <f aca="false">IF(B2494="","",IFERROR(1000-SUMPRODUCT(MAX(ISNUMBER(SEARCH(Rules!$A$5:$A$204,B2494))*(Rules!$A$5:$A$204&lt;&gt;"")*(1000-ROW(Rules!$A$5:$A$204)))),""))</f>
        <v/>
      </c>
    </row>
    <row r="2495" customFormat="false" ht="15" hidden="false" customHeight="false" outlineLevel="0" collapsed="false">
      <c r="A2495" s="23"/>
      <c r="B2495" s="24"/>
      <c r="C2495" s="25"/>
      <c r="D2495" s="24"/>
      <c r="E2495" s="21" t="str">
        <f aca="false">IF(OR(B2495="",N(N2495)=0,N2495=1000),IF(B2495="","","Check"),INDEX(Rules!$B:$B,N2495))</f>
        <v/>
      </c>
      <c r="F2495" s="21" t="str">
        <f aca="false">IF(OR(B2495="",N(N2495)=0,N2495=1000),"",INDEX(Rules!$C:$C,N2495))</f>
        <v/>
      </c>
      <c r="G2495" s="24"/>
      <c r="H2495" s="24"/>
      <c r="I2495" s="20" t="str">
        <f aca="false">IF(B2495="","",IF(G2495&lt;&gt;"",G2495,E2495))</f>
        <v/>
      </c>
      <c r="J2495" s="21" t="str">
        <f aca="false">IF(B2495="","",IF(H2495&lt;&gt;"",H2495,F2495))</f>
        <v/>
      </c>
      <c r="K2495" s="26" t="str">
        <f aca="false">IF(A2495="","",DATE(YEAR(A2495),MONTH(A2495),1))</f>
        <v/>
      </c>
      <c r="L2495" s="21" t="str">
        <f aca="false">IF(J2495="",IF(B2495="","",IF(N(C2495)&gt;=0,"Income","Expense")),IFERROR(INDEX(Lists!$B$2:$B$30,MATCH(J2495,Lists!$A$2:$A$30,0)),""))</f>
        <v/>
      </c>
      <c r="M2495" s="24"/>
      <c r="N2495" s="27" t="str">
        <f aca="false">IF(B2495="","",IFERROR(1000-SUMPRODUCT(MAX(ISNUMBER(SEARCH(Rules!$A$5:$A$204,B2495))*(Rules!$A$5:$A$204&lt;&gt;"")*(1000-ROW(Rules!$A$5:$A$204)))),""))</f>
        <v/>
      </c>
    </row>
    <row r="2496" customFormat="false" ht="15" hidden="false" customHeight="false" outlineLevel="0" collapsed="false">
      <c r="A2496" s="23"/>
      <c r="B2496" s="24"/>
      <c r="C2496" s="25"/>
      <c r="D2496" s="24"/>
      <c r="E2496" s="21" t="str">
        <f aca="false">IF(OR(B2496="",N(N2496)=0,N2496=1000),IF(B2496="","","Check"),INDEX(Rules!$B:$B,N2496))</f>
        <v/>
      </c>
      <c r="F2496" s="21" t="str">
        <f aca="false">IF(OR(B2496="",N(N2496)=0,N2496=1000),"",INDEX(Rules!$C:$C,N2496))</f>
        <v/>
      </c>
      <c r="G2496" s="24"/>
      <c r="H2496" s="24"/>
      <c r="I2496" s="20" t="str">
        <f aca="false">IF(B2496="","",IF(G2496&lt;&gt;"",G2496,E2496))</f>
        <v/>
      </c>
      <c r="J2496" s="21" t="str">
        <f aca="false">IF(B2496="","",IF(H2496&lt;&gt;"",H2496,F2496))</f>
        <v/>
      </c>
      <c r="K2496" s="26" t="str">
        <f aca="false">IF(A2496="","",DATE(YEAR(A2496),MONTH(A2496),1))</f>
        <v/>
      </c>
      <c r="L2496" s="21" t="str">
        <f aca="false">IF(J2496="",IF(B2496="","",IF(N(C2496)&gt;=0,"Income","Expense")),IFERROR(INDEX(Lists!$B$2:$B$30,MATCH(J2496,Lists!$A$2:$A$30,0)),""))</f>
        <v/>
      </c>
      <c r="M2496" s="24"/>
      <c r="N2496" s="27" t="str">
        <f aca="false">IF(B2496="","",IFERROR(1000-SUMPRODUCT(MAX(ISNUMBER(SEARCH(Rules!$A$5:$A$204,B2496))*(Rules!$A$5:$A$204&lt;&gt;"")*(1000-ROW(Rules!$A$5:$A$204)))),""))</f>
        <v/>
      </c>
    </row>
    <row r="2497" customFormat="false" ht="15" hidden="false" customHeight="false" outlineLevel="0" collapsed="false">
      <c r="A2497" s="23"/>
      <c r="B2497" s="24"/>
      <c r="C2497" s="25"/>
      <c r="D2497" s="24"/>
      <c r="E2497" s="21" t="str">
        <f aca="false">IF(OR(B2497="",N(N2497)=0,N2497=1000),IF(B2497="","","Check"),INDEX(Rules!$B:$B,N2497))</f>
        <v/>
      </c>
      <c r="F2497" s="21" t="str">
        <f aca="false">IF(OR(B2497="",N(N2497)=0,N2497=1000),"",INDEX(Rules!$C:$C,N2497))</f>
        <v/>
      </c>
      <c r="G2497" s="24"/>
      <c r="H2497" s="24"/>
      <c r="I2497" s="20" t="str">
        <f aca="false">IF(B2497="","",IF(G2497&lt;&gt;"",G2497,E2497))</f>
        <v/>
      </c>
      <c r="J2497" s="21" t="str">
        <f aca="false">IF(B2497="","",IF(H2497&lt;&gt;"",H2497,F2497))</f>
        <v/>
      </c>
      <c r="K2497" s="26" t="str">
        <f aca="false">IF(A2497="","",DATE(YEAR(A2497),MONTH(A2497),1))</f>
        <v/>
      </c>
      <c r="L2497" s="21" t="str">
        <f aca="false">IF(J2497="",IF(B2497="","",IF(N(C2497)&gt;=0,"Income","Expense")),IFERROR(INDEX(Lists!$B$2:$B$30,MATCH(J2497,Lists!$A$2:$A$30,0)),""))</f>
        <v/>
      </c>
      <c r="M2497" s="24"/>
      <c r="N2497" s="27" t="str">
        <f aca="false">IF(B2497="","",IFERROR(1000-SUMPRODUCT(MAX(ISNUMBER(SEARCH(Rules!$A$5:$A$204,B2497))*(Rules!$A$5:$A$204&lt;&gt;"")*(1000-ROW(Rules!$A$5:$A$204)))),""))</f>
        <v/>
      </c>
    </row>
    <row r="2498" customFormat="false" ht="15" hidden="false" customHeight="false" outlineLevel="0" collapsed="false">
      <c r="A2498" s="23"/>
      <c r="B2498" s="24"/>
      <c r="C2498" s="25"/>
      <c r="D2498" s="24"/>
      <c r="E2498" s="21" t="str">
        <f aca="false">IF(OR(B2498="",N(N2498)=0,N2498=1000),IF(B2498="","","Check"),INDEX(Rules!$B:$B,N2498))</f>
        <v/>
      </c>
      <c r="F2498" s="21" t="str">
        <f aca="false">IF(OR(B2498="",N(N2498)=0,N2498=1000),"",INDEX(Rules!$C:$C,N2498))</f>
        <v/>
      </c>
      <c r="G2498" s="24"/>
      <c r="H2498" s="24"/>
      <c r="I2498" s="20" t="str">
        <f aca="false">IF(B2498="","",IF(G2498&lt;&gt;"",G2498,E2498))</f>
        <v/>
      </c>
      <c r="J2498" s="21" t="str">
        <f aca="false">IF(B2498="","",IF(H2498&lt;&gt;"",H2498,F2498))</f>
        <v/>
      </c>
      <c r="K2498" s="26" t="str">
        <f aca="false">IF(A2498="","",DATE(YEAR(A2498),MONTH(A2498),1))</f>
        <v/>
      </c>
      <c r="L2498" s="21" t="str">
        <f aca="false">IF(J2498="",IF(B2498="","",IF(N(C2498)&gt;=0,"Income","Expense")),IFERROR(INDEX(Lists!$B$2:$B$30,MATCH(J2498,Lists!$A$2:$A$30,0)),""))</f>
        <v/>
      </c>
      <c r="M2498" s="24"/>
      <c r="N2498" s="27" t="str">
        <f aca="false">IF(B2498="","",IFERROR(1000-SUMPRODUCT(MAX(ISNUMBER(SEARCH(Rules!$A$5:$A$204,B2498))*(Rules!$A$5:$A$204&lt;&gt;"")*(1000-ROW(Rules!$A$5:$A$204)))),""))</f>
        <v/>
      </c>
    </row>
    <row r="2499" customFormat="false" ht="15" hidden="false" customHeight="false" outlineLevel="0" collapsed="false">
      <c r="A2499" s="23"/>
      <c r="B2499" s="24"/>
      <c r="C2499" s="25"/>
      <c r="D2499" s="24"/>
      <c r="E2499" s="21" t="str">
        <f aca="false">IF(OR(B2499="",N(N2499)=0,N2499=1000),IF(B2499="","","Check"),INDEX(Rules!$B:$B,N2499))</f>
        <v/>
      </c>
      <c r="F2499" s="21" t="str">
        <f aca="false">IF(OR(B2499="",N(N2499)=0,N2499=1000),"",INDEX(Rules!$C:$C,N2499))</f>
        <v/>
      </c>
      <c r="G2499" s="24"/>
      <c r="H2499" s="24"/>
      <c r="I2499" s="20" t="str">
        <f aca="false">IF(B2499="","",IF(G2499&lt;&gt;"",G2499,E2499))</f>
        <v/>
      </c>
      <c r="J2499" s="21" t="str">
        <f aca="false">IF(B2499="","",IF(H2499&lt;&gt;"",H2499,F2499))</f>
        <v/>
      </c>
      <c r="K2499" s="26" t="str">
        <f aca="false">IF(A2499="","",DATE(YEAR(A2499),MONTH(A2499),1))</f>
        <v/>
      </c>
      <c r="L2499" s="21" t="str">
        <f aca="false">IF(J2499="",IF(B2499="","",IF(N(C2499)&gt;=0,"Income","Expense")),IFERROR(INDEX(Lists!$B$2:$B$30,MATCH(J2499,Lists!$A$2:$A$30,0)),""))</f>
        <v/>
      </c>
      <c r="M2499" s="24"/>
      <c r="N2499" s="27" t="str">
        <f aca="false">IF(B2499="","",IFERROR(1000-SUMPRODUCT(MAX(ISNUMBER(SEARCH(Rules!$A$5:$A$204,B2499))*(Rules!$A$5:$A$204&lt;&gt;"")*(1000-ROW(Rules!$A$5:$A$204)))),""))</f>
        <v/>
      </c>
    </row>
    <row r="2500" customFormat="false" ht="15" hidden="false" customHeight="false" outlineLevel="0" collapsed="false">
      <c r="A2500" s="23"/>
      <c r="B2500" s="24"/>
      <c r="C2500" s="25"/>
      <c r="D2500" s="24"/>
      <c r="E2500" s="21" t="str">
        <f aca="false">IF(OR(B2500="",N(N2500)=0,N2500=1000),IF(B2500="","","Check"),INDEX(Rules!$B:$B,N2500))</f>
        <v/>
      </c>
      <c r="F2500" s="21" t="str">
        <f aca="false">IF(OR(B2500="",N(N2500)=0,N2500=1000),"",INDEX(Rules!$C:$C,N2500))</f>
        <v/>
      </c>
      <c r="G2500" s="24"/>
      <c r="H2500" s="24"/>
      <c r="I2500" s="20" t="str">
        <f aca="false">IF(B2500="","",IF(G2500&lt;&gt;"",G2500,E2500))</f>
        <v/>
      </c>
      <c r="J2500" s="21" t="str">
        <f aca="false">IF(B2500="","",IF(H2500&lt;&gt;"",H2500,F2500))</f>
        <v/>
      </c>
      <c r="K2500" s="26" t="str">
        <f aca="false">IF(A2500="","",DATE(YEAR(A2500),MONTH(A2500),1))</f>
        <v/>
      </c>
      <c r="L2500" s="21" t="str">
        <f aca="false">IF(J2500="",IF(B2500="","",IF(N(C2500)&gt;=0,"Income","Expense")),IFERROR(INDEX(Lists!$B$2:$B$30,MATCH(J2500,Lists!$A$2:$A$30,0)),""))</f>
        <v/>
      </c>
      <c r="M2500" s="24"/>
      <c r="N2500" s="27" t="str">
        <f aca="false">IF(B2500="","",IFERROR(1000-SUMPRODUCT(MAX(ISNUMBER(SEARCH(Rules!$A$5:$A$204,B2500))*(Rules!$A$5:$A$204&lt;&gt;"")*(1000-ROW(Rules!$A$5:$A$204)))),""))</f>
        <v/>
      </c>
    </row>
    <row r="2501" customFormat="false" ht="15" hidden="false" customHeight="false" outlineLevel="0" collapsed="false">
      <c r="A2501" s="23"/>
      <c r="B2501" s="24"/>
      <c r="C2501" s="25"/>
      <c r="D2501" s="24"/>
      <c r="E2501" s="21" t="str">
        <f aca="false">IF(OR(B2501="",N(N2501)=0,N2501=1000),IF(B2501="","","Check"),INDEX(Rules!$B:$B,N2501))</f>
        <v/>
      </c>
      <c r="F2501" s="21" t="str">
        <f aca="false">IF(OR(B2501="",N(N2501)=0,N2501=1000),"",INDEX(Rules!$C:$C,N2501))</f>
        <v/>
      </c>
      <c r="G2501" s="24"/>
      <c r="H2501" s="24"/>
      <c r="I2501" s="20" t="str">
        <f aca="false">IF(B2501="","",IF(G2501&lt;&gt;"",G2501,E2501))</f>
        <v/>
      </c>
      <c r="J2501" s="21" t="str">
        <f aca="false">IF(B2501="","",IF(H2501&lt;&gt;"",H2501,F2501))</f>
        <v/>
      </c>
      <c r="K2501" s="26" t="str">
        <f aca="false">IF(A2501="","",DATE(YEAR(A2501),MONTH(A2501),1))</f>
        <v/>
      </c>
      <c r="L2501" s="21" t="str">
        <f aca="false">IF(J2501="",IF(B2501="","",IF(N(C2501)&gt;=0,"Income","Expense")),IFERROR(INDEX(Lists!$B$2:$B$30,MATCH(J2501,Lists!$A$2:$A$30,0)),""))</f>
        <v/>
      </c>
      <c r="M2501" s="24"/>
      <c r="N2501" s="27" t="str">
        <f aca="false">IF(B2501="","",IFERROR(1000-SUMPRODUCT(MAX(ISNUMBER(SEARCH(Rules!$A$5:$A$204,B2501))*(Rules!$A$5:$A$204&lt;&gt;"")*(1000-ROW(Rules!$A$5:$A$204)))),""))</f>
        <v/>
      </c>
    </row>
    <row r="2502" customFormat="false" ht="15" hidden="false" customHeight="false" outlineLevel="0" collapsed="false">
      <c r="A2502" s="23"/>
      <c r="B2502" s="24"/>
      <c r="C2502" s="25"/>
      <c r="D2502" s="24"/>
      <c r="E2502" s="21" t="str">
        <f aca="false">IF(OR(B2502="",N(N2502)=0,N2502=1000),IF(B2502="","","Check"),INDEX(Rules!$B:$B,N2502))</f>
        <v/>
      </c>
      <c r="F2502" s="21" t="str">
        <f aca="false">IF(OR(B2502="",N(N2502)=0,N2502=1000),"",INDEX(Rules!$C:$C,N2502))</f>
        <v/>
      </c>
      <c r="G2502" s="24"/>
      <c r="H2502" s="24"/>
      <c r="I2502" s="20" t="str">
        <f aca="false">IF(B2502="","",IF(G2502&lt;&gt;"",G2502,E2502))</f>
        <v/>
      </c>
      <c r="J2502" s="21" t="str">
        <f aca="false">IF(B2502="","",IF(H2502&lt;&gt;"",H2502,F2502))</f>
        <v/>
      </c>
      <c r="K2502" s="26" t="str">
        <f aca="false">IF(A2502="","",DATE(YEAR(A2502),MONTH(A2502),1))</f>
        <v/>
      </c>
      <c r="L2502" s="21" t="str">
        <f aca="false">IF(J2502="",IF(B2502="","",IF(N(C2502)&gt;=0,"Income","Expense")),IFERROR(INDEX(Lists!$B$2:$B$30,MATCH(J2502,Lists!$A$2:$A$30,0)),""))</f>
        <v/>
      </c>
      <c r="M2502" s="24"/>
      <c r="N2502" s="27" t="str">
        <f aca="false">IF(B2502="","",IFERROR(1000-SUMPRODUCT(MAX(ISNUMBER(SEARCH(Rules!$A$5:$A$204,B2502))*(Rules!$A$5:$A$204&lt;&gt;"")*(1000-ROW(Rules!$A$5:$A$204)))),""))</f>
        <v/>
      </c>
    </row>
    <row r="2503" customFormat="false" ht="15" hidden="false" customHeight="false" outlineLevel="0" collapsed="false">
      <c r="A2503" s="23"/>
      <c r="B2503" s="24"/>
      <c r="C2503" s="25"/>
      <c r="D2503" s="24"/>
      <c r="E2503" s="21" t="str">
        <f aca="false">IF(OR(B2503="",N(N2503)=0,N2503=1000),IF(B2503="","","Check"),INDEX(Rules!$B:$B,N2503))</f>
        <v/>
      </c>
      <c r="F2503" s="21" t="str">
        <f aca="false">IF(OR(B2503="",N(N2503)=0,N2503=1000),"",INDEX(Rules!$C:$C,N2503))</f>
        <v/>
      </c>
      <c r="G2503" s="24"/>
      <c r="H2503" s="24"/>
      <c r="I2503" s="20" t="str">
        <f aca="false">IF(B2503="","",IF(G2503&lt;&gt;"",G2503,E2503))</f>
        <v/>
      </c>
      <c r="J2503" s="21" t="str">
        <f aca="false">IF(B2503="","",IF(H2503&lt;&gt;"",H2503,F2503))</f>
        <v/>
      </c>
      <c r="K2503" s="26" t="str">
        <f aca="false">IF(A2503="","",DATE(YEAR(A2503),MONTH(A2503),1))</f>
        <v/>
      </c>
      <c r="L2503" s="21" t="str">
        <f aca="false">IF(J2503="",IF(B2503="","",IF(N(C2503)&gt;=0,"Income","Expense")),IFERROR(INDEX(Lists!$B$2:$B$30,MATCH(J2503,Lists!$A$2:$A$30,0)),""))</f>
        <v/>
      </c>
      <c r="M2503" s="24"/>
      <c r="N2503" s="27" t="str">
        <f aca="false">IF(B2503="","",IFERROR(1000-SUMPRODUCT(MAX(ISNUMBER(SEARCH(Rules!$A$5:$A$204,B2503))*(Rules!$A$5:$A$204&lt;&gt;"")*(1000-ROW(Rules!$A$5:$A$204)))),""))</f>
        <v/>
      </c>
    </row>
    <row r="2504" customFormat="false" ht="15" hidden="false" customHeight="false" outlineLevel="0" collapsed="false">
      <c r="A2504" s="23"/>
      <c r="B2504" s="24"/>
      <c r="C2504" s="25"/>
      <c r="D2504" s="24"/>
      <c r="E2504" s="21" t="str">
        <f aca="false">IF(OR(B2504="",N(N2504)=0,N2504=1000),IF(B2504="","","Check"),INDEX(Rules!$B:$B,N2504))</f>
        <v/>
      </c>
      <c r="F2504" s="21" t="str">
        <f aca="false">IF(OR(B2504="",N(N2504)=0,N2504=1000),"",INDEX(Rules!$C:$C,N2504))</f>
        <v/>
      </c>
      <c r="G2504" s="24"/>
      <c r="H2504" s="24"/>
      <c r="I2504" s="20" t="str">
        <f aca="false">IF(B2504="","",IF(G2504&lt;&gt;"",G2504,E2504))</f>
        <v/>
      </c>
      <c r="J2504" s="21" t="str">
        <f aca="false">IF(B2504="","",IF(H2504&lt;&gt;"",H2504,F2504))</f>
        <v/>
      </c>
      <c r="K2504" s="26" t="str">
        <f aca="false">IF(A2504="","",DATE(YEAR(A2504),MONTH(A2504),1))</f>
        <v/>
      </c>
      <c r="L2504" s="21" t="str">
        <f aca="false">IF(J2504="",IF(B2504="","",IF(N(C2504)&gt;=0,"Income","Expense")),IFERROR(INDEX(Lists!$B$2:$B$30,MATCH(J2504,Lists!$A$2:$A$30,0)),""))</f>
        <v/>
      </c>
      <c r="M2504" s="24"/>
      <c r="N2504" s="27" t="str">
        <f aca="false">IF(B2504="","",IFERROR(1000-SUMPRODUCT(MAX(ISNUMBER(SEARCH(Rules!$A$5:$A$204,B2504))*(Rules!$A$5:$A$204&lt;&gt;"")*(1000-ROW(Rules!$A$5:$A$204)))),""))</f>
        <v/>
      </c>
    </row>
    <row r="2505" customFormat="false" ht="15" hidden="false" customHeight="false" outlineLevel="0" collapsed="false">
      <c r="A2505" s="23"/>
      <c r="B2505" s="24"/>
      <c r="C2505" s="25"/>
      <c r="D2505" s="24"/>
      <c r="E2505" s="21" t="str">
        <f aca="false">IF(OR(B2505="",N(N2505)=0,N2505=1000),IF(B2505="","","Check"),INDEX(Rules!$B:$B,N2505))</f>
        <v/>
      </c>
      <c r="F2505" s="21" t="str">
        <f aca="false">IF(OR(B2505="",N(N2505)=0,N2505=1000),"",INDEX(Rules!$C:$C,N2505))</f>
        <v/>
      </c>
      <c r="G2505" s="24"/>
      <c r="H2505" s="24"/>
      <c r="I2505" s="20" t="str">
        <f aca="false">IF(B2505="","",IF(G2505&lt;&gt;"",G2505,E2505))</f>
        <v/>
      </c>
      <c r="J2505" s="21" t="str">
        <f aca="false">IF(B2505="","",IF(H2505&lt;&gt;"",H2505,F2505))</f>
        <v/>
      </c>
      <c r="K2505" s="26" t="str">
        <f aca="false">IF(A2505="","",DATE(YEAR(A2505),MONTH(A2505),1))</f>
        <v/>
      </c>
      <c r="L2505" s="21" t="str">
        <f aca="false">IF(J2505="",IF(B2505="","",IF(N(C2505)&gt;=0,"Income","Expense")),IFERROR(INDEX(Lists!$B$2:$B$30,MATCH(J2505,Lists!$A$2:$A$30,0)),""))</f>
        <v/>
      </c>
      <c r="M2505" s="24"/>
      <c r="N2505" s="27" t="str">
        <f aca="false">IF(B2505="","",IFERROR(1000-SUMPRODUCT(MAX(ISNUMBER(SEARCH(Rules!$A$5:$A$204,B2505))*(Rules!$A$5:$A$204&lt;&gt;"")*(1000-ROW(Rules!$A$5:$A$204)))),""))</f>
        <v/>
      </c>
    </row>
    <row r="2506" customFormat="false" ht="15" hidden="false" customHeight="false" outlineLevel="0" collapsed="false">
      <c r="A2506" s="23"/>
      <c r="B2506" s="24"/>
      <c r="C2506" s="25"/>
      <c r="D2506" s="24"/>
      <c r="E2506" s="21" t="str">
        <f aca="false">IF(OR(B2506="",N(N2506)=0,N2506=1000),IF(B2506="","","Check"),INDEX(Rules!$B:$B,N2506))</f>
        <v/>
      </c>
      <c r="F2506" s="21" t="str">
        <f aca="false">IF(OR(B2506="",N(N2506)=0,N2506=1000),"",INDEX(Rules!$C:$C,N2506))</f>
        <v/>
      </c>
      <c r="G2506" s="24"/>
      <c r="H2506" s="24"/>
      <c r="I2506" s="20" t="str">
        <f aca="false">IF(B2506="","",IF(G2506&lt;&gt;"",G2506,E2506))</f>
        <v/>
      </c>
      <c r="J2506" s="21" t="str">
        <f aca="false">IF(B2506="","",IF(H2506&lt;&gt;"",H2506,F2506))</f>
        <v/>
      </c>
      <c r="K2506" s="26" t="str">
        <f aca="false">IF(A2506="","",DATE(YEAR(A2506),MONTH(A2506),1))</f>
        <v/>
      </c>
      <c r="L2506" s="21" t="str">
        <f aca="false">IF(J2506="",IF(B2506="","",IF(N(C2506)&gt;=0,"Income","Expense")),IFERROR(INDEX(Lists!$B$2:$B$30,MATCH(J2506,Lists!$A$2:$A$30,0)),""))</f>
        <v/>
      </c>
      <c r="M2506" s="24"/>
      <c r="N2506" s="27" t="str">
        <f aca="false">IF(B2506="","",IFERROR(1000-SUMPRODUCT(MAX(ISNUMBER(SEARCH(Rules!$A$5:$A$204,B2506))*(Rules!$A$5:$A$204&lt;&gt;"")*(1000-ROW(Rules!$A$5:$A$204)))),""))</f>
        <v/>
      </c>
    </row>
    <row r="2507" customFormat="false" ht="15" hidden="false" customHeight="false" outlineLevel="0" collapsed="false">
      <c r="A2507" s="23"/>
      <c r="B2507" s="24"/>
      <c r="C2507" s="25"/>
      <c r="D2507" s="24"/>
      <c r="E2507" s="21" t="str">
        <f aca="false">IF(OR(B2507="",N(N2507)=0,N2507=1000),IF(B2507="","","Check"),INDEX(Rules!$B:$B,N2507))</f>
        <v/>
      </c>
      <c r="F2507" s="21" t="str">
        <f aca="false">IF(OR(B2507="",N(N2507)=0,N2507=1000),"",INDEX(Rules!$C:$C,N2507))</f>
        <v/>
      </c>
      <c r="G2507" s="24"/>
      <c r="H2507" s="24"/>
      <c r="I2507" s="20" t="str">
        <f aca="false">IF(B2507="","",IF(G2507&lt;&gt;"",G2507,E2507))</f>
        <v/>
      </c>
      <c r="J2507" s="21" t="str">
        <f aca="false">IF(B2507="","",IF(H2507&lt;&gt;"",H2507,F2507))</f>
        <v/>
      </c>
      <c r="K2507" s="26" t="str">
        <f aca="false">IF(A2507="","",DATE(YEAR(A2507),MONTH(A2507),1))</f>
        <v/>
      </c>
      <c r="L2507" s="21" t="str">
        <f aca="false">IF(J2507="",IF(B2507="","",IF(N(C2507)&gt;=0,"Income","Expense")),IFERROR(INDEX(Lists!$B$2:$B$30,MATCH(J2507,Lists!$A$2:$A$30,0)),""))</f>
        <v/>
      </c>
      <c r="M2507" s="24"/>
      <c r="N2507" s="27" t="str">
        <f aca="false">IF(B2507="","",IFERROR(1000-SUMPRODUCT(MAX(ISNUMBER(SEARCH(Rules!$A$5:$A$204,B2507))*(Rules!$A$5:$A$204&lt;&gt;"")*(1000-ROW(Rules!$A$5:$A$204)))),""))</f>
        <v/>
      </c>
    </row>
    <row r="2508" customFormat="false" ht="15" hidden="false" customHeight="false" outlineLevel="0" collapsed="false">
      <c r="A2508" s="23"/>
      <c r="B2508" s="24"/>
      <c r="C2508" s="25"/>
      <c r="D2508" s="24"/>
      <c r="E2508" s="21" t="str">
        <f aca="false">IF(OR(B2508="",N(N2508)=0,N2508=1000),IF(B2508="","","Check"),INDEX(Rules!$B:$B,N2508))</f>
        <v/>
      </c>
      <c r="F2508" s="21" t="str">
        <f aca="false">IF(OR(B2508="",N(N2508)=0,N2508=1000),"",INDEX(Rules!$C:$C,N2508))</f>
        <v/>
      </c>
      <c r="G2508" s="24"/>
      <c r="H2508" s="24"/>
      <c r="I2508" s="20" t="str">
        <f aca="false">IF(B2508="","",IF(G2508&lt;&gt;"",G2508,E2508))</f>
        <v/>
      </c>
      <c r="J2508" s="21" t="str">
        <f aca="false">IF(B2508="","",IF(H2508&lt;&gt;"",H2508,F2508))</f>
        <v/>
      </c>
      <c r="K2508" s="26" t="str">
        <f aca="false">IF(A2508="","",DATE(YEAR(A2508),MONTH(A2508),1))</f>
        <v/>
      </c>
      <c r="L2508" s="21" t="str">
        <f aca="false">IF(J2508="",IF(B2508="","",IF(N(C2508)&gt;=0,"Income","Expense")),IFERROR(INDEX(Lists!$B$2:$B$30,MATCH(J2508,Lists!$A$2:$A$30,0)),""))</f>
        <v/>
      </c>
      <c r="M2508" s="24"/>
      <c r="N2508" s="27" t="str">
        <f aca="false">IF(B2508="","",IFERROR(1000-SUMPRODUCT(MAX(ISNUMBER(SEARCH(Rules!$A$5:$A$204,B2508))*(Rules!$A$5:$A$204&lt;&gt;"")*(1000-ROW(Rules!$A$5:$A$204)))),""))</f>
        <v/>
      </c>
    </row>
    <row r="2509" customFormat="false" ht="15" hidden="false" customHeight="false" outlineLevel="0" collapsed="false">
      <c r="A2509" s="23"/>
      <c r="B2509" s="24"/>
      <c r="C2509" s="25"/>
      <c r="D2509" s="24"/>
      <c r="E2509" s="21" t="str">
        <f aca="false">IF(OR(B2509="",N(N2509)=0,N2509=1000),IF(B2509="","","Check"),INDEX(Rules!$B:$B,N2509))</f>
        <v/>
      </c>
      <c r="F2509" s="21" t="str">
        <f aca="false">IF(OR(B2509="",N(N2509)=0,N2509=1000),"",INDEX(Rules!$C:$C,N2509))</f>
        <v/>
      </c>
      <c r="G2509" s="24"/>
      <c r="H2509" s="24"/>
      <c r="I2509" s="20" t="str">
        <f aca="false">IF(B2509="","",IF(G2509&lt;&gt;"",G2509,E2509))</f>
        <v/>
      </c>
      <c r="J2509" s="21" t="str">
        <f aca="false">IF(B2509="","",IF(H2509&lt;&gt;"",H2509,F2509))</f>
        <v/>
      </c>
      <c r="K2509" s="26" t="str">
        <f aca="false">IF(A2509="","",DATE(YEAR(A2509),MONTH(A2509),1))</f>
        <v/>
      </c>
      <c r="L2509" s="21" t="str">
        <f aca="false">IF(J2509="",IF(B2509="","",IF(N(C2509)&gt;=0,"Income","Expense")),IFERROR(INDEX(Lists!$B$2:$B$30,MATCH(J2509,Lists!$A$2:$A$30,0)),""))</f>
        <v/>
      </c>
      <c r="M2509" s="24"/>
      <c r="N2509" s="27" t="str">
        <f aca="false">IF(B2509="","",IFERROR(1000-SUMPRODUCT(MAX(ISNUMBER(SEARCH(Rules!$A$5:$A$204,B2509))*(Rules!$A$5:$A$204&lt;&gt;"")*(1000-ROW(Rules!$A$5:$A$204)))),""))</f>
        <v/>
      </c>
    </row>
    <row r="2510" customFormat="false" ht="15" hidden="false" customHeight="false" outlineLevel="0" collapsed="false">
      <c r="A2510" s="23"/>
      <c r="B2510" s="24"/>
      <c r="C2510" s="25"/>
      <c r="D2510" s="24"/>
      <c r="E2510" s="21" t="str">
        <f aca="false">IF(OR(B2510="",N(N2510)=0,N2510=1000),IF(B2510="","","Check"),INDEX(Rules!$B:$B,N2510))</f>
        <v/>
      </c>
      <c r="F2510" s="21" t="str">
        <f aca="false">IF(OR(B2510="",N(N2510)=0,N2510=1000),"",INDEX(Rules!$C:$C,N2510))</f>
        <v/>
      </c>
      <c r="G2510" s="24"/>
      <c r="H2510" s="24"/>
      <c r="I2510" s="20" t="str">
        <f aca="false">IF(B2510="","",IF(G2510&lt;&gt;"",G2510,E2510))</f>
        <v/>
      </c>
      <c r="J2510" s="21" t="str">
        <f aca="false">IF(B2510="","",IF(H2510&lt;&gt;"",H2510,F2510))</f>
        <v/>
      </c>
      <c r="K2510" s="26" t="str">
        <f aca="false">IF(A2510="","",DATE(YEAR(A2510),MONTH(A2510),1))</f>
        <v/>
      </c>
      <c r="L2510" s="21" t="str">
        <f aca="false">IF(J2510="",IF(B2510="","",IF(N(C2510)&gt;=0,"Income","Expense")),IFERROR(INDEX(Lists!$B$2:$B$30,MATCH(J2510,Lists!$A$2:$A$30,0)),""))</f>
        <v/>
      </c>
      <c r="M2510" s="24"/>
      <c r="N2510" s="27" t="str">
        <f aca="false">IF(B2510="","",IFERROR(1000-SUMPRODUCT(MAX(ISNUMBER(SEARCH(Rules!$A$5:$A$204,B2510))*(Rules!$A$5:$A$204&lt;&gt;"")*(1000-ROW(Rules!$A$5:$A$204)))),""))</f>
        <v/>
      </c>
    </row>
    <row r="2511" customFormat="false" ht="15" hidden="false" customHeight="false" outlineLevel="0" collapsed="false">
      <c r="A2511" s="23"/>
      <c r="B2511" s="24"/>
      <c r="C2511" s="25"/>
      <c r="D2511" s="24"/>
      <c r="E2511" s="21" t="str">
        <f aca="false">IF(OR(B2511="",N(N2511)=0,N2511=1000),IF(B2511="","","Check"),INDEX(Rules!$B:$B,N2511))</f>
        <v/>
      </c>
      <c r="F2511" s="21" t="str">
        <f aca="false">IF(OR(B2511="",N(N2511)=0,N2511=1000),"",INDEX(Rules!$C:$C,N2511))</f>
        <v/>
      </c>
      <c r="G2511" s="24"/>
      <c r="H2511" s="24"/>
      <c r="I2511" s="20" t="str">
        <f aca="false">IF(B2511="","",IF(G2511&lt;&gt;"",G2511,E2511))</f>
        <v/>
      </c>
      <c r="J2511" s="21" t="str">
        <f aca="false">IF(B2511="","",IF(H2511&lt;&gt;"",H2511,F2511))</f>
        <v/>
      </c>
      <c r="K2511" s="26" t="str">
        <f aca="false">IF(A2511="","",DATE(YEAR(A2511),MONTH(A2511),1))</f>
        <v/>
      </c>
      <c r="L2511" s="21" t="str">
        <f aca="false">IF(J2511="",IF(B2511="","",IF(N(C2511)&gt;=0,"Income","Expense")),IFERROR(INDEX(Lists!$B$2:$B$30,MATCH(J2511,Lists!$A$2:$A$30,0)),""))</f>
        <v/>
      </c>
      <c r="M2511" s="24"/>
      <c r="N2511" s="27" t="str">
        <f aca="false">IF(B2511="","",IFERROR(1000-SUMPRODUCT(MAX(ISNUMBER(SEARCH(Rules!$A$5:$A$204,B2511))*(Rules!$A$5:$A$204&lt;&gt;"")*(1000-ROW(Rules!$A$5:$A$204)))),""))</f>
        <v/>
      </c>
    </row>
    <row r="2512" customFormat="false" ht="15" hidden="false" customHeight="false" outlineLevel="0" collapsed="false">
      <c r="A2512" s="23"/>
      <c r="B2512" s="24"/>
      <c r="C2512" s="25"/>
      <c r="D2512" s="24"/>
      <c r="E2512" s="21" t="str">
        <f aca="false">IF(OR(B2512="",N(N2512)=0,N2512=1000),IF(B2512="","","Check"),INDEX(Rules!$B:$B,N2512))</f>
        <v/>
      </c>
      <c r="F2512" s="21" t="str">
        <f aca="false">IF(OR(B2512="",N(N2512)=0,N2512=1000),"",INDEX(Rules!$C:$C,N2512))</f>
        <v/>
      </c>
      <c r="G2512" s="24"/>
      <c r="H2512" s="24"/>
      <c r="I2512" s="20" t="str">
        <f aca="false">IF(B2512="","",IF(G2512&lt;&gt;"",G2512,E2512))</f>
        <v/>
      </c>
      <c r="J2512" s="21" t="str">
        <f aca="false">IF(B2512="","",IF(H2512&lt;&gt;"",H2512,F2512))</f>
        <v/>
      </c>
      <c r="K2512" s="26" t="str">
        <f aca="false">IF(A2512="","",DATE(YEAR(A2512),MONTH(A2512),1))</f>
        <v/>
      </c>
      <c r="L2512" s="21" t="str">
        <f aca="false">IF(J2512="",IF(B2512="","",IF(N(C2512)&gt;=0,"Income","Expense")),IFERROR(INDEX(Lists!$B$2:$B$30,MATCH(J2512,Lists!$A$2:$A$30,0)),""))</f>
        <v/>
      </c>
      <c r="M2512" s="24"/>
      <c r="N2512" s="27" t="str">
        <f aca="false">IF(B2512="","",IFERROR(1000-SUMPRODUCT(MAX(ISNUMBER(SEARCH(Rules!$A$5:$A$204,B2512))*(Rules!$A$5:$A$204&lt;&gt;"")*(1000-ROW(Rules!$A$5:$A$204)))),""))</f>
        <v/>
      </c>
    </row>
    <row r="2513" customFormat="false" ht="15" hidden="false" customHeight="false" outlineLevel="0" collapsed="false">
      <c r="A2513" s="23"/>
      <c r="B2513" s="24"/>
      <c r="C2513" s="25"/>
      <c r="D2513" s="24"/>
      <c r="E2513" s="21" t="str">
        <f aca="false">IF(OR(B2513="",N(N2513)=0,N2513=1000),IF(B2513="","","Check"),INDEX(Rules!$B:$B,N2513))</f>
        <v/>
      </c>
      <c r="F2513" s="21" t="str">
        <f aca="false">IF(OR(B2513="",N(N2513)=0,N2513=1000),"",INDEX(Rules!$C:$C,N2513))</f>
        <v/>
      </c>
      <c r="G2513" s="24"/>
      <c r="H2513" s="24"/>
      <c r="I2513" s="20" t="str">
        <f aca="false">IF(B2513="","",IF(G2513&lt;&gt;"",G2513,E2513))</f>
        <v/>
      </c>
      <c r="J2513" s="21" t="str">
        <f aca="false">IF(B2513="","",IF(H2513&lt;&gt;"",H2513,F2513))</f>
        <v/>
      </c>
      <c r="K2513" s="26" t="str">
        <f aca="false">IF(A2513="","",DATE(YEAR(A2513),MONTH(A2513),1))</f>
        <v/>
      </c>
      <c r="L2513" s="21" t="str">
        <f aca="false">IF(J2513="",IF(B2513="","",IF(N(C2513)&gt;=0,"Income","Expense")),IFERROR(INDEX(Lists!$B$2:$B$30,MATCH(J2513,Lists!$A$2:$A$30,0)),""))</f>
        <v/>
      </c>
      <c r="M2513" s="24"/>
      <c r="N2513" s="27" t="str">
        <f aca="false">IF(B2513="","",IFERROR(1000-SUMPRODUCT(MAX(ISNUMBER(SEARCH(Rules!$A$5:$A$204,B2513))*(Rules!$A$5:$A$204&lt;&gt;"")*(1000-ROW(Rules!$A$5:$A$204)))),""))</f>
        <v/>
      </c>
    </row>
    <row r="2514" customFormat="false" ht="15" hidden="false" customHeight="false" outlineLevel="0" collapsed="false">
      <c r="A2514" s="23"/>
      <c r="B2514" s="24"/>
      <c r="C2514" s="25"/>
      <c r="D2514" s="24"/>
      <c r="E2514" s="21" t="str">
        <f aca="false">IF(OR(B2514="",N(N2514)=0,N2514=1000),IF(B2514="","","Check"),INDEX(Rules!$B:$B,N2514))</f>
        <v/>
      </c>
      <c r="F2514" s="21" t="str">
        <f aca="false">IF(OR(B2514="",N(N2514)=0,N2514=1000),"",INDEX(Rules!$C:$C,N2514))</f>
        <v/>
      </c>
      <c r="G2514" s="24"/>
      <c r="H2514" s="24"/>
      <c r="I2514" s="20" t="str">
        <f aca="false">IF(B2514="","",IF(G2514&lt;&gt;"",G2514,E2514))</f>
        <v/>
      </c>
      <c r="J2514" s="21" t="str">
        <f aca="false">IF(B2514="","",IF(H2514&lt;&gt;"",H2514,F2514))</f>
        <v/>
      </c>
      <c r="K2514" s="26" t="str">
        <f aca="false">IF(A2514="","",DATE(YEAR(A2514),MONTH(A2514),1))</f>
        <v/>
      </c>
      <c r="L2514" s="21" t="str">
        <f aca="false">IF(J2514="",IF(B2514="","",IF(N(C2514)&gt;=0,"Income","Expense")),IFERROR(INDEX(Lists!$B$2:$B$30,MATCH(J2514,Lists!$A$2:$A$30,0)),""))</f>
        <v/>
      </c>
      <c r="M2514" s="24"/>
      <c r="N2514" s="27" t="str">
        <f aca="false">IF(B2514="","",IFERROR(1000-SUMPRODUCT(MAX(ISNUMBER(SEARCH(Rules!$A$5:$A$204,B2514))*(Rules!$A$5:$A$204&lt;&gt;"")*(1000-ROW(Rules!$A$5:$A$204)))),""))</f>
        <v/>
      </c>
    </row>
    <row r="2515" customFormat="false" ht="15" hidden="false" customHeight="false" outlineLevel="0" collapsed="false">
      <c r="A2515" s="23"/>
      <c r="B2515" s="24"/>
      <c r="C2515" s="25"/>
      <c r="D2515" s="24"/>
      <c r="E2515" s="21" t="str">
        <f aca="false">IF(OR(B2515="",N(N2515)=0,N2515=1000),IF(B2515="","","Check"),INDEX(Rules!$B:$B,N2515))</f>
        <v/>
      </c>
      <c r="F2515" s="21" t="str">
        <f aca="false">IF(OR(B2515="",N(N2515)=0,N2515=1000),"",INDEX(Rules!$C:$C,N2515))</f>
        <v/>
      </c>
      <c r="G2515" s="24"/>
      <c r="H2515" s="24"/>
      <c r="I2515" s="20" t="str">
        <f aca="false">IF(B2515="","",IF(G2515&lt;&gt;"",G2515,E2515))</f>
        <v/>
      </c>
      <c r="J2515" s="21" t="str">
        <f aca="false">IF(B2515="","",IF(H2515&lt;&gt;"",H2515,F2515))</f>
        <v/>
      </c>
      <c r="K2515" s="26" t="str">
        <f aca="false">IF(A2515="","",DATE(YEAR(A2515),MONTH(A2515),1))</f>
        <v/>
      </c>
      <c r="L2515" s="21" t="str">
        <f aca="false">IF(J2515="",IF(B2515="","",IF(N(C2515)&gt;=0,"Income","Expense")),IFERROR(INDEX(Lists!$B$2:$B$30,MATCH(J2515,Lists!$A$2:$A$30,0)),""))</f>
        <v/>
      </c>
      <c r="M2515" s="24"/>
      <c r="N2515" s="27" t="str">
        <f aca="false">IF(B2515="","",IFERROR(1000-SUMPRODUCT(MAX(ISNUMBER(SEARCH(Rules!$A$5:$A$204,B2515))*(Rules!$A$5:$A$204&lt;&gt;"")*(1000-ROW(Rules!$A$5:$A$204)))),""))</f>
        <v/>
      </c>
    </row>
    <row r="2516" customFormat="false" ht="15" hidden="false" customHeight="false" outlineLevel="0" collapsed="false">
      <c r="A2516" s="23"/>
      <c r="B2516" s="24"/>
      <c r="C2516" s="25"/>
      <c r="D2516" s="24"/>
      <c r="E2516" s="21" t="str">
        <f aca="false">IF(OR(B2516="",N(N2516)=0,N2516=1000),IF(B2516="","","Check"),INDEX(Rules!$B:$B,N2516))</f>
        <v/>
      </c>
      <c r="F2516" s="21" t="str">
        <f aca="false">IF(OR(B2516="",N(N2516)=0,N2516=1000),"",INDEX(Rules!$C:$C,N2516))</f>
        <v/>
      </c>
      <c r="G2516" s="24"/>
      <c r="H2516" s="24"/>
      <c r="I2516" s="20" t="str">
        <f aca="false">IF(B2516="","",IF(G2516&lt;&gt;"",G2516,E2516))</f>
        <v/>
      </c>
      <c r="J2516" s="21" t="str">
        <f aca="false">IF(B2516="","",IF(H2516&lt;&gt;"",H2516,F2516))</f>
        <v/>
      </c>
      <c r="K2516" s="26" t="str">
        <f aca="false">IF(A2516="","",DATE(YEAR(A2516),MONTH(A2516),1))</f>
        <v/>
      </c>
      <c r="L2516" s="21" t="str">
        <f aca="false">IF(J2516="",IF(B2516="","",IF(N(C2516)&gt;=0,"Income","Expense")),IFERROR(INDEX(Lists!$B$2:$B$30,MATCH(J2516,Lists!$A$2:$A$30,0)),""))</f>
        <v/>
      </c>
      <c r="M2516" s="24"/>
      <c r="N2516" s="27" t="str">
        <f aca="false">IF(B2516="","",IFERROR(1000-SUMPRODUCT(MAX(ISNUMBER(SEARCH(Rules!$A$5:$A$204,B2516))*(Rules!$A$5:$A$204&lt;&gt;"")*(1000-ROW(Rules!$A$5:$A$204)))),""))</f>
        <v/>
      </c>
    </row>
    <row r="2517" customFormat="false" ht="15" hidden="false" customHeight="false" outlineLevel="0" collapsed="false">
      <c r="A2517" s="23"/>
      <c r="B2517" s="24"/>
      <c r="C2517" s="25"/>
      <c r="D2517" s="24"/>
      <c r="E2517" s="21" t="str">
        <f aca="false">IF(OR(B2517="",N(N2517)=0,N2517=1000),IF(B2517="","","Check"),INDEX(Rules!$B:$B,N2517))</f>
        <v/>
      </c>
      <c r="F2517" s="21" t="str">
        <f aca="false">IF(OR(B2517="",N(N2517)=0,N2517=1000),"",INDEX(Rules!$C:$C,N2517))</f>
        <v/>
      </c>
      <c r="G2517" s="24"/>
      <c r="H2517" s="24"/>
      <c r="I2517" s="20" t="str">
        <f aca="false">IF(B2517="","",IF(G2517&lt;&gt;"",G2517,E2517))</f>
        <v/>
      </c>
      <c r="J2517" s="21" t="str">
        <f aca="false">IF(B2517="","",IF(H2517&lt;&gt;"",H2517,F2517))</f>
        <v/>
      </c>
      <c r="K2517" s="26" t="str">
        <f aca="false">IF(A2517="","",DATE(YEAR(A2517),MONTH(A2517),1))</f>
        <v/>
      </c>
      <c r="L2517" s="21" t="str">
        <f aca="false">IF(J2517="",IF(B2517="","",IF(N(C2517)&gt;=0,"Income","Expense")),IFERROR(INDEX(Lists!$B$2:$B$30,MATCH(J2517,Lists!$A$2:$A$30,0)),""))</f>
        <v/>
      </c>
      <c r="M2517" s="24"/>
      <c r="N2517" s="27" t="str">
        <f aca="false">IF(B2517="","",IFERROR(1000-SUMPRODUCT(MAX(ISNUMBER(SEARCH(Rules!$A$5:$A$204,B2517))*(Rules!$A$5:$A$204&lt;&gt;"")*(1000-ROW(Rules!$A$5:$A$204)))),""))</f>
        <v/>
      </c>
    </row>
    <row r="2518" customFormat="false" ht="15" hidden="false" customHeight="false" outlineLevel="0" collapsed="false">
      <c r="A2518" s="23"/>
      <c r="B2518" s="24"/>
      <c r="C2518" s="25"/>
      <c r="D2518" s="24"/>
      <c r="E2518" s="21" t="str">
        <f aca="false">IF(OR(B2518="",N(N2518)=0,N2518=1000),IF(B2518="","","Check"),INDEX(Rules!$B:$B,N2518))</f>
        <v/>
      </c>
      <c r="F2518" s="21" t="str">
        <f aca="false">IF(OR(B2518="",N(N2518)=0,N2518=1000),"",INDEX(Rules!$C:$C,N2518))</f>
        <v/>
      </c>
      <c r="G2518" s="24"/>
      <c r="H2518" s="24"/>
      <c r="I2518" s="20" t="str">
        <f aca="false">IF(B2518="","",IF(G2518&lt;&gt;"",G2518,E2518))</f>
        <v/>
      </c>
      <c r="J2518" s="21" t="str">
        <f aca="false">IF(B2518="","",IF(H2518&lt;&gt;"",H2518,F2518))</f>
        <v/>
      </c>
      <c r="K2518" s="26" t="str">
        <f aca="false">IF(A2518="","",DATE(YEAR(A2518),MONTH(A2518),1))</f>
        <v/>
      </c>
      <c r="L2518" s="21" t="str">
        <f aca="false">IF(J2518="",IF(B2518="","",IF(N(C2518)&gt;=0,"Income","Expense")),IFERROR(INDEX(Lists!$B$2:$B$30,MATCH(J2518,Lists!$A$2:$A$30,0)),""))</f>
        <v/>
      </c>
      <c r="M2518" s="24"/>
      <c r="N2518" s="27" t="str">
        <f aca="false">IF(B2518="","",IFERROR(1000-SUMPRODUCT(MAX(ISNUMBER(SEARCH(Rules!$A$5:$A$204,B2518))*(Rules!$A$5:$A$204&lt;&gt;"")*(1000-ROW(Rules!$A$5:$A$204)))),""))</f>
        <v/>
      </c>
    </row>
    <row r="2519" customFormat="false" ht="15" hidden="false" customHeight="false" outlineLevel="0" collapsed="false">
      <c r="A2519" s="23"/>
      <c r="B2519" s="24"/>
      <c r="C2519" s="25"/>
      <c r="D2519" s="24"/>
      <c r="E2519" s="21" t="str">
        <f aca="false">IF(OR(B2519="",N(N2519)=0,N2519=1000),IF(B2519="","","Check"),INDEX(Rules!$B:$B,N2519))</f>
        <v/>
      </c>
      <c r="F2519" s="21" t="str">
        <f aca="false">IF(OR(B2519="",N(N2519)=0,N2519=1000),"",INDEX(Rules!$C:$C,N2519))</f>
        <v/>
      </c>
      <c r="G2519" s="24"/>
      <c r="H2519" s="24"/>
      <c r="I2519" s="20" t="str">
        <f aca="false">IF(B2519="","",IF(G2519&lt;&gt;"",G2519,E2519))</f>
        <v/>
      </c>
      <c r="J2519" s="21" t="str">
        <f aca="false">IF(B2519="","",IF(H2519&lt;&gt;"",H2519,F2519))</f>
        <v/>
      </c>
      <c r="K2519" s="26" t="str">
        <f aca="false">IF(A2519="","",DATE(YEAR(A2519),MONTH(A2519),1))</f>
        <v/>
      </c>
      <c r="L2519" s="21" t="str">
        <f aca="false">IF(J2519="",IF(B2519="","",IF(N(C2519)&gt;=0,"Income","Expense")),IFERROR(INDEX(Lists!$B$2:$B$30,MATCH(J2519,Lists!$A$2:$A$30,0)),""))</f>
        <v/>
      </c>
      <c r="M2519" s="24"/>
      <c r="N2519" s="27" t="str">
        <f aca="false">IF(B2519="","",IFERROR(1000-SUMPRODUCT(MAX(ISNUMBER(SEARCH(Rules!$A$5:$A$204,B2519))*(Rules!$A$5:$A$204&lt;&gt;"")*(1000-ROW(Rules!$A$5:$A$204)))),""))</f>
        <v/>
      </c>
    </row>
    <row r="2520" customFormat="false" ht="15" hidden="false" customHeight="false" outlineLevel="0" collapsed="false">
      <c r="A2520" s="23"/>
      <c r="B2520" s="24"/>
      <c r="C2520" s="25"/>
      <c r="D2520" s="24"/>
      <c r="E2520" s="21" t="str">
        <f aca="false">IF(OR(B2520="",N(N2520)=0,N2520=1000),IF(B2520="","","Check"),INDEX(Rules!$B:$B,N2520))</f>
        <v/>
      </c>
      <c r="F2520" s="21" t="str">
        <f aca="false">IF(OR(B2520="",N(N2520)=0,N2520=1000),"",INDEX(Rules!$C:$C,N2520))</f>
        <v/>
      </c>
      <c r="G2520" s="24"/>
      <c r="H2520" s="24"/>
      <c r="I2520" s="20" t="str">
        <f aca="false">IF(B2520="","",IF(G2520&lt;&gt;"",G2520,E2520))</f>
        <v/>
      </c>
      <c r="J2520" s="21" t="str">
        <f aca="false">IF(B2520="","",IF(H2520&lt;&gt;"",H2520,F2520))</f>
        <v/>
      </c>
      <c r="K2520" s="26" t="str">
        <f aca="false">IF(A2520="","",DATE(YEAR(A2520),MONTH(A2520),1))</f>
        <v/>
      </c>
      <c r="L2520" s="21" t="str">
        <f aca="false">IF(J2520="",IF(B2520="","",IF(N(C2520)&gt;=0,"Income","Expense")),IFERROR(INDEX(Lists!$B$2:$B$30,MATCH(J2520,Lists!$A$2:$A$30,0)),""))</f>
        <v/>
      </c>
      <c r="M2520" s="24"/>
      <c r="N2520" s="27" t="str">
        <f aca="false">IF(B2520="","",IFERROR(1000-SUMPRODUCT(MAX(ISNUMBER(SEARCH(Rules!$A$5:$A$204,B2520))*(Rules!$A$5:$A$204&lt;&gt;"")*(1000-ROW(Rules!$A$5:$A$204)))),""))</f>
        <v/>
      </c>
    </row>
    <row r="2521" customFormat="false" ht="15" hidden="false" customHeight="false" outlineLevel="0" collapsed="false">
      <c r="A2521" s="23"/>
      <c r="B2521" s="24"/>
      <c r="C2521" s="25"/>
      <c r="D2521" s="24"/>
      <c r="E2521" s="21" t="str">
        <f aca="false">IF(OR(B2521="",N(N2521)=0,N2521=1000),IF(B2521="","","Check"),INDEX(Rules!$B:$B,N2521))</f>
        <v/>
      </c>
      <c r="F2521" s="21" t="str">
        <f aca="false">IF(OR(B2521="",N(N2521)=0,N2521=1000),"",INDEX(Rules!$C:$C,N2521))</f>
        <v/>
      </c>
      <c r="G2521" s="24"/>
      <c r="H2521" s="24"/>
      <c r="I2521" s="20" t="str">
        <f aca="false">IF(B2521="","",IF(G2521&lt;&gt;"",G2521,E2521))</f>
        <v/>
      </c>
      <c r="J2521" s="21" t="str">
        <f aca="false">IF(B2521="","",IF(H2521&lt;&gt;"",H2521,F2521))</f>
        <v/>
      </c>
      <c r="K2521" s="26" t="str">
        <f aca="false">IF(A2521="","",DATE(YEAR(A2521),MONTH(A2521),1))</f>
        <v/>
      </c>
      <c r="L2521" s="21" t="str">
        <f aca="false">IF(J2521="",IF(B2521="","",IF(N(C2521)&gt;=0,"Income","Expense")),IFERROR(INDEX(Lists!$B$2:$B$30,MATCH(J2521,Lists!$A$2:$A$30,0)),""))</f>
        <v/>
      </c>
      <c r="M2521" s="24"/>
      <c r="N2521" s="27" t="str">
        <f aca="false">IF(B2521="","",IFERROR(1000-SUMPRODUCT(MAX(ISNUMBER(SEARCH(Rules!$A$5:$A$204,B2521))*(Rules!$A$5:$A$204&lt;&gt;"")*(1000-ROW(Rules!$A$5:$A$204)))),""))</f>
        <v/>
      </c>
    </row>
    <row r="2522" customFormat="false" ht="15" hidden="false" customHeight="false" outlineLevel="0" collapsed="false">
      <c r="A2522" s="23"/>
      <c r="B2522" s="24"/>
      <c r="C2522" s="25"/>
      <c r="D2522" s="24"/>
      <c r="E2522" s="21" t="str">
        <f aca="false">IF(OR(B2522="",N(N2522)=0,N2522=1000),IF(B2522="","","Check"),INDEX(Rules!$B:$B,N2522))</f>
        <v/>
      </c>
      <c r="F2522" s="21" t="str">
        <f aca="false">IF(OR(B2522="",N(N2522)=0,N2522=1000),"",INDEX(Rules!$C:$C,N2522))</f>
        <v/>
      </c>
      <c r="G2522" s="24"/>
      <c r="H2522" s="24"/>
      <c r="I2522" s="20" t="str">
        <f aca="false">IF(B2522="","",IF(G2522&lt;&gt;"",G2522,E2522))</f>
        <v/>
      </c>
      <c r="J2522" s="21" t="str">
        <f aca="false">IF(B2522="","",IF(H2522&lt;&gt;"",H2522,F2522))</f>
        <v/>
      </c>
      <c r="K2522" s="26" t="str">
        <f aca="false">IF(A2522="","",DATE(YEAR(A2522),MONTH(A2522),1))</f>
        <v/>
      </c>
      <c r="L2522" s="21" t="str">
        <f aca="false">IF(J2522="",IF(B2522="","",IF(N(C2522)&gt;=0,"Income","Expense")),IFERROR(INDEX(Lists!$B$2:$B$30,MATCH(J2522,Lists!$A$2:$A$30,0)),""))</f>
        <v/>
      </c>
      <c r="M2522" s="24"/>
      <c r="N2522" s="27" t="str">
        <f aca="false">IF(B2522="","",IFERROR(1000-SUMPRODUCT(MAX(ISNUMBER(SEARCH(Rules!$A$5:$A$204,B2522))*(Rules!$A$5:$A$204&lt;&gt;"")*(1000-ROW(Rules!$A$5:$A$204)))),""))</f>
        <v/>
      </c>
    </row>
    <row r="2523" customFormat="false" ht="15" hidden="false" customHeight="false" outlineLevel="0" collapsed="false">
      <c r="A2523" s="23"/>
      <c r="B2523" s="24"/>
      <c r="C2523" s="25"/>
      <c r="D2523" s="24"/>
      <c r="E2523" s="21" t="str">
        <f aca="false">IF(OR(B2523="",N(N2523)=0,N2523=1000),IF(B2523="","","Check"),INDEX(Rules!$B:$B,N2523))</f>
        <v/>
      </c>
      <c r="F2523" s="21" t="str">
        <f aca="false">IF(OR(B2523="",N(N2523)=0,N2523=1000),"",INDEX(Rules!$C:$C,N2523))</f>
        <v/>
      </c>
      <c r="G2523" s="24"/>
      <c r="H2523" s="24"/>
      <c r="I2523" s="20" t="str">
        <f aca="false">IF(B2523="","",IF(G2523&lt;&gt;"",G2523,E2523))</f>
        <v/>
      </c>
      <c r="J2523" s="21" t="str">
        <f aca="false">IF(B2523="","",IF(H2523&lt;&gt;"",H2523,F2523))</f>
        <v/>
      </c>
      <c r="K2523" s="26" t="str">
        <f aca="false">IF(A2523="","",DATE(YEAR(A2523),MONTH(A2523),1))</f>
        <v/>
      </c>
      <c r="L2523" s="21" t="str">
        <f aca="false">IF(J2523="",IF(B2523="","",IF(N(C2523)&gt;=0,"Income","Expense")),IFERROR(INDEX(Lists!$B$2:$B$30,MATCH(J2523,Lists!$A$2:$A$30,0)),""))</f>
        <v/>
      </c>
      <c r="M2523" s="24"/>
      <c r="N2523" s="27" t="str">
        <f aca="false">IF(B2523="","",IFERROR(1000-SUMPRODUCT(MAX(ISNUMBER(SEARCH(Rules!$A$5:$A$204,B2523))*(Rules!$A$5:$A$204&lt;&gt;"")*(1000-ROW(Rules!$A$5:$A$204)))),""))</f>
        <v/>
      </c>
    </row>
    <row r="2524" customFormat="false" ht="15" hidden="false" customHeight="false" outlineLevel="0" collapsed="false">
      <c r="A2524" s="23"/>
      <c r="B2524" s="24"/>
      <c r="C2524" s="25"/>
      <c r="D2524" s="24"/>
      <c r="E2524" s="21" t="str">
        <f aca="false">IF(OR(B2524="",N(N2524)=0,N2524=1000),IF(B2524="","","Check"),INDEX(Rules!$B:$B,N2524))</f>
        <v/>
      </c>
      <c r="F2524" s="21" t="str">
        <f aca="false">IF(OR(B2524="",N(N2524)=0,N2524=1000),"",INDEX(Rules!$C:$C,N2524))</f>
        <v/>
      </c>
      <c r="G2524" s="24"/>
      <c r="H2524" s="24"/>
      <c r="I2524" s="20" t="str">
        <f aca="false">IF(B2524="","",IF(G2524&lt;&gt;"",G2524,E2524))</f>
        <v/>
      </c>
      <c r="J2524" s="21" t="str">
        <f aca="false">IF(B2524="","",IF(H2524&lt;&gt;"",H2524,F2524))</f>
        <v/>
      </c>
      <c r="K2524" s="26" t="str">
        <f aca="false">IF(A2524="","",DATE(YEAR(A2524),MONTH(A2524),1))</f>
        <v/>
      </c>
      <c r="L2524" s="21" t="str">
        <f aca="false">IF(J2524="",IF(B2524="","",IF(N(C2524)&gt;=0,"Income","Expense")),IFERROR(INDEX(Lists!$B$2:$B$30,MATCH(J2524,Lists!$A$2:$A$30,0)),""))</f>
        <v/>
      </c>
      <c r="M2524" s="24"/>
      <c r="N2524" s="27" t="str">
        <f aca="false">IF(B2524="","",IFERROR(1000-SUMPRODUCT(MAX(ISNUMBER(SEARCH(Rules!$A$5:$A$204,B2524))*(Rules!$A$5:$A$204&lt;&gt;"")*(1000-ROW(Rules!$A$5:$A$204)))),""))</f>
        <v/>
      </c>
    </row>
    <row r="2525" customFormat="false" ht="15" hidden="false" customHeight="false" outlineLevel="0" collapsed="false">
      <c r="A2525" s="23"/>
      <c r="B2525" s="24"/>
      <c r="C2525" s="25"/>
      <c r="D2525" s="24"/>
      <c r="E2525" s="21" t="str">
        <f aca="false">IF(OR(B2525="",N(N2525)=0,N2525=1000),IF(B2525="","","Check"),INDEX(Rules!$B:$B,N2525))</f>
        <v/>
      </c>
      <c r="F2525" s="21" t="str">
        <f aca="false">IF(OR(B2525="",N(N2525)=0,N2525=1000),"",INDEX(Rules!$C:$C,N2525))</f>
        <v/>
      </c>
      <c r="G2525" s="24"/>
      <c r="H2525" s="24"/>
      <c r="I2525" s="20" t="str">
        <f aca="false">IF(B2525="","",IF(G2525&lt;&gt;"",G2525,E2525))</f>
        <v/>
      </c>
      <c r="J2525" s="21" t="str">
        <f aca="false">IF(B2525="","",IF(H2525&lt;&gt;"",H2525,F2525))</f>
        <v/>
      </c>
      <c r="K2525" s="26" t="str">
        <f aca="false">IF(A2525="","",DATE(YEAR(A2525),MONTH(A2525),1))</f>
        <v/>
      </c>
      <c r="L2525" s="21" t="str">
        <f aca="false">IF(J2525="",IF(B2525="","",IF(N(C2525)&gt;=0,"Income","Expense")),IFERROR(INDEX(Lists!$B$2:$B$30,MATCH(J2525,Lists!$A$2:$A$30,0)),""))</f>
        <v/>
      </c>
      <c r="M2525" s="24"/>
      <c r="N2525" s="27" t="str">
        <f aca="false">IF(B2525="","",IFERROR(1000-SUMPRODUCT(MAX(ISNUMBER(SEARCH(Rules!$A$5:$A$204,B2525))*(Rules!$A$5:$A$204&lt;&gt;"")*(1000-ROW(Rules!$A$5:$A$204)))),""))</f>
        <v/>
      </c>
    </row>
    <row r="2526" customFormat="false" ht="15" hidden="false" customHeight="false" outlineLevel="0" collapsed="false">
      <c r="A2526" s="23"/>
      <c r="B2526" s="24"/>
      <c r="C2526" s="25"/>
      <c r="D2526" s="24"/>
      <c r="E2526" s="21" t="str">
        <f aca="false">IF(OR(B2526="",N(N2526)=0,N2526=1000),IF(B2526="","","Check"),INDEX(Rules!$B:$B,N2526))</f>
        <v/>
      </c>
      <c r="F2526" s="21" t="str">
        <f aca="false">IF(OR(B2526="",N(N2526)=0,N2526=1000),"",INDEX(Rules!$C:$C,N2526))</f>
        <v/>
      </c>
      <c r="G2526" s="24"/>
      <c r="H2526" s="24"/>
      <c r="I2526" s="20" t="str">
        <f aca="false">IF(B2526="","",IF(G2526&lt;&gt;"",G2526,E2526))</f>
        <v/>
      </c>
      <c r="J2526" s="21" t="str">
        <f aca="false">IF(B2526="","",IF(H2526&lt;&gt;"",H2526,F2526))</f>
        <v/>
      </c>
      <c r="K2526" s="26" t="str">
        <f aca="false">IF(A2526="","",DATE(YEAR(A2526),MONTH(A2526),1))</f>
        <v/>
      </c>
      <c r="L2526" s="21" t="str">
        <f aca="false">IF(J2526="",IF(B2526="","",IF(N(C2526)&gt;=0,"Income","Expense")),IFERROR(INDEX(Lists!$B$2:$B$30,MATCH(J2526,Lists!$A$2:$A$30,0)),""))</f>
        <v/>
      </c>
      <c r="M2526" s="24"/>
      <c r="N2526" s="27" t="str">
        <f aca="false">IF(B2526="","",IFERROR(1000-SUMPRODUCT(MAX(ISNUMBER(SEARCH(Rules!$A$5:$A$204,B2526))*(Rules!$A$5:$A$204&lt;&gt;"")*(1000-ROW(Rules!$A$5:$A$204)))),""))</f>
        <v/>
      </c>
    </row>
    <row r="2527" customFormat="false" ht="15" hidden="false" customHeight="false" outlineLevel="0" collapsed="false">
      <c r="A2527" s="23"/>
      <c r="B2527" s="24"/>
      <c r="C2527" s="25"/>
      <c r="D2527" s="24"/>
      <c r="E2527" s="21" t="str">
        <f aca="false">IF(OR(B2527="",N(N2527)=0,N2527=1000),IF(B2527="","","Check"),INDEX(Rules!$B:$B,N2527))</f>
        <v/>
      </c>
      <c r="F2527" s="21" t="str">
        <f aca="false">IF(OR(B2527="",N(N2527)=0,N2527=1000),"",INDEX(Rules!$C:$C,N2527))</f>
        <v/>
      </c>
      <c r="G2527" s="24"/>
      <c r="H2527" s="24"/>
      <c r="I2527" s="20" t="str">
        <f aca="false">IF(B2527="","",IF(G2527&lt;&gt;"",G2527,E2527))</f>
        <v/>
      </c>
      <c r="J2527" s="21" t="str">
        <f aca="false">IF(B2527="","",IF(H2527&lt;&gt;"",H2527,F2527))</f>
        <v/>
      </c>
      <c r="K2527" s="26" t="str">
        <f aca="false">IF(A2527="","",DATE(YEAR(A2527),MONTH(A2527),1))</f>
        <v/>
      </c>
      <c r="L2527" s="21" t="str">
        <f aca="false">IF(J2527="",IF(B2527="","",IF(N(C2527)&gt;=0,"Income","Expense")),IFERROR(INDEX(Lists!$B$2:$B$30,MATCH(J2527,Lists!$A$2:$A$30,0)),""))</f>
        <v/>
      </c>
      <c r="M2527" s="24"/>
      <c r="N2527" s="27" t="str">
        <f aca="false">IF(B2527="","",IFERROR(1000-SUMPRODUCT(MAX(ISNUMBER(SEARCH(Rules!$A$5:$A$204,B2527))*(Rules!$A$5:$A$204&lt;&gt;"")*(1000-ROW(Rules!$A$5:$A$204)))),""))</f>
        <v/>
      </c>
    </row>
    <row r="2528" customFormat="false" ht="15" hidden="false" customHeight="false" outlineLevel="0" collapsed="false">
      <c r="A2528" s="23"/>
      <c r="B2528" s="24"/>
      <c r="C2528" s="25"/>
      <c r="D2528" s="24"/>
      <c r="E2528" s="21" t="str">
        <f aca="false">IF(OR(B2528="",N(N2528)=0,N2528=1000),IF(B2528="","","Check"),INDEX(Rules!$B:$B,N2528))</f>
        <v/>
      </c>
      <c r="F2528" s="21" t="str">
        <f aca="false">IF(OR(B2528="",N(N2528)=0,N2528=1000),"",INDEX(Rules!$C:$C,N2528))</f>
        <v/>
      </c>
      <c r="G2528" s="24"/>
      <c r="H2528" s="24"/>
      <c r="I2528" s="20" t="str">
        <f aca="false">IF(B2528="","",IF(G2528&lt;&gt;"",G2528,E2528))</f>
        <v/>
      </c>
      <c r="J2528" s="21" t="str">
        <f aca="false">IF(B2528="","",IF(H2528&lt;&gt;"",H2528,F2528))</f>
        <v/>
      </c>
      <c r="K2528" s="26" t="str">
        <f aca="false">IF(A2528="","",DATE(YEAR(A2528),MONTH(A2528),1))</f>
        <v/>
      </c>
      <c r="L2528" s="21" t="str">
        <f aca="false">IF(J2528="",IF(B2528="","",IF(N(C2528)&gt;=0,"Income","Expense")),IFERROR(INDEX(Lists!$B$2:$B$30,MATCH(J2528,Lists!$A$2:$A$30,0)),""))</f>
        <v/>
      </c>
      <c r="M2528" s="24"/>
      <c r="N2528" s="27" t="str">
        <f aca="false">IF(B2528="","",IFERROR(1000-SUMPRODUCT(MAX(ISNUMBER(SEARCH(Rules!$A$5:$A$204,B2528))*(Rules!$A$5:$A$204&lt;&gt;"")*(1000-ROW(Rules!$A$5:$A$204)))),""))</f>
        <v/>
      </c>
    </row>
    <row r="2529" customFormat="false" ht="15" hidden="false" customHeight="false" outlineLevel="0" collapsed="false">
      <c r="A2529" s="23"/>
      <c r="B2529" s="24"/>
      <c r="C2529" s="25"/>
      <c r="D2529" s="24"/>
      <c r="E2529" s="21" t="str">
        <f aca="false">IF(OR(B2529="",N(N2529)=0,N2529=1000),IF(B2529="","","Check"),INDEX(Rules!$B:$B,N2529))</f>
        <v/>
      </c>
      <c r="F2529" s="21" t="str">
        <f aca="false">IF(OR(B2529="",N(N2529)=0,N2529=1000),"",INDEX(Rules!$C:$C,N2529))</f>
        <v/>
      </c>
      <c r="G2529" s="24"/>
      <c r="H2529" s="24"/>
      <c r="I2529" s="20" t="str">
        <f aca="false">IF(B2529="","",IF(G2529&lt;&gt;"",G2529,E2529))</f>
        <v/>
      </c>
      <c r="J2529" s="21" t="str">
        <f aca="false">IF(B2529="","",IF(H2529&lt;&gt;"",H2529,F2529))</f>
        <v/>
      </c>
      <c r="K2529" s="26" t="str">
        <f aca="false">IF(A2529="","",DATE(YEAR(A2529),MONTH(A2529),1))</f>
        <v/>
      </c>
      <c r="L2529" s="21" t="str">
        <f aca="false">IF(J2529="",IF(B2529="","",IF(N(C2529)&gt;=0,"Income","Expense")),IFERROR(INDEX(Lists!$B$2:$B$30,MATCH(J2529,Lists!$A$2:$A$30,0)),""))</f>
        <v/>
      </c>
      <c r="M2529" s="24"/>
      <c r="N2529" s="27" t="str">
        <f aca="false">IF(B2529="","",IFERROR(1000-SUMPRODUCT(MAX(ISNUMBER(SEARCH(Rules!$A$5:$A$204,B2529))*(Rules!$A$5:$A$204&lt;&gt;"")*(1000-ROW(Rules!$A$5:$A$204)))),""))</f>
        <v/>
      </c>
    </row>
    <row r="2530" customFormat="false" ht="15" hidden="false" customHeight="false" outlineLevel="0" collapsed="false">
      <c r="A2530" s="23"/>
      <c r="B2530" s="24"/>
      <c r="C2530" s="25"/>
      <c r="D2530" s="24"/>
      <c r="E2530" s="21" t="str">
        <f aca="false">IF(OR(B2530="",N(N2530)=0,N2530=1000),IF(B2530="","","Check"),INDEX(Rules!$B:$B,N2530))</f>
        <v/>
      </c>
      <c r="F2530" s="21" t="str">
        <f aca="false">IF(OR(B2530="",N(N2530)=0,N2530=1000),"",INDEX(Rules!$C:$C,N2530))</f>
        <v/>
      </c>
      <c r="G2530" s="24"/>
      <c r="H2530" s="24"/>
      <c r="I2530" s="20" t="str">
        <f aca="false">IF(B2530="","",IF(G2530&lt;&gt;"",G2530,E2530))</f>
        <v/>
      </c>
      <c r="J2530" s="21" t="str">
        <f aca="false">IF(B2530="","",IF(H2530&lt;&gt;"",H2530,F2530))</f>
        <v/>
      </c>
      <c r="K2530" s="26" t="str">
        <f aca="false">IF(A2530="","",DATE(YEAR(A2530),MONTH(A2530),1))</f>
        <v/>
      </c>
      <c r="L2530" s="21" t="str">
        <f aca="false">IF(J2530="",IF(B2530="","",IF(N(C2530)&gt;=0,"Income","Expense")),IFERROR(INDEX(Lists!$B$2:$B$30,MATCH(J2530,Lists!$A$2:$A$30,0)),""))</f>
        <v/>
      </c>
      <c r="M2530" s="24"/>
      <c r="N2530" s="27" t="str">
        <f aca="false">IF(B2530="","",IFERROR(1000-SUMPRODUCT(MAX(ISNUMBER(SEARCH(Rules!$A$5:$A$204,B2530))*(Rules!$A$5:$A$204&lt;&gt;"")*(1000-ROW(Rules!$A$5:$A$204)))),""))</f>
        <v/>
      </c>
    </row>
    <row r="2531" customFormat="false" ht="15" hidden="false" customHeight="false" outlineLevel="0" collapsed="false">
      <c r="A2531" s="23"/>
      <c r="B2531" s="24"/>
      <c r="C2531" s="25"/>
      <c r="D2531" s="24"/>
      <c r="E2531" s="21" t="str">
        <f aca="false">IF(OR(B2531="",N(N2531)=0,N2531=1000),IF(B2531="","","Check"),INDEX(Rules!$B:$B,N2531))</f>
        <v/>
      </c>
      <c r="F2531" s="21" t="str">
        <f aca="false">IF(OR(B2531="",N(N2531)=0,N2531=1000),"",INDEX(Rules!$C:$C,N2531))</f>
        <v/>
      </c>
      <c r="G2531" s="24"/>
      <c r="H2531" s="24"/>
      <c r="I2531" s="20" t="str">
        <f aca="false">IF(B2531="","",IF(G2531&lt;&gt;"",G2531,E2531))</f>
        <v/>
      </c>
      <c r="J2531" s="21" t="str">
        <f aca="false">IF(B2531="","",IF(H2531&lt;&gt;"",H2531,F2531))</f>
        <v/>
      </c>
      <c r="K2531" s="26" t="str">
        <f aca="false">IF(A2531="","",DATE(YEAR(A2531),MONTH(A2531),1))</f>
        <v/>
      </c>
      <c r="L2531" s="21" t="str">
        <f aca="false">IF(J2531="",IF(B2531="","",IF(N(C2531)&gt;=0,"Income","Expense")),IFERROR(INDEX(Lists!$B$2:$B$30,MATCH(J2531,Lists!$A$2:$A$30,0)),""))</f>
        <v/>
      </c>
      <c r="M2531" s="24"/>
      <c r="N2531" s="27" t="str">
        <f aca="false">IF(B2531="","",IFERROR(1000-SUMPRODUCT(MAX(ISNUMBER(SEARCH(Rules!$A$5:$A$204,B2531))*(Rules!$A$5:$A$204&lt;&gt;"")*(1000-ROW(Rules!$A$5:$A$204)))),""))</f>
        <v/>
      </c>
    </row>
    <row r="2532" customFormat="false" ht="15" hidden="false" customHeight="false" outlineLevel="0" collapsed="false">
      <c r="A2532" s="23"/>
      <c r="B2532" s="24"/>
      <c r="C2532" s="25"/>
      <c r="D2532" s="24"/>
      <c r="E2532" s="21" t="str">
        <f aca="false">IF(OR(B2532="",N(N2532)=0,N2532=1000),IF(B2532="","","Check"),INDEX(Rules!$B:$B,N2532))</f>
        <v/>
      </c>
      <c r="F2532" s="21" t="str">
        <f aca="false">IF(OR(B2532="",N(N2532)=0,N2532=1000),"",INDEX(Rules!$C:$C,N2532))</f>
        <v/>
      </c>
      <c r="G2532" s="24"/>
      <c r="H2532" s="24"/>
      <c r="I2532" s="20" t="str">
        <f aca="false">IF(B2532="","",IF(G2532&lt;&gt;"",G2532,E2532))</f>
        <v/>
      </c>
      <c r="J2532" s="21" t="str">
        <f aca="false">IF(B2532="","",IF(H2532&lt;&gt;"",H2532,F2532))</f>
        <v/>
      </c>
      <c r="K2532" s="26" t="str">
        <f aca="false">IF(A2532="","",DATE(YEAR(A2532),MONTH(A2532),1))</f>
        <v/>
      </c>
      <c r="L2532" s="21" t="str">
        <f aca="false">IF(J2532="",IF(B2532="","",IF(N(C2532)&gt;=0,"Income","Expense")),IFERROR(INDEX(Lists!$B$2:$B$30,MATCH(J2532,Lists!$A$2:$A$30,0)),""))</f>
        <v/>
      </c>
      <c r="M2532" s="24"/>
      <c r="N2532" s="27" t="str">
        <f aca="false">IF(B2532="","",IFERROR(1000-SUMPRODUCT(MAX(ISNUMBER(SEARCH(Rules!$A$5:$A$204,B2532))*(Rules!$A$5:$A$204&lt;&gt;"")*(1000-ROW(Rules!$A$5:$A$204)))),""))</f>
        <v/>
      </c>
    </row>
    <row r="2533" customFormat="false" ht="15" hidden="false" customHeight="false" outlineLevel="0" collapsed="false">
      <c r="A2533" s="23"/>
      <c r="B2533" s="24"/>
      <c r="C2533" s="25"/>
      <c r="D2533" s="24"/>
      <c r="E2533" s="21" t="str">
        <f aca="false">IF(OR(B2533="",N(N2533)=0,N2533=1000),IF(B2533="","","Check"),INDEX(Rules!$B:$B,N2533))</f>
        <v/>
      </c>
      <c r="F2533" s="21" t="str">
        <f aca="false">IF(OR(B2533="",N(N2533)=0,N2533=1000),"",INDEX(Rules!$C:$C,N2533))</f>
        <v/>
      </c>
      <c r="G2533" s="24"/>
      <c r="H2533" s="24"/>
      <c r="I2533" s="20" t="str">
        <f aca="false">IF(B2533="","",IF(G2533&lt;&gt;"",G2533,E2533))</f>
        <v/>
      </c>
      <c r="J2533" s="21" t="str">
        <f aca="false">IF(B2533="","",IF(H2533&lt;&gt;"",H2533,F2533))</f>
        <v/>
      </c>
      <c r="K2533" s="26" t="str">
        <f aca="false">IF(A2533="","",DATE(YEAR(A2533),MONTH(A2533),1))</f>
        <v/>
      </c>
      <c r="L2533" s="21" t="str">
        <f aca="false">IF(J2533="",IF(B2533="","",IF(N(C2533)&gt;=0,"Income","Expense")),IFERROR(INDEX(Lists!$B$2:$B$30,MATCH(J2533,Lists!$A$2:$A$30,0)),""))</f>
        <v/>
      </c>
      <c r="M2533" s="24"/>
      <c r="N2533" s="27" t="str">
        <f aca="false">IF(B2533="","",IFERROR(1000-SUMPRODUCT(MAX(ISNUMBER(SEARCH(Rules!$A$5:$A$204,B2533))*(Rules!$A$5:$A$204&lt;&gt;"")*(1000-ROW(Rules!$A$5:$A$204)))),""))</f>
        <v/>
      </c>
    </row>
    <row r="2534" customFormat="false" ht="15" hidden="false" customHeight="false" outlineLevel="0" collapsed="false">
      <c r="A2534" s="23"/>
      <c r="B2534" s="24"/>
      <c r="C2534" s="25"/>
      <c r="D2534" s="24"/>
      <c r="E2534" s="21" t="str">
        <f aca="false">IF(OR(B2534="",N(N2534)=0,N2534=1000),IF(B2534="","","Check"),INDEX(Rules!$B:$B,N2534))</f>
        <v/>
      </c>
      <c r="F2534" s="21" t="str">
        <f aca="false">IF(OR(B2534="",N(N2534)=0,N2534=1000),"",INDEX(Rules!$C:$C,N2534))</f>
        <v/>
      </c>
      <c r="G2534" s="24"/>
      <c r="H2534" s="24"/>
      <c r="I2534" s="20" t="str">
        <f aca="false">IF(B2534="","",IF(G2534&lt;&gt;"",G2534,E2534))</f>
        <v/>
      </c>
      <c r="J2534" s="21" t="str">
        <f aca="false">IF(B2534="","",IF(H2534&lt;&gt;"",H2534,F2534))</f>
        <v/>
      </c>
      <c r="K2534" s="26" t="str">
        <f aca="false">IF(A2534="","",DATE(YEAR(A2534),MONTH(A2534),1))</f>
        <v/>
      </c>
      <c r="L2534" s="21" t="str">
        <f aca="false">IF(J2534="",IF(B2534="","",IF(N(C2534)&gt;=0,"Income","Expense")),IFERROR(INDEX(Lists!$B$2:$B$30,MATCH(J2534,Lists!$A$2:$A$30,0)),""))</f>
        <v/>
      </c>
      <c r="M2534" s="24"/>
      <c r="N2534" s="27" t="str">
        <f aca="false">IF(B2534="","",IFERROR(1000-SUMPRODUCT(MAX(ISNUMBER(SEARCH(Rules!$A$5:$A$204,B2534))*(Rules!$A$5:$A$204&lt;&gt;"")*(1000-ROW(Rules!$A$5:$A$204)))),""))</f>
        <v/>
      </c>
    </row>
    <row r="2535" customFormat="false" ht="15" hidden="false" customHeight="false" outlineLevel="0" collapsed="false">
      <c r="A2535" s="23"/>
      <c r="B2535" s="24"/>
      <c r="C2535" s="25"/>
      <c r="D2535" s="24"/>
      <c r="E2535" s="21" t="str">
        <f aca="false">IF(OR(B2535="",N(N2535)=0,N2535=1000),IF(B2535="","","Check"),INDEX(Rules!$B:$B,N2535))</f>
        <v/>
      </c>
      <c r="F2535" s="21" t="str">
        <f aca="false">IF(OR(B2535="",N(N2535)=0,N2535=1000),"",INDEX(Rules!$C:$C,N2535))</f>
        <v/>
      </c>
      <c r="G2535" s="24"/>
      <c r="H2535" s="24"/>
      <c r="I2535" s="20" t="str">
        <f aca="false">IF(B2535="","",IF(G2535&lt;&gt;"",G2535,E2535))</f>
        <v/>
      </c>
      <c r="J2535" s="21" t="str">
        <f aca="false">IF(B2535="","",IF(H2535&lt;&gt;"",H2535,F2535))</f>
        <v/>
      </c>
      <c r="K2535" s="26" t="str">
        <f aca="false">IF(A2535="","",DATE(YEAR(A2535),MONTH(A2535),1))</f>
        <v/>
      </c>
      <c r="L2535" s="21" t="str">
        <f aca="false">IF(J2535="",IF(B2535="","",IF(N(C2535)&gt;=0,"Income","Expense")),IFERROR(INDEX(Lists!$B$2:$B$30,MATCH(J2535,Lists!$A$2:$A$30,0)),""))</f>
        <v/>
      </c>
      <c r="M2535" s="24"/>
      <c r="N2535" s="27" t="str">
        <f aca="false">IF(B2535="","",IFERROR(1000-SUMPRODUCT(MAX(ISNUMBER(SEARCH(Rules!$A$5:$A$204,B2535))*(Rules!$A$5:$A$204&lt;&gt;"")*(1000-ROW(Rules!$A$5:$A$204)))),""))</f>
        <v/>
      </c>
    </row>
    <row r="2536" customFormat="false" ht="15" hidden="false" customHeight="false" outlineLevel="0" collapsed="false">
      <c r="A2536" s="23"/>
      <c r="B2536" s="24"/>
      <c r="C2536" s="25"/>
      <c r="D2536" s="24"/>
      <c r="E2536" s="21" t="str">
        <f aca="false">IF(OR(B2536="",N(N2536)=0,N2536=1000),IF(B2536="","","Check"),INDEX(Rules!$B:$B,N2536))</f>
        <v/>
      </c>
      <c r="F2536" s="21" t="str">
        <f aca="false">IF(OR(B2536="",N(N2536)=0,N2536=1000),"",INDEX(Rules!$C:$C,N2536))</f>
        <v/>
      </c>
      <c r="G2536" s="24"/>
      <c r="H2536" s="24"/>
      <c r="I2536" s="20" t="str">
        <f aca="false">IF(B2536="","",IF(G2536&lt;&gt;"",G2536,E2536))</f>
        <v/>
      </c>
      <c r="J2536" s="21" t="str">
        <f aca="false">IF(B2536="","",IF(H2536&lt;&gt;"",H2536,F2536))</f>
        <v/>
      </c>
      <c r="K2536" s="26" t="str">
        <f aca="false">IF(A2536="","",DATE(YEAR(A2536),MONTH(A2536),1))</f>
        <v/>
      </c>
      <c r="L2536" s="21" t="str">
        <f aca="false">IF(J2536="",IF(B2536="","",IF(N(C2536)&gt;=0,"Income","Expense")),IFERROR(INDEX(Lists!$B$2:$B$30,MATCH(J2536,Lists!$A$2:$A$30,0)),""))</f>
        <v/>
      </c>
      <c r="M2536" s="24"/>
      <c r="N2536" s="27" t="str">
        <f aca="false">IF(B2536="","",IFERROR(1000-SUMPRODUCT(MAX(ISNUMBER(SEARCH(Rules!$A$5:$A$204,B2536))*(Rules!$A$5:$A$204&lt;&gt;"")*(1000-ROW(Rules!$A$5:$A$204)))),""))</f>
        <v/>
      </c>
    </row>
    <row r="2537" customFormat="false" ht="15" hidden="false" customHeight="false" outlineLevel="0" collapsed="false">
      <c r="A2537" s="23"/>
      <c r="B2537" s="24"/>
      <c r="C2537" s="25"/>
      <c r="D2537" s="24"/>
      <c r="E2537" s="21" t="str">
        <f aca="false">IF(OR(B2537="",N(N2537)=0,N2537=1000),IF(B2537="","","Check"),INDEX(Rules!$B:$B,N2537))</f>
        <v/>
      </c>
      <c r="F2537" s="21" t="str">
        <f aca="false">IF(OR(B2537="",N(N2537)=0,N2537=1000),"",INDEX(Rules!$C:$C,N2537))</f>
        <v/>
      </c>
      <c r="G2537" s="24"/>
      <c r="H2537" s="24"/>
      <c r="I2537" s="20" t="str">
        <f aca="false">IF(B2537="","",IF(G2537&lt;&gt;"",G2537,E2537))</f>
        <v/>
      </c>
      <c r="J2537" s="21" t="str">
        <f aca="false">IF(B2537="","",IF(H2537&lt;&gt;"",H2537,F2537))</f>
        <v/>
      </c>
      <c r="K2537" s="26" t="str">
        <f aca="false">IF(A2537="","",DATE(YEAR(A2537),MONTH(A2537),1))</f>
        <v/>
      </c>
      <c r="L2537" s="21" t="str">
        <f aca="false">IF(J2537="",IF(B2537="","",IF(N(C2537)&gt;=0,"Income","Expense")),IFERROR(INDEX(Lists!$B$2:$B$30,MATCH(J2537,Lists!$A$2:$A$30,0)),""))</f>
        <v/>
      </c>
      <c r="M2537" s="24"/>
      <c r="N2537" s="27" t="str">
        <f aca="false">IF(B2537="","",IFERROR(1000-SUMPRODUCT(MAX(ISNUMBER(SEARCH(Rules!$A$5:$A$204,B2537))*(Rules!$A$5:$A$204&lt;&gt;"")*(1000-ROW(Rules!$A$5:$A$204)))),""))</f>
        <v/>
      </c>
    </row>
    <row r="2538" customFormat="false" ht="15" hidden="false" customHeight="false" outlineLevel="0" collapsed="false">
      <c r="A2538" s="23"/>
      <c r="B2538" s="24"/>
      <c r="C2538" s="25"/>
      <c r="D2538" s="24"/>
      <c r="E2538" s="21" t="str">
        <f aca="false">IF(OR(B2538="",N(N2538)=0,N2538=1000),IF(B2538="","","Check"),INDEX(Rules!$B:$B,N2538))</f>
        <v/>
      </c>
      <c r="F2538" s="21" t="str">
        <f aca="false">IF(OR(B2538="",N(N2538)=0,N2538=1000),"",INDEX(Rules!$C:$C,N2538))</f>
        <v/>
      </c>
      <c r="G2538" s="24"/>
      <c r="H2538" s="24"/>
      <c r="I2538" s="20" t="str">
        <f aca="false">IF(B2538="","",IF(G2538&lt;&gt;"",G2538,E2538))</f>
        <v/>
      </c>
      <c r="J2538" s="21" t="str">
        <f aca="false">IF(B2538="","",IF(H2538&lt;&gt;"",H2538,F2538))</f>
        <v/>
      </c>
      <c r="K2538" s="26" t="str">
        <f aca="false">IF(A2538="","",DATE(YEAR(A2538),MONTH(A2538),1))</f>
        <v/>
      </c>
      <c r="L2538" s="21" t="str">
        <f aca="false">IF(J2538="",IF(B2538="","",IF(N(C2538)&gt;=0,"Income","Expense")),IFERROR(INDEX(Lists!$B$2:$B$30,MATCH(J2538,Lists!$A$2:$A$30,0)),""))</f>
        <v/>
      </c>
      <c r="M2538" s="24"/>
      <c r="N2538" s="27" t="str">
        <f aca="false">IF(B2538="","",IFERROR(1000-SUMPRODUCT(MAX(ISNUMBER(SEARCH(Rules!$A$5:$A$204,B2538))*(Rules!$A$5:$A$204&lt;&gt;"")*(1000-ROW(Rules!$A$5:$A$204)))),""))</f>
        <v/>
      </c>
    </row>
    <row r="2539" customFormat="false" ht="15" hidden="false" customHeight="false" outlineLevel="0" collapsed="false">
      <c r="A2539" s="23"/>
      <c r="B2539" s="24"/>
      <c r="C2539" s="25"/>
      <c r="D2539" s="24"/>
      <c r="E2539" s="21" t="str">
        <f aca="false">IF(OR(B2539="",N(N2539)=0,N2539=1000),IF(B2539="","","Check"),INDEX(Rules!$B:$B,N2539))</f>
        <v/>
      </c>
      <c r="F2539" s="21" t="str">
        <f aca="false">IF(OR(B2539="",N(N2539)=0,N2539=1000),"",INDEX(Rules!$C:$C,N2539))</f>
        <v/>
      </c>
      <c r="G2539" s="24"/>
      <c r="H2539" s="24"/>
      <c r="I2539" s="20" t="str">
        <f aca="false">IF(B2539="","",IF(G2539&lt;&gt;"",G2539,E2539))</f>
        <v/>
      </c>
      <c r="J2539" s="21" t="str">
        <f aca="false">IF(B2539="","",IF(H2539&lt;&gt;"",H2539,F2539))</f>
        <v/>
      </c>
      <c r="K2539" s="26" t="str">
        <f aca="false">IF(A2539="","",DATE(YEAR(A2539),MONTH(A2539),1))</f>
        <v/>
      </c>
      <c r="L2539" s="21" t="str">
        <f aca="false">IF(J2539="",IF(B2539="","",IF(N(C2539)&gt;=0,"Income","Expense")),IFERROR(INDEX(Lists!$B$2:$B$30,MATCH(J2539,Lists!$A$2:$A$30,0)),""))</f>
        <v/>
      </c>
      <c r="M2539" s="24"/>
      <c r="N2539" s="27" t="str">
        <f aca="false">IF(B2539="","",IFERROR(1000-SUMPRODUCT(MAX(ISNUMBER(SEARCH(Rules!$A$5:$A$204,B2539))*(Rules!$A$5:$A$204&lt;&gt;"")*(1000-ROW(Rules!$A$5:$A$204)))),""))</f>
        <v/>
      </c>
    </row>
    <row r="2540" customFormat="false" ht="15" hidden="false" customHeight="false" outlineLevel="0" collapsed="false">
      <c r="A2540" s="23"/>
      <c r="B2540" s="24"/>
      <c r="C2540" s="25"/>
      <c r="D2540" s="24"/>
      <c r="E2540" s="21" t="str">
        <f aca="false">IF(OR(B2540="",N(N2540)=0,N2540=1000),IF(B2540="","","Check"),INDEX(Rules!$B:$B,N2540))</f>
        <v/>
      </c>
      <c r="F2540" s="21" t="str">
        <f aca="false">IF(OR(B2540="",N(N2540)=0,N2540=1000),"",INDEX(Rules!$C:$C,N2540))</f>
        <v/>
      </c>
      <c r="G2540" s="24"/>
      <c r="H2540" s="24"/>
      <c r="I2540" s="20" t="str">
        <f aca="false">IF(B2540="","",IF(G2540&lt;&gt;"",G2540,E2540))</f>
        <v/>
      </c>
      <c r="J2540" s="21" t="str">
        <f aca="false">IF(B2540="","",IF(H2540&lt;&gt;"",H2540,F2540))</f>
        <v/>
      </c>
      <c r="K2540" s="26" t="str">
        <f aca="false">IF(A2540="","",DATE(YEAR(A2540),MONTH(A2540),1))</f>
        <v/>
      </c>
      <c r="L2540" s="21" t="str">
        <f aca="false">IF(J2540="",IF(B2540="","",IF(N(C2540)&gt;=0,"Income","Expense")),IFERROR(INDEX(Lists!$B$2:$B$30,MATCH(J2540,Lists!$A$2:$A$30,0)),""))</f>
        <v/>
      </c>
      <c r="M2540" s="24"/>
      <c r="N2540" s="27" t="str">
        <f aca="false">IF(B2540="","",IFERROR(1000-SUMPRODUCT(MAX(ISNUMBER(SEARCH(Rules!$A$5:$A$204,B2540))*(Rules!$A$5:$A$204&lt;&gt;"")*(1000-ROW(Rules!$A$5:$A$204)))),""))</f>
        <v/>
      </c>
    </row>
    <row r="2541" customFormat="false" ht="15" hidden="false" customHeight="false" outlineLevel="0" collapsed="false">
      <c r="A2541" s="23"/>
      <c r="B2541" s="24"/>
      <c r="C2541" s="25"/>
      <c r="D2541" s="24"/>
      <c r="E2541" s="21" t="str">
        <f aca="false">IF(OR(B2541="",N(N2541)=0,N2541=1000),IF(B2541="","","Check"),INDEX(Rules!$B:$B,N2541))</f>
        <v/>
      </c>
      <c r="F2541" s="21" t="str">
        <f aca="false">IF(OR(B2541="",N(N2541)=0,N2541=1000),"",INDEX(Rules!$C:$C,N2541))</f>
        <v/>
      </c>
      <c r="G2541" s="24"/>
      <c r="H2541" s="24"/>
      <c r="I2541" s="20" t="str">
        <f aca="false">IF(B2541="","",IF(G2541&lt;&gt;"",G2541,E2541))</f>
        <v/>
      </c>
      <c r="J2541" s="21" t="str">
        <f aca="false">IF(B2541="","",IF(H2541&lt;&gt;"",H2541,F2541))</f>
        <v/>
      </c>
      <c r="K2541" s="26" t="str">
        <f aca="false">IF(A2541="","",DATE(YEAR(A2541),MONTH(A2541),1))</f>
        <v/>
      </c>
      <c r="L2541" s="21" t="str">
        <f aca="false">IF(J2541="",IF(B2541="","",IF(N(C2541)&gt;=0,"Income","Expense")),IFERROR(INDEX(Lists!$B$2:$B$30,MATCH(J2541,Lists!$A$2:$A$30,0)),""))</f>
        <v/>
      </c>
      <c r="M2541" s="24"/>
      <c r="N2541" s="27" t="str">
        <f aca="false">IF(B2541="","",IFERROR(1000-SUMPRODUCT(MAX(ISNUMBER(SEARCH(Rules!$A$5:$A$204,B2541))*(Rules!$A$5:$A$204&lt;&gt;"")*(1000-ROW(Rules!$A$5:$A$204)))),""))</f>
        <v/>
      </c>
    </row>
    <row r="2542" customFormat="false" ht="15" hidden="false" customHeight="false" outlineLevel="0" collapsed="false">
      <c r="A2542" s="23"/>
      <c r="B2542" s="24"/>
      <c r="C2542" s="25"/>
      <c r="D2542" s="24"/>
      <c r="E2542" s="21" t="str">
        <f aca="false">IF(OR(B2542="",N(N2542)=0,N2542=1000),IF(B2542="","","Check"),INDEX(Rules!$B:$B,N2542))</f>
        <v/>
      </c>
      <c r="F2542" s="21" t="str">
        <f aca="false">IF(OR(B2542="",N(N2542)=0,N2542=1000),"",INDEX(Rules!$C:$C,N2542))</f>
        <v/>
      </c>
      <c r="G2542" s="24"/>
      <c r="H2542" s="24"/>
      <c r="I2542" s="20" t="str">
        <f aca="false">IF(B2542="","",IF(G2542&lt;&gt;"",G2542,E2542))</f>
        <v/>
      </c>
      <c r="J2542" s="21" t="str">
        <f aca="false">IF(B2542="","",IF(H2542&lt;&gt;"",H2542,F2542))</f>
        <v/>
      </c>
      <c r="K2542" s="26" t="str">
        <f aca="false">IF(A2542="","",DATE(YEAR(A2542),MONTH(A2542),1))</f>
        <v/>
      </c>
      <c r="L2542" s="21" t="str">
        <f aca="false">IF(J2542="",IF(B2542="","",IF(N(C2542)&gt;=0,"Income","Expense")),IFERROR(INDEX(Lists!$B$2:$B$30,MATCH(J2542,Lists!$A$2:$A$30,0)),""))</f>
        <v/>
      </c>
      <c r="M2542" s="24"/>
      <c r="N2542" s="27" t="str">
        <f aca="false">IF(B2542="","",IFERROR(1000-SUMPRODUCT(MAX(ISNUMBER(SEARCH(Rules!$A$5:$A$204,B2542))*(Rules!$A$5:$A$204&lt;&gt;"")*(1000-ROW(Rules!$A$5:$A$204)))),""))</f>
        <v/>
      </c>
    </row>
    <row r="2543" customFormat="false" ht="15" hidden="false" customHeight="false" outlineLevel="0" collapsed="false">
      <c r="A2543" s="23"/>
      <c r="B2543" s="24"/>
      <c r="C2543" s="25"/>
      <c r="D2543" s="24"/>
      <c r="E2543" s="21" t="str">
        <f aca="false">IF(OR(B2543="",N(N2543)=0,N2543=1000),IF(B2543="","","Check"),INDEX(Rules!$B:$B,N2543))</f>
        <v/>
      </c>
      <c r="F2543" s="21" t="str">
        <f aca="false">IF(OR(B2543="",N(N2543)=0,N2543=1000),"",INDEX(Rules!$C:$C,N2543))</f>
        <v/>
      </c>
      <c r="G2543" s="24"/>
      <c r="H2543" s="24"/>
      <c r="I2543" s="20" t="str">
        <f aca="false">IF(B2543="","",IF(G2543&lt;&gt;"",G2543,E2543))</f>
        <v/>
      </c>
      <c r="J2543" s="21" t="str">
        <f aca="false">IF(B2543="","",IF(H2543&lt;&gt;"",H2543,F2543))</f>
        <v/>
      </c>
      <c r="K2543" s="26" t="str">
        <f aca="false">IF(A2543="","",DATE(YEAR(A2543),MONTH(A2543),1))</f>
        <v/>
      </c>
      <c r="L2543" s="21" t="str">
        <f aca="false">IF(J2543="",IF(B2543="","",IF(N(C2543)&gt;=0,"Income","Expense")),IFERROR(INDEX(Lists!$B$2:$B$30,MATCH(J2543,Lists!$A$2:$A$30,0)),""))</f>
        <v/>
      </c>
      <c r="M2543" s="24"/>
      <c r="N2543" s="27" t="str">
        <f aca="false">IF(B2543="","",IFERROR(1000-SUMPRODUCT(MAX(ISNUMBER(SEARCH(Rules!$A$5:$A$204,B2543))*(Rules!$A$5:$A$204&lt;&gt;"")*(1000-ROW(Rules!$A$5:$A$204)))),""))</f>
        <v/>
      </c>
    </row>
    <row r="2544" customFormat="false" ht="15" hidden="false" customHeight="false" outlineLevel="0" collapsed="false">
      <c r="A2544" s="23"/>
      <c r="B2544" s="24"/>
      <c r="C2544" s="25"/>
      <c r="D2544" s="24"/>
      <c r="E2544" s="21" t="str">
        <f aca="false">IF(OR(B2544="",N(N2544)=0,N2544=1000),IF(B2544="","","Check"),INDEX(Rules!$B:$B,N2544))</f>
        <v/>
      </c>
      <c r="F2544" s="21" t="str">
        <f aca="false">IF(OR(B2544="",N(N2544)=0,N2544=1000),"",INDEX(Rules!$C:$C,N2544))</f>
        <v/>
      </c>
      <c r="G2544" s="24"/>
      <c r="H2544" s="24"/>
      <c r="I2544" s="20" t="str">
        <f aca="false">IF(B2544="","",IF(G2544&lt;&gt;"",G2544,E2544))</f>
        <v/>
      </c>
      <c r="J2544" s="21" t="str">
        <f aca="false">IF(B2544="","",IF(H2544&lt;&gt;"",H2544,F2544))</f>
        <v/>
      </c>
      <c r="K2544" s="26" t="str">
        <f aca="false">IF(A2544="","",DATE(YEAR(A2544),MONTH(A2544),1))</f>
        <v/>
      </c>
      <c r="L2544" s="21" t="str">
        <f aca="false">IF(J2544="",IF(B2544="","",IF(N(C2544)&gt;=0,"Income","Expense")),IFERROR(INDEX(Lists!$B$2:$B$30,MATCH(J2544,Lists!$A$2:$A$30,0)),""))</f>
        <v/>
      </c>
      <c r="M2544" s="24"/>
      <c r="N2544" s="27" t="str">
        <f aca="false">IF(B2544="","",IFERROR(1000-SUMPRODUCT(MAX(ISNUMBER(SEARCH(Rules!$A$5:$A$204,B2544))*(Rules!$A$5:$A$204&lt;&gt;"")*(1000-ROW(Rules!$A$5:$A$204)))),""))</f>
        <v/>
      </c>
    </row>
    <row r="2545" customFormat="false" ht="15" hidden="false" customHeight="false" outlineLevel="0" collapsed="false">
      <c r="A2545" s="23"/>
      <c r="B2545" s="24"/>
      <c r="C2545" s="25"/>
      <c r="D2545" s="24"/>
      <c r="E2545" s="21" t="str">
        <f aca="false">IF(OR(B2545="",N(N2545)=0,N2545=1000),IF(B2545="","","Check"),INDEX(Rules!$B:$B,N2545))</f>
        <v/>
      </c>
      <c r="F2545" s="21" t="str">
        <f aca="false">IF(OR(B2545="",N(N2545)=0,N2545=1000),"",INDEX(Rules!$C:$C,N2545))</f>
        <v/>
      </c>
      <c r="G2545" s="24"/>
      <c r="H2545" s="24"/>
      <c r="I2545" s="20" t="str">
        <f aca="false">IF(B2545="","",IF(G2545&lt;&gt;"",G2545,E2545))</f>
        <v/>
      </c>
      <c r="J2545" s="21" t="str">
        <f aca="false">IF(B2545="","",IF(H2545&lt;&gt;"",H2545,F2545))</f>
        <v/>
      </c>
      <c r="K2545" s="26" t="str">
        <f aca="false">IF(A2545="","",DATE(YEAR(A2545),MONTH(A2545),1))</f>
        <v/>
      </c>
      <c r="L2545" s="21" t="str">
        <f aca="false">IF(J2545="",IF(B2545="","",IF(N(C2545)&gt;=0,"Income","Expense")),IFERROR(INDEX(Lists!$B$2:$B$30,MATCH(J2545,Lists!$A$2:$A$30,0)),""))</f>
        <v/>
      </c>
      <c r="M2545" s="24"/>
      <c r="N2545" s="27" t="str">
        <f aca="false">IF(B2545="","",IFERROR(1000-SUMPRODUCT(MAX(ISNUMBER(SEARCH(Rules!$A$5:$A$204,B2545))*(Rules!$A$5:$A$204&lt;&gt;"")*(1000-ROW(Rules!$A$5:$A$204)))),""))</f>
        <v/>
      </c>
    </row>
    <row r="2546" customFormat="false" ht="15" hidden="false" customHeight="false" outlineLevel="0" collapsed="false">
      <c r="A2546" s="23"/>
      <c r="B2546" s="24"/>
      <c r="C2546" s="25"/>
      <c r="D2546" s="24"/>
      <c r="E2546" s="21" t="str">
        <f aca="false">IF(OR(B2546="",N(N2546)=0,N2546=1000),IF(B2546="","","Check"),INDEX(Rules!$B:$B,N2546))</f>
        <v/>
      </c>
      <c r="F2546" s="21" t="str">
        <f aca="false">IF(OR(B2546="",N(N2546)=0,N2546=1000),"",INDEX(Rules!$C:$C,N2546))</f>
        <v/>
      </c>
      <c r="G2546" s="24"/>
      <c r="H2546" s="24"/>
      <c r="I2546" s="20" t="str">
        <f aca="false">IF(B2546="","",IF(G2546&lt;&gt;"",G2546,E2546))</f>
        <v/>
      </c>
      <c r="J2546" s="21" t="str">
        <f aca="false">IF(B2546="","",IF(H2546&lt;&gt;"",H2546,F2546))</f>
        <v/>
      </c>
      <c r="K2546" s="26" t="str">
        <f aca="false">IF(A2546="","",DATE(YEAR(A2546),MONTH(A2546),1))</f>
        <v/>
      </c>
      <c r="L2546" s="21" t="str">
        <f aca="false">IF(J2546="",IF(B2546="","",IF(N(C2546)&gt;=0,"Income","Expense")),IFERROR(INDEX(Lists!$B$2:$B$30,MATCH(J2546,Lists!$A$2:$A$30,0)),""))</f>
        <v/>
      </c>
      <c r="M2546" s="24"/>
      <c r="N2546" s="27" t="str">
        <f aca="false">IF(B2546="","",IFERROR(1000-SUMPRODUCT(MAX(ISNUMBER(SEARCH(Rules!$A$5:$A$204,B2546))*(Rules!$A$5:$A$204&lt;&gt;"")*(1000-ROW(Rules!$A$5:$A$204)))),""))</f>
        <v/>
      </c>
    </row>
    <row r="2547" customFormat="false" ht="15" hidden="false" customHeight="false" outlineLevel="0" collapsed="false">
      <c r="A2547" s="23"/>
      <c r="B2547" s="24"/>
      <c r="C2547" s="25"/>
      <c r="D2547" s="24"/>
      <c r="E2547" s="21" t="str">
        <f aca="false">IF(OR(B2547="",N(N2547)=0,N2547=1000),IF(B2547="","","Check"),INDEX(Rules!$B:$B,N2547))</f>
        <v/>
      </c>
      <c r="F2547" s="21" t="str">
        <f aca="false">IF(OR(B2547="",N(N2547)=0,N2547=1000),"",INDEX(Rules!$C:$C,N2547))</f>
        <v/>
      </c>
      <c r="G2547" s="24"/>
      <c r="H2547" s="24"/>
      <c r="I2547" s="20" t="str">
        <f aca="false">IF(B2547="","",IF(G2547&lt;&gt;"",G2547,E2547))</f>
        <v/>
      </c>
      <c r="J2547" s="21" t="str">
        <f aca="false">IF(B2547="","",IF(H2547&lt;&gt;"",H2547,F2547))</f>
        <v/>
      </c>
      <c r="K2547" s="26" t="str">
        <f aca="false">IF(A2547="","",DATE(YEAR(A2547),MONTH(A2547),1))</f>
        <v/>
      </c>
      <c r="L2547" s="21" t="str">
        <f aca="false">IF(J2547="",IF(B2547="","",IF(N(C2547)&gt;=0,"Income","Expense")),IFERROR(INDEX(Lists!$B$2:$B$30,MATCH(J2547,Lists!$A$2:$A$30,0)),""))</f>
        <v/>
      </c>
      <c r="M2547" s="24"/>
      <c r="N2547" s="27" t="str">
        <f aca="false">IF(B2547="","",IFERROR(1000-SUMPRODUCT(MAX(ISNUMBER(SEARCH(Rules!$A$5:$A$204,B2547))*(Rules!$A$5:$A$204&lt;&gt;"")*(1000-ROW(Rules!$A$5:$A$204)))),""))</f>
        <v/>
      </c>
    </row>
    <row r="2548" customFormat="false" ht="15" hidden="false" customHeight="false" outlineLevel="0" collapsed="false">
      <c r="A2548" s="23"/>
      <c r="B2548" s="24"/>
      <c r="C2548" s="25"/>
      <c r="D2548" s="24"/>
      <c r="E2548" s="21" t="str">
        <f aca="false">IF(OR(B2548="",N(N2548)=0,N2548=1000),IF(B2548="","","Check"),INDEX(Rules!$B:$B,N2548))</f>
        <v/>
      </c>
      <c r="F2548" s="21" t="str">
        <f aca="false">IF(OR(B2548="",N(N2548)=0,N2548=1000),"",INDEX(Rules!$C:$C,N2548))</f>
        <v/>
      </c>
      <c r="G2548" s="24"/>
      <c r="H2548" s="24"/>
      <c r="I2548" s="20" t="str">
        <f aca="false">IF(B2548="","",IF(G2548&lt;&gt;"",G2548,E2548))</f>
        <v/>
      </c>
      <c r="J2548" s="21" t="str">
        <f aca="false">IF(B2548="","",IF(H2548&lt;&gt;"",H2548,F2548))</f>
        <v/>
      </c>
      <c r="K2548" s="26" t="str">
        <f aca="false">IF(A2548="","",DATE(YEAR(A2548),MONTH(A2548),1))</f>
        <v/>
      </c>
      <c r="L2548" s="21" t="str">
        <f aca="false">IF(J2548="",IF(B2548="","",IF(N(C2548)&gt;=0,"Income","Expense")),IFERROR(INDEX(Lists!$B$2:$B$30,MATCH(J2548,Lists!$A$2:$A$30,0)),""))</f>
        <v/>
      </c>
      <c r="M2548" s="24"/>
      <c r="N2548" s="27" t="str">
        <f aca="false">IF(B2548="","",IFERROR(1000-SUMPRODUCT(MAX(ISNUMBER(SEARCH(Rules!$A$5:$A$204,B2548))*(Rules!$A$5:$A$204&lt;&gt;"")*(1000-ROW(Rules!$A$5:$A$204)))),""))</f>
        <v/>
      </c>
    </row>
    <row r="2549" customFormat="false" ht="15" hidden="false" customHeight="false" outlineLevel="0" collapsed="false">
      <c r="A2549" s="23"/>
      <c r="B2549" s="24"/>
      <c r="C2549" s="25"/>
      <c r="D2549" s="24"/>
      <c r="E2549" s="21" t="str">
        <f aca="false">IF(OR(B2549="",N(N2549)=0,N2549=1000),IF(B2549="","","Check"),INDEX(Rules!$B:$B,N2549))</f>
        <v/>
      </c>
      <c r="F2549" s="21" t="str">
        <f aca="false">IF(OR(B2549="",N(N2549)=0,N2549=1000),"",INDEX(Rules!$C:$C,N2549))</f>
        <v/>
      </c>
      <c r="G2549" s="24"/>
      <c r="H2549" s="24"/>
      <c r="I2549" s="20" t="str">
        <f aca="false">IF(B2549="","",IF(G2549&lt;&gt;"",G2549,E2549))</f>
        <v/>
      </c>
      <c r="J2549" s="21" t="str">
        <f aca="false">IF(B2549="","",IF(H2549&lt;&gt;"",H2549,F2549))</f>
        <v/>
      </c>
      <c r="K2549" s="26" t="str">
        <f aca="false">IF(A2549="","",DATE(YEAR(A2549),MONTH(A2549),1))</f>
        <v/>
      </c>
      <c r="L2549" s="21" t="str">
        <f aca="false">IF(J2549="",IF(B2549="","",IF(N(C2549)&gt;=0,"Income","Expense")),IFERROR(INDEX(Lists!$B$2:$B$30,MATCH(J2549,Lists!$A$2:$A$30,0)),""))</f>
        <v/>
      </c>
      <c r="M2549" s="24"/>
      <c r="N2549" s="27" t="str">
        <f aca="false">IF(B2549="","",IFERROR(1000-SUMPRODUCT(MAX(ISNUMBER(SEARCH(Rules!$A$5:$A$204,B2549))*(Rules!$A$5:$A$204&lt;&gt;"")*(1000-ROW(Rules!$A$5:$A$204)))),""))</f>
        <v/>
      </c>
    </row>
    <row r="2550" customFormat="false" ht="15" hidden="false" customHeight="false" outlineLevel="0" collapsed="false">
      <c r="A2550" s="23"/>
      <c r="B2550" s="24"/>
      <c r="C2550" s="25"/>
      <c r="D2550" s="24"/>
      <c r="E2550" s="21" t="str">
        <f aca="false">IF(OR(B2550="",N(N2550)=0,N2550=1000),IF(B2550="","","Check"),INDEX(Rules!$B:$B,N2550))</f>
        <v/>
      </c>
      <c r="F2550" s="21" t="str">
        <f aca="false">IF(OR(B2550="",N(N2550)=0,N2550=1000),"",INDEX(Rules!$C:$C,N2550))</f>
        <v/>
      </c>
      <c r="G2550" s="24"/>
      <c r="H2550" s="24"/>
      <c r="I2550" s="20" t="str">
        <f aca="false">IF(B2550="","",IF(G2550&lt;&gt;"",G2550,E2550))</f>
        <v/>
      </c>
      <c r="J2550" s="21" t="str">
        <f aca="false">IF(B2550="","",IF(H2550&lt;&gt;"",H2550,F2550))</f>
        <v/>
      </c>
      <c r="K2550" s="26" t="str">
        <f aca="false">IF(A2550="","",DATE(YEAR(A2550),MONTH(A2550),1))</f>
        <v/>
      </c>
      <c r="L2550" s="21" t="str">
        <f aca="false">IF(J2550="",IF(B2550="","",IF(N(C2550)&gt;=0,"Income","Expense")),IFERROR(INDEX(Lists!$B$2:$B$30,MATCH(J2550,Lists!$A$2:$A$30,0)),""))</f>
        <v/>
      </c>
      <c r="M2550" s="24"/>
      <c r="N2550" s="27" t="str">
        <f aca="false">IF(B2550="","",IFERROR(1000-SUMPRODUCT(MAX(ISNUMBER(SEARCH(Rules!$A$5:$A$204,B2550))*(Rules!$A$5:$A$204&lt;&gt;"")*(1000-ROW(Rules!$A$5:$A$204)))),""))</f>
        <v/>
      </c>
    </row>
    <row r="2551" customFormat="false" ht="15" hidden="false" customHeight="false" outlineLevel="0" collapsed="false">
      <c r="A2551" s="23"/>
      <c r="B2551" s="24"/>
      <c r="C2551" s="25"/>
      <c r="D2551" s="24"/>
      <c r="E2551" s="21" t="str">
        <f aca="false">IF(OR(B2551="",N(N2551)=0,N2551=1000),IF(B2551="","","Check"),INDEX(Rules!$B:$B,N2551))</f>
        <v/>
      </c>
      <c r="F2551" s="21" t="str">
        <f aca="false">IF(OR(B2551="",N(N2551)=0,N2551=1000),"",INDEX(Rules!$C:$C,N2551))</f>
        <v/>
      </c>
      <c r="G2551" s="24"/>
      <c r="H2551" s="24"/>
      <c r="I2551" s="20" t="str">
        <f aca="false">IF(B2551="","",IF(G2551&lt;&gt;"",G2551,E2551))</f>
        <v/>
      </c>
      <c r="J2551" s="21" t="str">
        <f aca="false">IF(B2551="","",IF(H2551&lt;&gt;"",H2551,F2551))</f>
        <v/>
      </c>
      <c r="K2551" s="26" t="str">
        <f aca="false">IF(A2551="","",DATE(YEAR(A2551),MONTH(A2551),1))</f>
        <v/>
      </c>
      <c r="L2551" s="21" t="str">
        <f aca="false">IF(J2551="",IF(B2551="","",IF(N(C2551)&gt;=0,"Income","Expense")),IFERROR(INDEX(Lists!$B$2:$B$30,MATCH(J2551,Lists!$A$2:$A$30,0)),""))</f>
        <v/>
      </c>
      <c r="M2551" s="24"/>
      <c r="N2551" s="27" t="str">
        <f aca="false">IF(B2551="","",IFERROR(1000-SUMPRODUCT(MAX(ISNUMBER(SEARCH(Rules!$A$5:$A$204,B2551))*(Rules!$A$5:$A$204&lt;&gt;"")*(1000-ROW(Rules!$A$5:$A$204)))),""))</f>
        <v/>
      </c>
    </row>
    <row r="2552" customFormat="false" ht="15" hidden="false" customHeight="false" outlineLevel="0" collapsed="false">
      <c r="A2552" s="23"/>
      <c r="B2552" s="24"/>
      <c r="C2552" s="25"/>
      <c r="D2552" s="24"/>
      <c r="E2552" s="21" t="str">
        <f aca="false">IF(OR(B2552="",N(N2552)=0,N2552=1000),IF(B2552="","","Check"),INDEX(Rules!$B:$B,N2552))</f>
        <v/>
      </c>
      <c r="F2552" s="21" t="str">
        <f aca="false">IF(OR(B2552="",N(N2552)=0,N2552=1000),"",INDEX(Rules!$C:$C,N2552))</f>
        <v/>
      </c>
      <c r="G2552" s="24"/>
      <c r="H2552" s="24"/>
      <c r="I2552" s="20" t="str">
        <f aca="false">IF(B2552="","",IF(G2552&lt;&gt;"",G2552,E2552))</f>
        <v/>
      </c>
      <c r="J2552" s="21" t="str">
        <f aca="false">IF(B2552="","",IF(H2552&lt;&gt;"",H2552,F2552))</f>
        <v/>
      </c>
      <c r="K2552" s="26" t="str">
        <f aca="false">IF(A2552="","",DATE(YEAR(A2552),MONTH(A2552),1))</f>
        <v/>
      </c>
      <c r="L2552" s="21" t="str">
        <f aca="false">IF(J2552="",IF(B2552="","",IF(N(C2552)&gt;=0,"Income","Expense")),IFERROR(INDEX(Lists!$B$2:$B$30,MATCH(J2552,Lists!$A$2:$A$30,0)),""))</f>
        <v/>
      </c>
      <c r="M2552" s="24"/>
      <c r="N2552" s="27" t="str">
        <f aca="false">IF(B2552="","",IFERROR(1000-SUMPRODUCT(MAX(ISNUMBER(SEARCH(Rules!$A$5:$A$204,B2552))*(Rules!$A$5:$A$204&lt;&gt;"")*(1000-ROW(Rules!$A$5:$A$204)))),""))</f>
        <v/>
      </c>
    </row>
    <row r="2553" customFormat="false" ht="15" hidden="false" customHeight="false" outlineLevel="0" collapsed="false">
      <c r="A2553" s="23"/>
      <c r="B2553" s="24"/>
      <c r="C2553" s="25"/>
      <c r="D2553" s="24"/>
      <c r="E2553" s="21" t="str">
        <f aca="false">IF(OR(B2553="",N(N2553)=0,N2553=1000),IF(B2553="","","Check"),INDEX(Rules!$B:$B,N2553))</f>
        <v/>
      </c>
      <c r="F2553" s="21" t="str">
        <f aca="false">IF(OR(B2553="",N(N2553)=0,N2553=1000),"",INDEX(Rules!$C:$C,N2553))</f>
        <v/>
      </c>
      <c r="G2553" s="24"/>
      <c r="H2553" s="24"/>
      <c r="I2553" s="20" t="str">
        <f aca="false">IF(B2553="","",IF(G2553&lt;&gt;"",G2553,E2553))</f>
        <v/>
      </c>
      <c r="J2553" s="21" t="str">
        <f aca="false">IF(B2553="","",IF(H2553&lt;&gt;"",H2553,F2553))</f>
        <v/>
      </c>
      <c r="K2553" s="26" t="str">
        <f aca="false">IF(A2553="","",DATE(YEAR(A2553),MONTH(A2553),1))</f>
        <v/>
      </c>
      <c r="L2553" s="21" t="str">
        <f aca="false">IF(J2553="",IF(B2553="","",IF(N(C2553)&gt;=0,"Income","Expense")),IFERROR(INDEX(Lists!$B$2:$B$30,MATCH(J2553,Lists!$A$2:$A$30,0)),""))</f>
        <v/>
      </c>
      <c r="M2553" s="24"/>
      <c r="N2553" s="27" t="str">
        <f aca="false">IF(B2553="","",IFERROR(1000-SUMPRODUCT(MAX(ISNUMBER(SEARCH(Rules!$A$5:$A$204,B2553))*(Rules!$A$5:$A$204&lt;&gt;"")*(1000-ROW(Rules!$A$5:$A$204)))),""))</f>
        <v/>
      </c>
    </row>
    <row r="2554" customFormat="false" ht="15" hidden="false" customHeight="false" outlineLevel="0" collapsed="false">
      <c r="A2554" s="23"/>
      <c r="B2554" s="24"/>
      <c r="C2554" s="25"/>
      <c r="D2554" s="24"/>
      <c r="E2554" s="21" t="str">
        <f aca="false">IF(OR(B2554="",N(N2554)=0,N2554=1000),IF(B2554="","","Check"),INDEX(Rules!$B:$B,N2554))</f>
        <v/>
      </c>
      <c r="F2554" s="21" t="str">
        <f aca="false">IF(OR(B2554="",N(N2554)=0,N2554=1000),"",INDEX(Rules!$C:$C,N2554))</f>
        <v/>
      </c>
      <c r="G2554" s="24"/>
      <c r="H2554" s="24"/>
      <c r="I2554" s="20" t="str">
        <f aca="false">IF(B2554="","",IF(G2554&lt;&gt;"",G2554,E2554))</f>
        <v/>
      </c>
      <c r="J2554" s="21" t="str">
        <f aca="false">IF(B2554="","",IF(H2554&lt;&gt;"",H2554,F2554))</f>
        <v/>
      </c>
      <c r="K2554" s="26" t="str">
        <f aca="false">IF(A2554="","",DATE(YEAR(A2554),MONTH(A2554),1))</f>
        <v/>
      </c>
      <c r="L2554" s="21" t="str">
        <f aca="false">IF(J2554="",IF(B2554="","",IF(N(C2554)&gt;=0,"Income","Expense")),IFERROR(INDEX(Lists!$B$2:$B$30,MATCH(J2554,Lists!$A$2:$A$30,0)),""))</f>
        <v/>
      </c>
      <c r="M2554" s="24"/>
      <c r="N2554" s="27" t="str">
        <f aca="false">IF(B2554="","",IFERROR(1000-SUMPRODUCT(MAX(ISNUMBER(SEARCH(Rules!$A$5:$A$204,B2554))*(Rules!$A$5:$A$204&lt;&gt;"")*(1000-ROW(Rules!$A$5:$A$204)))),""))</f>
        <v/>
      </c>
    </row>
    <row r="2555" customFormat="false" ht="15" hidden="false" customHeight="false" outlineLevel="0" collapsed="false">
      <c r="A2555" s="23"/>
      <c r="B2555" s="24"/>
      <c r="C2555" s="25"/>
      <c r="D2555" s="24"/>
      <c r="E2555" s="21" t="str">
        <f aca="false">IF(OR(B2555="",N(N2555)=0,N2555=1000),IF(B2555="","","Check"),INDEX(Rules!$B:$B,N2555))</f>
        <v/>
      </c>
      <c r="F2555" s="21" t="str">
        <f aca="false">IF(OR(B2555="",N(N2555)=0,N2555=1000),"",INDEX(Rules!$C:$C,N2555))</f>
        <v/>
      </c>
      <c r="G2555" s="24"/>
      <c r="H2555" s="24"/>
      <c r="I2555" s="20" t="str">
        <f aca="false">IF(B2555="","",IF(G2555&lt;&gt;"",G2555,E2555))</f>
        <v/>
      </c>
      <c r="J2555" s="21" t="str">
        <f aca="false">IF(B2555="","",IF(H2555&lt;&gt;"",H2555,F2555))</f>
        <v/>
      </c>
      <c r="K2555" s="26" t="str">
        <f aca="false">IF(A2555="","",DATE(YEAR(A2555),MONTH(A2555),1))</f>
        <v/>
      </c>
      <c r="L2555" s="21" t="str">
        <f aca="false">IF(J2555="",IF(B2555="","",IF(N(C2555)&gt;=0,"Income","Expense")),IFERROR(INDEX(Lists!$B$2:$B$30,MATCH(J2555,Lists!$A$2:$A$30,0)),""))</f>
        <v/>
      </c>
      <c r="M2555" s="24"/>
      <c r="N2555" s="27" t="str">
        <f aca="false">IF(B2555="","",IFERROR(1000-SUMPRODUCT(MAX(ISNUMBER(SEARCH(Rules!$A$5:$A$204,B2555))*(Rules!$A$5:$A$204&lt;&gt;"")*(1000-ROW(Rules!$A$5:$A$204)))),""))</f>
        <v/>
      </c>
    </row>
    <row r="2556" customFormat="false" ht="15" hidden="false" customHeight="false" outlineLevel="0" collapsed="false">
      <c r="A2556" s="23"/>
      <c r="B2556" s="24"/>
      <c r="C2556" s="25"/>
      <c r="D2556" s="24"/>
      <c r="E2556" s="21" t="str">
        <f aca="false">IF(OR(B2556="",N(N2556)=0,N2556=1000),IF(B2556="","","Check"),INDEX(Rules!$B:$B,N2556))</f>
        <v/>
      </c>
      <c r="F2556" s="21" t="str">
        <f aca="false">IF(OR(B2556="",N(N2556)=0,N2556=1000),"",INDEX(Rules!$C:$C,N2556))</f>
        <v/>
      </c>
      <c r="G2556" s="24"/>
      <c r="H2556" s="24"/>
      <c r="I2556" s="20" t="str">
        <f aca="false">IF(B2556="","",IF(G2556&lt;&gt;"",G2556,E2556))</f>
        <v/>
      </c>
      <c r="J2556" s="21" t="str">
        <f aca="false">IF(B2556="","",IF(H2556&lt;&gt;"",H2556,F2556))</f>
        <v/>
      </c>
      <c r="K2556" s="26" t="str">
        <f aca="false">IF(A2556="","",DATE(YEAR(A2556),MONTH(A2556),1))</f>
        <v/>
      </c>
      <c r="L2556" s="21" t="str">
        <f aca="false">IF(J2556="",IF(B2556="","",IF(N(C2556)&gt;=0,"Income","Expense")),IFERROR(INDEX(Lists!$B$2:$B$30,MATCH(J2556,Lists!$A$2:$A$30,0)),""))</f>
        <v/>
      </c>
      <c r="M2556" s="24"/>
      <c r="N2556" s="27" t="str">
        <f aca="false">IF(B2556="","",IFERROR(1000-SUMPRODUCT(MAX(ISNUMBER(SEARCH(Rules!$A$5:$A$204,B2556))*(Rules!$A$5:$A$204&lt;&gt;"")*(1000-ROW(Rules!$A$5:$A$204)))),""))</f>
        <v/>
      </c>
    </row>
    <row r="2557" customFormat="false" ht="15" hidden="false" customHeight="false" outlineLevel="0" collapsed="false">
      <c r="A2557" s="23"/>
      <c r="B2557" s="24"/>
      <c r="C2557" s="25"/>
      <c r="D2557" s="24"/>
      <c r="E2557" s="21" t="str">
        <f aca="false">IF(OR(B2557="",N(N2557)=0,N2557=1000),IF(B2557="","","Check"),INDEX(Rules!$B:$B,N2557))</f>
        <v/>
      </c>
      <c r="F2557" s="21" t="str">
        <f aca="false">IF(OR(B2557="",N(N2557)=0,N2557=1000),"",INDEX(Rules!$C:$C,N2557))</f>
        <v/>
      </c>
      <c r="G2557" s="24"/>
      <c r="H2557" s="24"/>
      <c r="I2557" s="20" t="str">
        <f aca="false">IF(B2557="","",IF(G2557&lt;&gt;"",G2557,E2557))</f>
        <v/>
      </c>
      <c r="J2557" s="21" t="str">
        <f aca="false">IF(B2557="","",IF(H2557&lt;&gt;"",H2557,F2557))</f>
        <v/>
      </c>
      <c r="K2557" s="26" t="str">
        <f aca="false">IF(A2557="","",DATE(YEAR(A2557),MONTH(A2557),1))</f>
        <v/>
      </c>
      <c r="L2557" s="21" t="str">
        <f aca="false">IF(J2557="",IF(B2557="","",IF(N(C2557)&gt;=0,"Income","Expense")),IFERROR(INDEX(Lists!$B$2:$B$30,MATCH(J2557,Lists!$A$2:$A$30,0)),""))</f>
        <v/>
      </c>
      <c r="M2557" s="24"/>
      <c r="N2557" s="27" t="str">
        <f aca="false">IF(B2557="","",IFERROR(1000-SUMPRODUCT(MAX(ISNUMBER(SEARCH(Rules!$A$5:$A$204,B2557))*(Rules!$A$5:$A$204&lt;&gt;"")*(1000-ROW(Rules!$A$5:$A$204)))),""))</f>
        <v/>
      </c>
    </row>
    <row r="2558" customFormat="false" ht="15" hidden="false" customHeight="false" outlineLevel="0" collapsed="false">
      <c r="A2558" s="23"/>
      <c r="B2558" s="24"/>
      <c r="C2558" s="25"/>
      <c r="D2558" s="24"/>
      <c r="E2558" s="21" t="str">
        <f aca="false">IF(OR(B2558="",N(N2558)=0,N2558=1000),IF(B2558="","","Check"),INDEX(Rules!$B:$B,N2558))</f>
        <v/>
      </c>
      <c r="F2558" s="21" t="str">
        <f aca="false">IF(OR(B2558="",N(N2558)=0,N2558=1000),"",INDEX(Rules!$C:$C,N2558))</f>
        <v/>
      </c>
      <c r="G2558" s="24"/>
      <c r="H2558" s="24"/>
      <c r="I2558" s="20" t="str">
        <f aca="false">IF(B2558="","",IF(G2558&lt;&gt;"",G2558,E2558))</f>
        <v/>
      </c>
      <c r="J2558" s="21" t="str">
        <f aca="false">IF(B2558="","",IF(H2558&lt;&gt;"",H2558,F2558))</f>
        <v/>
      </c>
      <c r="K2558" s="26" t="str">
        <f aca="false">IF(A2558="","",DATE(YEAR(A2558),MONTH(A2558),1))</f>
        <v/>
      </c>
      <c r="L2558" s="21" t="str">
        <f aca="false">IF(J2558="",IF(B2558="","",IF(N(C2558)&gt;=0,"Income","Expense")),IFERROR(INDEX(Lists!$B$2:$B$30,MATCH(J2558,Lists!$A$2:$A$30,0)),""))</f>
        <v/>
      </c>
      <c r="M2558" s="24"/>
      <c r="N2558" s="27" t="str">
        <f aca="false">IF(B2558="","",IFERROR(1000-SUMPRODUCT(MAX(ISNUMBER(SEARCH(Rules!$A$5:$A$204,B2558))*(Rules!$A$5:$A$204&lt;&gt;"")*(1000-ROW(Rules!$A$5:$A$204)))),""))</f>
        <v/>
      </c>
    </row>
    <row r="2559" customFormat="false" ht="15" hidden="false" customHeight="false" outlineLevel="0" collapsed="false">
      <c r="A2559" s="23"/>
      <c r="B2559" s="24"/>
      <c r="C2559" s="25"/>
      <c r="D2559" s="24"/>
      <c r="E2559" s="21" t="str">
        <f aca="false">IF(OR(B2559="",N(N2559)=0,N2559=1000),IF(B2559="","","Check"),INDEX(Rules!$B:$B,N2559))</f>
        <v/>
      </c>
      <c r="F2559" s="21" t="str">
        <f aca="false">IF(OR(B2559="",N(N2559)=0,N2559=1000),"",INDEX(Rules!$C:$C,N2559))</f>
        <v/>
      </c>
      <c r="G2559" s="24"/>
      <c r="H2559" s="24"/>
      <c r="I2559" s="20" t="str">
        <f aca="false">IF(B2559="","",IF(G2559&lt;&gt;"",G2559,E2559))</f>
        <v/>
      </c>
      <c r="J2559" s="21" t="str">
        <f aca="false">IF(B2559="","",IF(H2559&lt;&gt;"",H2559,F2559))</f>
        <v/>
      </c>
      <c r="K2559" s="26" t="str">
        <f aca="false">IF(A2559="","",DATE(YEAR(A2559),MONTH(A2559),1))</f>
        <v/>
      </c>
      <c r="L2559" s="21" t="str">
        <f aca="false">IF(J2559="",IF(B2559="","",IF(N(C2559)&gt;=0,"Income","Expense")),IFERROR(INDEX(Lists!$B$2:$B$30,MATCH(J2559,Lists!$A$2:$A$30,0)),""))</f>
        <v/>
      </c>
      <c r="M2559" s="24"/>
      <c r="N2559" s="27" t="str">
        <f aca="false">IF(B2559="","",IFERROR(1000-SUMPRODUCT(MAX(ISNUMBER(SEARCH(Rules!$A$5:$A$204,B2559))*(Rules!$A$5:$A$204&lt;&gt;"")*(1000-ROW(Rules!$A$5:$A$204)))),""))</f>
        <v/>
      </c>
    </row>
    <row r="2560" customFormat="false" ht="15" hidden="false" customHeight="false" outlineLevel="0" collapsed="false">
      <c r="A2560" s="23"/>
      <c r="B2560" s="24"/>
      <c r="C2560" s="25"/>
      <c r="D2560" s="24"/>
      <c r="E2560" s="21" t="str">
        <f aca="false">IF(OR(B2560="",N(N2560)=0,N2560=1000),IF(B2560="","","Check"),INDEX(Rules!$B:$B,N2560))</f>
        <v/>
      </c>
      <c r="F2560" s="21" t="str">
        <f aca="false">IF(OR(B2560="",N(N2560)=0,N2560=1000),"",INDEX(Rules!$C:$C,N2560))</f>
        <v/>
      </c>
      <c r="G2560" s="24"/>
      <c r="H2560" s="24"/>
      <c r="I2560" s="20" t="str">
        <f aca="false">IF(B2560="","",IF(G2560&lt;&gt;"",G2560,E2560))</f>
        <v/>
      </c>
      <c r="J2560" s="21" t="str">
        <f aca="false">IF(B2560="","",IF(H2560&lt;&gt;"",H2560,F2560))</f>
        <v/>
      </c>
      <c r="K2560" s="26" t="str">
        <f aca="false">IF(A2560="","",DATE(YEAR(A2560),MONTH(A2560),1))</f>
        <v/>
      </c>
      <c r="L2560" s="21" t="str">
        <f aca="false">IF(J2560="",IF(B2560="","",IF(N(C2560)&gt;=0,"Income","Expense")),IFERROR(INDEX(Lists!$B$2:$B$30,MATCH(J2560,Lists!$A$2:$A$30,0)),""))</f>
        <v/>
      </c>
      <c r="M2560" s="24"/>
      <c r="N2560" s="27" t="str">
        <f aca="false">IF(B2560="","",IFERROR(1000-SUMPRODUCT(MAX(ISNUMBER(SEARCH(Rules!$A$5:$A$204,B2560))*(Rules!$A$5:$A$204&lt;&gt;"")*(1000-ROW(Rules!$A$5:$A$204)))),""))</f>
        <v/>
      </c>
    </row>
    <row r="2561" customFormat="false" ht="15" hidden="false" customHeight="false" outlineLevel="0" collapsed="false">
      <c r="A2561" s="23"/>
      <c r="B2561" s="24"/>
      <c r="C2561" s="25"/>
      <c r="D2561" s="24"/>
      <c r="E2561" s="21" t="str">
        <f aca="false">IF(OR(B2561="",N(N2561)=0,N2561=1000),IF(B2561="","","Check"),INDEX(Rules!$B:$B,N2561))</f>
        <v/>
      </c>
      <c r="F2561" s="21" t="str">
        <f aca="false">IF(OR(B2561="",N(N2561)=0,N2561=1000),"",INDEX(Rules!$C:$C,N2561))</f>
        <v/>
      </c>
      <c r="G2561" s="24"/>
      <c r="H2561" s="24"/>
      <c r="I2561" s="20" t="str">
        <f aca="false">IF(B2561="","",IF(G2561&lt;&gt;"",G2561,E2561))</f>
        <v/>
      </c>
      <c r="J2561" s="21" t="str">
        <f aca="false">IF(B2561="","",IF(H2561&lt;&gt;"",H2561,F2561))</f>
        <v/>
      </c>
      <c r="K2561" s="26" t="str">
        <f aca="false">IF(A2561="","",DATE(YEAR(A2561),MONTH(A2561),1))</f>
        <v/>
      </c>
      <c r="L2561" s="21" t="str">
        <f aca="false">IF(J2561="",IF(B2561="","",IF(N(C2561)&gt;=0,"Income","Expense")),IFERROR(INDEX(Lists!$B$2:$B$30,MATCH(J2561,Lists!$A$2:$A$30,0)),""))</f>
        <v/>
      </c>
      <c r="M2561" s="24"/>
      <c r="N2561" s="27" t="str">
        <f aca="false">IF(B2561="","",IFERROR(1000-SUMPRODUCT(MAX(ISNUMBER(SEARCH(Rules!$A$5:$A$204,B2561))*(Rules!$A$5:$A$204&lt;&gt;"")*(1000-ROW(Rules!$A$5:$A$204)))),""))</f>
        <v/>
      </c>
    </row>
    <row r="2562" customFormat="false" ht="15" hidden="false" customHeight="false" outlineLevel="0" collapsed="false">
      <c r="A2562" s="23"/>
      <c r="B2562" s="24"/>
      <c r="C2562" s="25"/>
      <c r="D2562" s="24"/>
      <c r="E2562" s="21" t="str">
        <f aca="false">IF(OR(B2562="",N(N2562)=0,N2562=1000),IF(B2562="","","Check"),INDEX(Rules!$B:$B,N2562))</f>
        <v/>
      </c>
      <c r="F2562" s="21" t="str">
        <f aca="false">IF(OR(B2562="",N(N2562)=0,N2562=1000),"",INDEX(Rules!$C:$C,N2562))</f>
        <v/>
      </c>
      <c r="G2562" s="24"/>
      <c r="H2562" s="24"/>
      <c r="I2562" s="20" t="str">
        <f aca="false">IF(B2562="","",IF(G2562&lt;&gt;"",G2562,E2562))</f>
        <v/>
      </c>
      <c r="J2562" s="21" t="str">
        <f aca="false">IF(B2562="","",IF(H2562&lt;&gt;"",H2562,F2562))</f>
        <v/>
      </c>
      <c r="K2562" s="26" t="str">
        <f aca="false">IF(A2562="","",DATE(YEAR(A2562),MONTH(A2562),1))</f>
        <v/>
      </c>
      <c r="L2562" s="21" t="str">
        <f aca="false">IF(J2562="",IF(B2562="","",IF(N(C2562)&gt;=0,"Income","Expense")),IFERROR(INDEX(Lists!$B$2:$B$30,MATCH(J2562,Lists!$A$2:$A$30,0)),""))</f>
        <v/>
      </c>
      <c r="M2562" s="24"/>
      <c r="N2562" s="27" t="str">
        <f aca="false">IF(B2562="","",IFERROR(1000-SUMPRODUCT(MAX(ISNUMBER(SEARCH(Rules!$A$5:$A$204,B2562))*(Rules!$A$5:$A$204&lt;&gt;"")*(1000-ROW(Rules!$A$5:$A$204)))),""))</f>
        <v/>
      </c>
    </row>
    <row r="2563" customFormat="false" ht="15" hidden="false" customHeight="false" outlineLevel="0" collapsed="false">
      <c r="A2563" s="23"/>
      <c r="B2563" s="24"/>
      <c r="C2563" s="25"/>
      <c r="D2563" s="24"/>
      <c r="E2563" s="21" t="str">
        <f aca="false">IF(OR(B2563="",N(N2563)=0,N2563=1000),IF(B2563="","","Check"),INDEX(Rules!$B:$B,N2563))</f>
        <v/>
      </c>
      <c r="F2563" s="21" t="str">
        <f aca="false">IF(OR(B2563="",N(N2563)=0,N2563=1000),"",INDEX(Rules!$C:$C,N2563))</f>
        <v/>
      </c>
      <c r="G2563" s="24"/>
      <c r="H2563" s="24"/>
      <c r="I2563" s="20" t="str">
        <f aca="false">IF(B2563="","",IF(G2563&lt;&gt;"",G2563,E2563))</f>
        <v/>
      </c>
      <c r="J2563" s="21" t="str">
        <f aca="false">IF(B2563="","",IF(H2563&lt;&gt;"",H2563,F2563))</f>
        <v/>
      </c>
      <c r="K2563" s="26" t="str">
        <f aca="false">IF(A2563="","",DATE(YEAR(A2563),MONTH(A2563),1))</f>
        <v/>
      </c>
      <c r="L2563" s="21" t="str">
        <f aca="false">IF(J2563="",IF(B2563="","",IF(N(C2563)&gt;=0,"Income","Expense")),IFERROR(INDEX(Lists!$B$2:$B$30,MATCH(J2563,Lists!$A$2:$A$30,0)),""))</f>
        <v/>
      </c>
      <c r="M2563" s="24"/>
      <c r="N2563" s="27" t="str">
        <f aca="false">IF(B2563="","",IFERROR(1000-SUMPRODUCT(MAX(ISNUMBER(SEARCH(Rules!$A$5:$A$204,B2563))*(Rules!$A$5:$A$204&lt;&gt;"")*(1000-ROW(Rules!$A$5:$A$204)))),""))</f>
        <v/>
      </c>
    </row>
    <row r="2564" customFormat="false" ht="15" hidden="false" customHeight="false" outlineLevel="0" collapsed="false">
      <c r="A2564" s="23"/>
      <c r="B2564" s="24"/>
      <c r="C2564" s="25"/>
      <c r="D2564" s="24"/>
      <c r="E2564" s="21" t="str">
        <f aca="false">IF(OR(B2564="",N(N2564)=0,N2564=1000),IF(B2564="","","Check"),INDEX(Rules!$B:$B,N2564))</f>
        <v/>
      </c>
      <c r="F2564" s="21" t="str">
        <f aca="false">IF(OR(B2564="",N(N2564)=0,N2564=1000),"",INDEX(Rules!$C:$C,N2564))</f>
        <v/>
      </c>
      <c r="G2564" s="24"/>
      <c r="H2564" s="24"/>
      <c r="I2564" s="20" t="str">
        <f aca="false">IF(B2564="","",IF(G2564&lt;&gt;"",G2564,E2564))</f>
        <v/>
      </c>
      <c r="J2564" s="21" t="str">
        <f aca="false">IF(B2564="","",IF(H2564&lt;&gt;"",H2564,F2564))</f>
        <v/>
      </c>
      <c r="K2564" s="26" t="str">
        <f aca="false">IF(A2564="","",DATE(YEAR(A2564),MONTH(A2564),1))</f>
        <v/>
      </c>
      <c r="L2564" s="21" t="str">
        <f aca="false">IF(J2564="",IF(B2564="","",IF(N(C2564)&gt;=0,"Income","Expense")),IFERROR(INDEX(Lists!$B$2:$B$30,MATCH(J2564,Lists!$A$2:$A$30,0)),""))</f>
        <v/>
      </c>
      <c r="M2564" s="24"/>
      <c r="N2564" s="27" t="str">
        <f aca="false">IF(B2564="","",IFERROR(1000-SUMPRODUCT(MAX(ISNUMBER(SEARCH(Rules!$A$5:$A$204,B2564))*(Rules!$A$5:$A$204&lt;&gt;"")*(1000-ROW(Rules!$A$5:$A$204)))),""))</f>
        <v/>
      </c>
    </row>
    <row r="2565" customFormat="false" ht="15" hidden="false" customHeight="false" outlineLevel="0" collapsed="false">
      <c r="A2565" s="23"/>
      <c r="B2565" s="24"/>
      <c r="C2565" s="25"/>
      <c r="D2565" s="24"/>
      <c r="E2565" s="21" t="str">
        <f aca="false">IF(OR(B2565="",N(N2565)=0,N2565=1000),IF(B2565="","","Check"),INDEX(Rules!$B:$B,N2565))</f>
        <v/>
      </c>
      <c r="F2565" s="21" t="str">
        <f aca="false">IF(OR(B2565="",N(N2565)=0,N2565=1000),"",INDEX(Rules!$C:$C,N2565))</f>
        <v/>
      </c>
      <c r="G2565" s="24"/>
      <c r="H2565" s="24"/>
      <c r="I2565" s="20" t="str">
        <f aca="false">IF(B2565="","",IF(G2565&lt;&gt;"",G2565,E2565))</f>
        <v/>
      </c>
      <c r="J2565" s="21" t="str">
        <f aca="false">IF(B2565="","",IF(H2565&lt;&gt;"",H2565,F2565))</f>
        <v/>
      </c>
      <c r="K2565" s="26" t="str">
        <f aca="false">IF(A2565="","",DATE(YEAR(A2565),MONTH(A2565),1))</f>
        <v/>
      </c>
      <c r="L2565" s="21" t="str">
        <f aca="false">IF(J2565="",IF(B2565="","",IF(N(C2565)&gt;=0,"Income","Expense")),IFERROR(INDEX(Lists!$B$2:$B$30,MATCH(J2565,Lists!$A$2:$A$30,0)),""))</f>
        <v/>
      </c>
      <c r="M2565" s="24"/>
      <c r="N2565" s="27" t="str">
        <f aca="false">IF(B2565="","",IFERROR(1000-SUMPRODUCT(MAX(ISNUMBER(SEARCH(Rules!$A$5:$A$204,B2565))*(Rules!$A$5:$A$204&lt;&gt;"")*(1000-ROW(Rules!$A$5:$A$204)))),""))</f>
        <v/>
      </c>
    </row>
    <row r="2566" customFormat="false" ht="15" hidden="false" customHeight="false" outlineLevel="0" collapsed="false">
      <c r="A2566" s="23"/>
      <c r="B2566" s="24"/>
      <c r="C2566" s="25"/>
      <c r="D2566" s="24"/>
      <c r="E2566" s="21" t="str">
        <f aca="false">IF(OR(B2566="",N(N2566)=0,N2566=1000),IF(B2566="","","Check"),INDEX(Rules!$B:$B,N2566))</f>
        <v/>
      </c>
      <c r="F2566" s="21" t="str">
        <f aca="false">IF(OR(B2566="",N(N2566)=0,N2566=1000),"",INDEX(Rules!$C:$C,N2566))</f>
        <v/>
      </c>
      <c r="G2566" s="24"/>
      <c r="H2566" s="24"/>
      <c r="I2566" s="20" t="str">
        <f aca="false">IF(B2566="","",IF(G2566&lt;&gt;"",G2566,E2566))</f>
        <v/>
      </c>
      <c r="J2566" s="21" t="str">
        <f aca="false">IF(B2566="","",IF(H2566&lt;&gt;"",H2566,F2566))</f>
        <v/>
      </c>
      <c r="K2566" s="26" t="str">
        <f aca="false">IF(A2566="","",DATE(YEAR(A2566),MONTH(A2566),1))</f>
        <v/>
      </c>
      <c r="L2566" s="21" t="str">
        <f aca="false">IF(J2566="",IF(B2566="","",IF(N(C2566)&gt;=0,"Income","Expense")),IFERROR(INDEX(Lists!$B$2:$B$30,MATCH(J2566,Lists!$A$2:$A$30,0)),""))</f>
        <v/>
      </c>
      <c r="M2566" s="24"/>
      <c r="N2566" s="27" t="str">
        <f aca="false">IF(B2566="","",IFERROR(1000-SUMPRODUCT(MAX(ISNUMBER(SEARCH(Rules!$A$5:$A$204,B2566))*(Rules!$A$5:$A$204&lt;&gt;"")*(1000-ROW(Rules!$A$5:$A$204)))),""))</f>
        <v/>
      </c>
    </row>
    <row r="2567" customFormat="false" ht="15" hidden="false" customHeight="false" outlineLevel="0" collapsed="false">
      <c r="A2567" s="23"/>
      <c r="B2567" s="24"/>
      <c r="C2567" s="25"/>
      <c r="D2567" s="24"/>
      <c r="E2567" s="21" t="str">
        <f aca="false">IF(OR(B2567="",N(N2567)=0,N2567=1000),IF(B2567="","","Check"),INDEX(Rules!$B:$B,N2567))</f>
        <v/>
      </c>
      <c r="F2567" s="21" t="str">
        <f aca="false">IF(OR(B2567="",N(N2567)=0,N2567=1000),"",INDEX(Rules!$C:$C,N2567))</f>
        <v/>
      </c>
      <c r="G2567" s="24"/>
      <c r="H2567" s="24"/>
      <c r="I2567" s="20" t="str">
        <f aca="false">IF(B2567="","",IF(G2567&lt;&gt;"",G2567,E2567))</f>
        <v/>
      </c>
      <c r="J2567" s="21" t="str">
        <f aca="false">IF(B2567="","",IF(H2567&lt;&gt;"",H2567,F2567))</f>
        <v/>
      </c>
      <c r="K2567" s="26" t="str">
        <f aca="false">IF(A2567="","",DATE(YEAR(A2567),MONTH(A2567),1))</f>
        <v/>
      </c>
      <c r="L2567" s="21" t="str">
        <f aca="false">IF(J2567="",IF(B2567="","",IF(N(C2567)&gt;=0,"Income","Expense")),IFERROR(INDEX(Lists!$B$2:$B$30,MATCH(J2567,Lists!$A$2:$A$30,0)),""))</f>
        <v/>
      </c>
      <c r="M2567" s="24"/>
      <c r="N2567" s="27" t="str">
        <f aca="false">IF(B2567="","",IFERROR(1000-SUMPRODUCT(MAX(ISNUMBER(SEARCH(Rules!$A$5:$A$204,B2567))*(Rules!$A$5:$A$204&lt;&gt;"")*(1000-ROW(Rules!$A$5:$A$204)))),""))</f>
        <v/>
      </c>
    </row>
    <row r="2568" customFormat="false" ht="15" hidden="false" customHeight="false" outlineLevel="0" collapsed="false">
      <c r="A2568" s="23"/>
      <c r="B2568" s="24"/>
      <c r="C2568" s="25"/>
      <c r="D2568" s="24"/>
      <c r="E2568" s="21" t="str">
        <f aca="false">IF(OR(B2568="",N(N2568)=0,N2568=1000),IF(B2568="","","Check"),INDEX(Rules!$B:$B,N2568))</f>
        <v/>
      </c>
      <c r="F2568" s="21" t="str">
        <f aca="false">IF(OR(B2568="",N(N2568)=0,N2568=1000),"",INDEX(Rules!$C:$C,N2568))</f>
        <v/>
      </c>
      <c r="G2568" s="24"/>
      <c r="H2568" s="24"/>
      <c r="I2568" s="20" t="str">
        <f aca="false">IF(B2568="","",IF(G2568&lt;&gt;"",G2568,E2568))</f>
        <v/>
      </c>
      <c r="J2568" s="21" t="str">
        <f aca="false">IF(B2568="","",IF(H2568&lt;&gt;"",H2568,F2568))</f>
        <v/>
      </c>
      <c r="K2568" s="26" t="str">
        <f aca="false">IF(A2568="","",DATE(YEAR(A2568),MONTH(A2568),1))</f>
        <v/>
      </c>
      <c r="L2568" s="21" t="str">
        <f aca="false">IF(J2568="",IF(B2568="","",IF(N(C2568)&gt;=0,"Income","Expense")),IFERROR(INDEX(Lists!$B$2:$B$30,MATCH(J2568,Lists!$A$2:$A$30,0)),""))</f>
        <v/>
      </c>
      <c r="M2568" s="24"/>
      <c r="N2568" s="27" t="str">
        <f aca="false">IF(B2568="","",IFERROR(1000-SUMPRODUCT(MAX(ISNUMBER(SEARCH(Rules!$A$5:$A$204,B2568))*(Rules!$A$5:$A$204&lt;&gt;"")*(1000-ROW(Rules!$A$5:$A$204)))),""))</f>
        <v/>
      </c>
    </row>
    <row r="2569" customFormat="false" ht="15" hidden="false" customHeight="false" outlineLevel="0" collapsed="false">
      <c r="A2569" s="23"/>
      <c r="B2569" s="24"/>
      <c r="C2569" s="25"/>
      <c r="D2569" s="24"/>
      <c r="E2569" s="21" t="str">
        <f aca="false">IF(OR(B2569="",N(N2569)=0,N2569=1000),IF(B2569="","","Check"),INDEX(Rules!$B:$B,N2569))</f>
        <v/>
      </c>
      <c r="F2569" s="21" t="str">
        <f aca="false">IF(OR(B2569="",N(N2569)=0,N2569=1000),"",INDEX(Rules!$C:$C,N2569))</f>
        <v/>
      </c>
      <c r="G2569" s="24"/>
      <c r="H2569" s="24"/>
      <c r="I2569" s="20" t="str">
        <f aca="false">IF(B2569="","",IF(G2569&lt;&gt;"",G2569,E2569))</f>
        <v/>
      </c>
      <c r="J2569" s="21" t="str">
        <f aca="false">IF(B2569="","",IF(H2569&lt;&gt;"",H2569,F2569))</f>
        <v/>
      </c>
      <c r="K2569" s="26" t="str">
        <f aca="false">IF(A2569="","",DATE(YEAR(A2569),MONTH(A2569),1))</f>
        <v/>
      </c>
      <c r="L2569" s="21" t="str">
        <f aca="false">IF(J2569="",IF(B2569="","",IF(N(C2569)&gt;=0,"Income","Expense")),IFERROR(INDEX(Lists!$B$2:$B$30,MATCH(J2569,Lists!$A$2:$A$30,0)),""))</f>
        <v/>
      </c>
      <c r="M2569" s="24"/>
      <c r="N2569" s="27" t="str">
        <f aca="false">IF(B2569="","",IFERROR(1000-SUMPRODUCT(MAX(ISNUMBER(SEARCH(Rules!$A$5:$A$204,B2569))*(Rules!$A$5:$A$204&lt;&gt;"")*(1000-ROW(Rules!$A$5:$A$204)))),""))</f>
        <v/>
      </c>
    </row>
    <row r="2570" customFormat="false" ht="15" hidden="false" customHeight="false" outlineLevel="0" collapsed="false">
      <c r="A2570" s="23"/>
      <c r="B2570" s="24"/>
      <c r="C2570" s="25"/>
      <c r="D2570" s="24"/>
      <c r="E2570" s="21" t="str">
        <f aca="false">IF(OR(B2570="",N(N2570)=0,N2570=1000),IF(B2570="","","Check"),INDEX(Rules!$B:$B,N2570))</f>
        <v/>
      </c>
      <c r="F2570" s="21" t="str">
        <f aca="false">IF(OR(B2570="",N(N2570)=0,N2570=1000),"",INDEX(Rules!$C:$C,N2570))</f>
        <v/>
      </c>
      <c r="G2570" s="24"/>
      <c r="H2570" s="24"/>
      <c r="I2570" s="20" t="str">
        <f aca="false">IF(B2570="","",IF(G2570&lt;&gt;"",G2570,E2570))</f>
        <v/>
      </c>
      <c r="J2570" s="21" t="str">
        <f aca="false">IF(B2570="","",IF(H2570&lt;&gt;"",H2570,F2570))</f>
        <v/>
      </c>
      <c r="K2570" s="26" t="str">
        <f aca="false">IF(A2570="","",DATE(YEAR(A2570),MONTH(A2570),1))</f>
        <v/>
      </c>
      <c r="L2570" s="21" t="str">
        <f aca="false">IF(J2570="",IF(B2570="","",IF(N(C2570)&gt;=0,"Income","Expense")),IFERROR(INDEX(Lists!$B$2:$B$30,MATCH(J2570,Lists!$A$2:$A$30,0)),""))</f>
        <v/>
      </c>
      <c r="M2570" s="24"/>
      <c r="N2570" s="27" t="str">
        <f aca="false">IF(B2570="","",IFERROR(1000-SUMPRODUCT(MAX(ISNUMBER(SEARCH(Rules!$A$5:$A$204,B2570))*(Rules!$A$5:$A$204&lt;&gt;"")*(1000-ROW(Rules!$A$5:$A$204)))),""))</f>
        <v/>
      </c>
    </row>
    <row r="2571" customFormat="false" ht="15" hidden="false" customHeight="false" outlineLevel="0" collapsed="false">
      <c r="A2571" s="23"/>
      <c r="B2571" s="24"/>
      <c r="C2571" s="25"/>
      <c r="D2571" s="24"/>
      <c r="E2571" s="21" t="str">
        <f aca="false">IF(OR(B2571="",N(N2571)=0,N2571=1000),IF(B2571="","","Check"),INDEX(Rules!$B:$B,N2571))</f>
        <v/>
      </c>
      <c r="F2571" s="21" t="str">
        <f aca="false">IF(OR(B2571="",N(N2571)=0,N2571=1000),"",INDEX(Rules!$C:$C,N2571))</f>
        <v/>
      </c>
      <c r="G2571" s="24"/>
      <c r="H2571" s="24"/>
      <c r="I2571" s="20" t="str">
        <f aca="false">IF(B2571="","",IF(G2571&lt;&gt;"",G2571,E2571))</f>
        <v/>
      </c>
      <c r="J2571" s="21" t="str">
        <f aca="false">IF(B2571="","",IF(H2571&lt;&gt;"",H2571,F2571))</f>
        <v/>
      </c>
      <c r="K2571" s="26" t="str">
        <f aca="false">IF(A2571="","",DATE(YEAR(A2571),MONTH(A2571),1))</f>
        <v/>
      </c>
      <c r="L2571" s="21" t="str">
        <f aca="false">IF(J2571="",IF(B2571="","",IF(N(C2571)&gt;=0,"Income","Expense")),IFERROR(INDEX(Lists!$B$2:$B$30,MATCH(J2571,Lists!$A$2:$A$30,0)),""))</f>
        <v/>
      </c>
      <c r="M2571" s="24"/>
      <c r="N2571" s="27" t="str">
        <f aca="false">IF(B2571="","",IFERROR(1000-SUMPRODUCT(MAX(ISNUMBER(SEARCH(Rules!$A$5:$A$204,B2571))*(Rules!$A$5:$A$204&lt;&gt;"")*(1000-ROW(Rules!$A$5:$A$204)))),""))</f>
        <v/>
      </c>
    </row>
    <row r="2572" customFormat="false" ht="15" hidden="false" customHeight="false" outlineLevel="0" collapsed="false">
      <c r="A2572" s="23"/>
      <c r="B2572" s="24"/>
      <c r="C2572" s="25"/>
      <c r="D2572" s="24"/>
      <c r="E2572" s="21" t="str">
        <f aca="false">IF(OR(B2572="",N(N2572)=0,N2572=1000),IF(B2572="","","Check"),INDEX(Rules!$B:$B,N2572))</f>
        <v/>
      </c>
      <c r="F2572" s="21" t="str">
        <f aca="false">IF(OR(B2572="",N(N2572)=0,N2572=1000),"",INDEX(Rules!$C:$C,N2572))</f>
        <v/>
      </c>
      <c r="G2572" s="24"/>
      <c r="H2572" s="24"/>
      <c r="I2572" s="20" t="str">
        <f aca="false">IF(B2572="","",IF(G2572&lt;&gt;"",G2572,E2572))</f>
        <v/>
      </c>
      <c r="J2572" s="21" t="str">
        <f aca="false">IF(B2572="","",IF(H2572&lt;&gt;"",H2572,F2572))</f>
        <v/>
      </c>
      <c r="K2572" s="26" t="str">
        <f aca="false">IF(A2572="","",DATE(YEAR(A2572),MONTH(A2572),1))</f>
        <v/>
      </c>
      <c r="L2572" s="21" t="str">
        <f aca="false">IF(J2572="",IF(B2572="","",IF(N(C2572)&gt;=0,"Income","Expense")),IFERROR(INDEX(Lists!$B$2:$B$30,MATCH(J2572,Lists!$A$2:$A$30,0)),""))</f>
        <v/>
      </c>
      <c r="M2572" s="24"/>
      <c r="N2572" s="27" t="str">
        <f aca="false">IF(B2572="","",IFERROR(1000-SUMPRODUCT(MAX(ISNUMBER(SEARCH(Rules!$A$5:$A$204,B2572))*(Rules!$A$5:$A$204&lt;&gt;"")*(1000-ROW(Rules!$A$5:$A$204)))),""))</f>
        <v/>
      </c>
    </row>
    <row r="2573" customFormat="false" ht="15" hidden="false" customHeight="false" outlineLevel="0" collapsed="false">
      <c r="A2573" s="23"/>
      <c r="B2573" s="24"/>
      <c r="C2573" s="25"/>
      <c r="D2573" s="24"/>
      <c r="E2573" s="21" t="str">
        <f aca="false">IF(OR(B2573="",N(N2573)=0,N2573=1000),IF(B2573="","","Check"),INDEX(Rules!$B:$B,N2573))</f>
        <v/>
      </c>
      <c r="F2573" s="21" t="str">
        <f aca="false">IF(OR(B2573="",N(N2573)=0,N2573=1000),"",INDEX(Rules!$C:$C,N2573))</f>
        <v/>
      </c>
      <c r="G2573" s="24"/>
      <c r="H2573" s="24"/>
      <c r="I2573" s="20" t="str">
        <f aca="false">IF(B2573="","",IF(G2573&lt;&gt;"",G2573,E2573))</f>
        <v/>
      </c>
      <c r="J2573" s="21" t="str">
        <f aca="false">IF(B2573="","",IF(H2573&lt;&gt;"",H2573,F2573))</f>
        <v/>
      </c>
      <c r="K2573" s="26" t="str">
        <f aca="false">IF(A2573="","",DATE(YEAR(A2573),MONTH(A2573),1))</f>
        <v/>
      </c>
      <c r="L2573" s="21" t="str">
        <f aca="false">IF(J2573="",IF(B2573="","",IF(N(C2573)&gt;=0,"Income","Expense")),IFERROR(INDEX(Lists!$B$2:$B$30,MATCH(J2573,Lists!$A$2:$A$30,0)),""))</f>
        <v/>
      </c>
      <c r="M2573" s="24"/>
      <c r="N2573" s="27" t="str">
        <f aca="false">IF(B2573="","",IFERROR(1000-SUMPRODUCT(MAX(ISNUMBER(SEARCH(Rules!$A$5:$A$204,B2573))*(Rules!$A$5:$A$204&lt;&gt;"")*(1000-ROW(Rules!$A$5:$A$204)))),""))</f>
        <v/>
      </c>
    </row>
    <row r="2574" customFormat="false" ht="15" hidden="false" customHeight="false" outlineLevel="0" collapsed="false">
      <c r="A2574" s="23"/>
      <c r="B2574" s="24"/>
      <c r="C2574" s="25"/>
      <c r="D2574" s="24"/>
      <c r="E2574" s="21" t="str">
        <f aca="false">IF(OR(B2574="",N(N2574)=0,N2574=1000),IF(B2574="","","Check"),INDEX(Rules!$B:$B,N2574))</f>
        <v/>
      </c>
      <c r="F2574" s="21" t="str">
        <f aca="false">IF(OR(B2574="",N(N2574)=0,N2574=1000),"",INDEX(Rules!$C:$C,N2574))</f>
        <v/>
      </c>
      <c r="G2574" s="24"/>
      <c r="H2574" s="24"/>
      <c r="I2574" s="20" t="str">
        <f aca="false">IF(B2574="","",IF(G2574&lt;&gt;"",G2574,E2574))</f>
        <v/>
      </c>
      <c r="J2574" s="21" t="str">
        <f aca="false">IF(B2574="","",IF(H2574&lt;&gt;"",H2574,F2574))</f>
        <v/>
      </c>
      <c r="K2574" s="26" t="str">
        <f aca="false">IF(A2574="","",DATE(YEAR(A2574),MONTH(A2574),1))</f>
        <v/>
      </c>
      <c r="L2574" s="21" t="str">
        <f aca="false">IF(J2574="",IF(B2574="","",IF(N(C2574)&gt;=0,"Income","Expense")),IFERROR(INDEX(Lists!$B$2:$B$30,MATCH(J2574,Lists!$A$2:$A$30,0)),""))</f>
        <v/>
      </c>
      <c r="M2574" s="24"/>
      <c r="N2574" s="27" t="str">
        <f aca="false">IF(B2574="","",IFERROR(1000-SUMPRODUCT(MAX(ISNUMBER(SEARCH(Rules!$A$5:$A$204,B2574))*(Rules!$A$5:$A$204&lt;&gt;"")*(1000-ROW(Rules!$A$5:$A$204)))),""))</f>
        <v/>
      </c>
    </row>
    <row r="2575" customFormat="false" ht="15" hidden="false" customHeight="false" outlineLevel="0" collapsed="false">
      <c r="A2575" s="23"/>
      <c r="B2575" s="24"/>
      <c r="C2575" s="25"/>
      <c r="D2575" s="24"/>
      <c r="E2575" s="21" t="str">
        <f aca="false">IF(OR(B2575="",N(N2575)=0,N2575=1000),IF(B2575="","","Check"),INDEX(Rules!$B:$B,N2575))</f>
        <v/>
      </c>
      <c r="F2575" s="21" t="str">
        <f aca="false">IF(OR(B2575="",N(N2575)=0,N2575=1000),"",INDEX(Rules!$C:$C,N2575))</f>
        <v/>
      </c>
      <c r="G2575" s="24"/>
      <c r="H2575" s="24"/>
      <c r="I2575" s="20" t="str">
        <f aca="false">IF(B2575="","",IF(G2575&lt;&gt;"",G2575,E2575))</f>
        <v/>
      </c>
      <c r="J2575" s="21" t="str">
        <f aca="false">IF(B2575="","",IF(H2575&lt;&gt;"",H2575,F2575))</f>
        <v/>
      </c>
      <c r="K2575" s="26" t="str">
        <f aca="false">IF(A2575="","",DATE(YEAR(A2575),MONTH(A2575),1))</f>
        <v/>
      </c>
      <c r="L2575" s="21" t="str">
        <f aca="false">IF(J2575="",IF(B2575="","",IF(N(C2575)&gt;=0,"Income","Expense")),IFERROR(INDEX(Lists!$B$2:$B$30,MATCH(J2575,Lists!$A$2:$A$30,0)),""))</f>
        <v/>
      </c>
      <c r="M2575" s="24"/>
      <c r="N2575" s="27" t="str">
        <f aca="false">IF(B2575="","",IFERROR(1000-SUMPRODUCT(MAX(ISNUMBER(SEARCH(Rules!$A$5:$A$204,B2575))*(Rules!$A$5:$A$204&lt;&gt;"")*(1000-ROW(Rules!$A$5:$A$204)))),""))</f>
        <v/>
      </c>
    </row>
    <row r="2576" customFormat="false" ht="15" hidden="false" customHeight="false" outlineLevel="0" collapsed="false">
      <c r="A2576" s="23"/>
      <c r="B2576" s="24"/>
      <c r="C2576" s="25"/>
      <c r="D2576" s="24"/>
      <c r="E2576" s="21" t="str">
        <f aca="false">IF(OR(B2576="",N(N2576)=0,N2576=1000),IF(B2576="","","Check"),INDEX(Rules!$B:$B,N2576))</f>
        <v/>
      </c>
      <c r="F2576" s="21" t="str">
        <f aca="false">IF(OR(B2576="",N(N2576)=0,N2576=1000),"",INDEX(Rules!$C:$C,N2576))</f>
        <v/>
      </c>
      <c r="G2576" s="24"/>
      <c r="H2576" s="24"/>
      <c r="I2576" s="20" t="str">
        <f aca="false">IF(B2576="","",IF(G2576&lt;&gt;"",G2576,E2576))</f>
        <v/>
      </c>
      <c r="J2576" s="21" t="str">
        <f aca="false">IF(B2576="","",IF(H2576&lt;&gt;"",H2576,F2576))</f>
        <v/>
      </c>
      <c r="K2576" s="26" t="str">
        <f aca="false">IF(A2576="","",DATE(YEAR(A2576),MONTH(A2576),1))</f>
        <v/>
      </c>
      <c r="L2576" s="21" t="str">
        <f aca="false">IF(J2576="",IF(B2576="","",IF(N(C2576)&gt;=0,"Income","Expense")),IFERROR(INDEX(Lists!$B$2:$B$30,MATCH(J2576,Lists!$A$2:$A$30,0)),""))</f>
        <v/>
      </c>
      <c r="M2576" s="24"/>
      <c r="N2576" s="27" t="str">
        <f aca="false">IF(B2576="","",IFERROR(1000-SUMPRODUCT(MAX(ISNUMBER(SEARCH(Rules!$A$5:$A$204,B2576))*(Rules!$A$5:$A$204&lt;&gt;"")*(1000-ROW(Rules!$A$5:$A$204)))),""))</f>
        <v/>
      </c>
    </row>
    <row r="2577" customFormat="false" ht="15" hidden="false" customHeight="false" outlineLevel="0" collapsed="false">
      <c r="A2577" s="23"/>
      <c r="B2577" s="24"/>
      <c r="C2577" s="25"/>
      <c r="D2577" s="24"/>
      <c r="E2577" s="21" t="str">
        <f aca="false">IF(OR(B2577="",N(N2577)=0,N2577=1000),IF(B2577="","","Check"),INDEX(Rules!$B:$B,N2577))</f>
        <v/>
      </c>
      <c r="F2577" s="21" t="str">
        <f aca="false">IF(OR(B2577="",N(N2577)=0,N2577=1000),"",INDEX(Rules!$C:$C,N2577))</f>
        <v/>
      </c>
      <c r="G2577" s="24"/>
      <c r="H2577" s="24"/>
      <c r="I2577" s="20" t="str">
        <f aca="false">IF(B2577="","",IF(G2577&lt;&gt;"",G2577,E2577))</f>
        <v/>
      </c>
      <c r="J2577" s="21" t="str">
        <f aca="false">IF(B2577="","",IF(H2577&lt;&gt;"",H2577,F2577))</f>
        <v/>
      </c>
      <c r="K2577" s="26" t="str">
        <f aca="false">IF(A2577="","",DATE(YEAR(A2577),MONTH(A2577),1))</f>
        <v/>
      </c>
      <c r="L2577" s="21" t="str">
        <f aca="false">IF(J2577="",IF(B2577="","",IF(N(C2577)&gt;=0,"Income","Expense")),IFERROR(INDEX(Lists!$B$2:$B$30,MATCH(J2577,Lists!$A$2:$A$30,0)),""))</f>
        <v/>
      </c>
      <c r="M2577" s="24"/>
      <c r="N2577" s="27" t="str">
        <f aca="false">IF(B2577="","",IFERROR(1000-SUMPRODUCT(MAX(ISNUMBER(SEARCH(Rules!$A$5:$A$204,B2577))*(Rules!$A$5:$A$204&lt;&gt;"")*(1000-ROW(Rules!$A$5:$A$204)))),""))</f>
        <v/>
      </c>
    </row>
    <row r="2578" customFormat="false" ht="15" hidden="false" customHeight="false" outlineLevel="0" collapsed="false">
      <c r="A2578" s="23"/>
      <c r="B2578" s="24"/>
      <c r="C2578" s="25"/>
      <c r="D2578" s="24"/>
      <c r="E2578" s="21" t="str">
        <f aca="false">IF(OR(B2578="",N(N2578)=0,N2578=1000),IF(B2578="","","Check"),INDEX(Rules!$B:$B,N2578))</f>
        <v/>
      </c>
      <c r="F2578" s="21" t="str">
        <f aca="false">IF(OR(B2578="",N(N2578)=0,N2578=1000),"",INDEX(Rules!$C:$C,N2578))</f>
        <v/>
      </c>
      <c r="G2578" s="24"/>
      <c r="H2578" s="24"/>
      <c r="I2578" s="20" t="str">
        <f aca="false">IF(B2578="","",IF(G2578&lt;&gt;"",G2578,E2578))</f>
        <v/>
      </c>
      <c r="J2578" s="21" t="str">
        <f aca="false">IF(B2578="","",IF(H2578&lt;&gt;"",H2578,F2578))</f>
        <v/>
      </c>
      <c r="K2578" s="26" t="str">
        <f aca="false">IF(A2578="","",DATE(YEAR(A2578),MONTH(A2578),1))</f>
        <v/>
      </c>
      <c r="L2578" s="21" t="str">
        <f aca="false">IF(J2578="",IF(B2578="","",IF(N(C2578)&gt;=0,"Income","Expense")),IFERROR(INDEX(Lists!$B$2:$B$30,MATCH(J2578,Lists!$A$2:$A$30,0)),""))</f>
        <v/>
      </c>
      <c r="M2578" s="24"/>
      <c r="N2578" s="27" t="str">
        <f aca="false">IF(B2578="","",IFERROR(1000-SUMPRODUCT(MAX(ISNUMBER(SEARCH(Rules!$A$5:$A$204,B2578))*(Rules!$A$5:$A$204&lt;&gt;"")*(1000-ROW(Rules!$A$5:$A$204)))),""))</f>
        <v/>
      </c>
    </row>
    <row r="2579" customFormat="false" ht="15" hidden="false" customHeight="false" outlineLevel="0" collapsed="false">
      <c r="A2579" s="23"/>
      <c r="B2579" s="24"/>
      <c r="C2579" s="25"/>
      <c r="D2579" s="24"/>
      <c r="E2579" s="21" t="str">
        <f aca="false">IF(OR(B2579="",N(N2579)=0,N2579=1000),IF(B2579="","","Check"),INDEX(Rules!$B:$B,N2579))</f>
        <v/>
      </c>
      <c r="F2579" s="21" t="str">
        <f aca="false">IF(OR(B2579="",N(N2579)=0,N2579=1000),"",INDEX(Rules!$C:$C,N2579))</f>
        <v/>
      </c>
      <c r="G2579" s="24"/>
      <c r="H2579" s="24"/>
      <c r="I2579" s="20" t="str">
        <f aca="false">IF(B2579="","",IF(G2579&lt;&gt;"",G2579,E2579))</f>
        <v/>
      </c>
      <c r="J2579" s="21" t="str">
        <f aca="false">IF(B2579="","",IF(H2579&lt;&gt;"",H2579,F2579))</f>
        <v/>
      </c>
      <c r="K2579" s="26" t="str">
        <f aca="false">IF(A2579="","",DATE(YEAR(A2579),MONTH(A2579),1))</f>
        <v/>
      </c>
      <c r="L2579" s="21" t="str">
        <f aca="false">IF(J2579="",IF(B2579="","",IF(N(C2579)&gt;=0,"Income","Expense")),IFERROR(INDEX(Lists!$B$2:$B$30,MATCH(J2579,Lists!$A$2:$A$30,0)),""))</f>
        <v/>
      </c>
      <c r="M2579" s="24"/>
      <c r="N2579" s="27" t="str">
        <f aca="false">IF(B2579="","",IFERROR(1000-SUMPRODUCT(MAX(ISNUMBER(SEARCH(Rules!$A$5:$A$204,B2579))*(Rules!$A$5:$A$204&lt;&gt;"")*(1000-ROW(Rules!$A$5:$A$204)))),""))</f>
        <v/>
      </c>
    </row>
    <row r="2580" customFormat="false" ht="15" hidden="false" customHeight="false" outlineLevel="0" collapsed="false">
      <c r="A2580" s="23"/>
      <c r="B2580" s="24"/>
      <c r="C2580" s="25"/>
      <c r="D2580" s="24"/>
      <c r="E2580" s="21" t="str">
        <f aca="false">IF(OR(B2580="",N(N2580)=0,N2580=1000),IF(B2580="","","Check"),INDEX(Rules!$B:$B,N2580))</f>
        <v/>
      </c>
      <c r="F2580" s="21" t="str">
        <f aca="false">IF(OR(B2580="",N(N2580)=0,N2580=1000),"",INDEX(Rules!$C:$C,N2580))</f>
        <v/>
      </c>
      <c r="G2580" s="24"/>
      <c r="H2580" s="24"/>
      <c r="I2580" s="20" t="str">
        <f aca="false">IF(B2580="","",IF(G2580&lt;&gt;"",G2580,E2580))</f>
        <v/>
      </c>
      <c r="J2580" s="21" t="str">
        <f aca="false">IF(B2580="","",IF(H2580&lt;&gt;"",H2580,F2580))</f>
        <v/>
      </c>
      <c r="K2580" s="26" t="str">
        <f aca="false">IF(A2580="","",DATE(YEAR(A2580),MONTH(A2580),1))</f>
        <v/>
      </c>
      <c r="L2580" s="21" t="str">
        <f aca="false">IF(J2580="",IF(B2580="","",IF(N(C2580)&gt;=0,"Income","Expense")),IFERROR(INDEX(Lists!$B$2:$B$30,MATCH(J2580,Lists!$A$2:$A$30,0)),""))</f>
        <v/>
      </c>
      <c r="M2580" s="24"/>
      <c r="N2580" s="27" t="str">
        <f aca="false">IF(B2580="","",IFERROR(1000-SUMPRODUCT(MAX(ISNUMBER(SEARCH(Rules!$A$5:$A$204,B2580))*(Rules!$A$5:$A$204&lt;&gt;"")*(1000-ROW(Rules!$A$5:$A$204)))),""))</f>
        <v/>
      </c>
    </row>
    <row r="2581" customFormat="false" ht="15" hidden="false" customHeight="false" outlineLevel="0" collapsed="false">
      <c r="A2581" s="23"/>
      <c r="B2581" s="24"/>
      <c r="C2581" s="25"/>
      <c r="D2581" s="24"/>
      <c r="E2581" s="21" t="str">
        <f aca="false">IF(OR(B2581="",N(N2581)=0,N2581=1000),IF(B2581="","","Check"),INDEX(Rules!$B:$B,N2581))</f>
        <v/>
      </c>
      <c r="F2581" s="21" t="str">
        <f aca="false">IF(OR(B2581="",N(N2581)=0,N2581=1000),"",INDEX(Rules!$C:$C,N2581))</f>
        <v/>
      </c>
      <c r="G2581" s="24"/>
      <c r="H2581" s="24"/>
      <c r="I2581" s="20" t="str">
        <f aca="false">IF(B2581="","",IF(G2581&lt;&gt;"",G2581,E2581))</f>
        <v/>
      </c>
      <c r="J2581" s="21" t="str">
        <f aca="false">IF(B2581="","",IF(H2581&lt;&gt;"",H2581,F2581))</f>
        <v/>
      </c>
      <c r="K2581" s="26" t="str">
        <f aca="false">IF(A2581="","",DATE(YEAR(A2581),MONTH(A2581),1))</f>
        <v/>
      </c>
      <c r="L2581" s="21" t="str">
        <f aca="false">IF(J2581="",IF(B2581="","",IF(N(C2581)&gt;=0,"Income","Expense")),IFERROR(INDEX(Lists!$B$2:$B$30,MATCH(J2581,Lists!$A$2:$A$30,0)),""))</f>
        <v/>
      </c>
      <c r="M2581" s="24"/>
      <c r="N2581" s="27" t="str">
        <f aca="false">IF(B2581="","",IFERROR(1000-SUMPRODUCT(MAX(ISNUMBER(SEARCH(Rules!$A$5:$A$204,B2581))*(Rules!$A$5:$A$204&lt;&gt;"")*(1000-ROW(Rules!$A$5:$A$204)))),""))</f>
        <v/>
      </c>
    </row>
    <row r="2582" customFormat="false" ht="15" hidden="false" customHeight="false" outlineLevel="0" collapsed="false">
      <c r="A2582" s="23"/>
      <c r="B2582" s="24"/>
      <c r="C2582" s="25"/>
      <c r="D2582" s="24"/>
      <c r="E2582" s="21" t="str">
        <f aca="false">IF(OR(B2582="",N(N2582)=0,N2582=1000),IF(B2582="","","Check"),INDEX(Rules!$B:$B,N2582))</f>
        <v/>
      </c>
      <c r="F2582" s="21" t="str">
        <f aca="false">IF(OR(B2582="",N(N2582)=0,N2582=1000),"",INDEX(Rules!$C:$C,N2582))</f>
        <v/>
      </c>
      <c r="G2582" s="24"/>
      <c r="H2582" s="24"/>
      <c r="I2582" s="20" t="str">
        <f aca="false">IF(B2582="","",IF(G2582&lt;&gt;"",G2582,E2582))</f>
        <v/>
      </c>
      <c r="J2582" s="21" t="str">
        <f aca="false">IF(B2582="","",IF(H2582&lt;&gt;"",H2582,F2582))</f>
        <v/>
      </c>
      <c r="K2582" s="26" t="str">
        <f aca="false">IF(A2582="","",DATE(YEAR(A2582),MONTH(A2582),1))</f>
        <v/>
      </c>
      <c r="L2582" s="21" t="str">
        <f aca="false">IF(J2582="",IF(B2582="","",IF(N(C2582)&gt;=0,"Income","Expense")),IFERROR(INDEX(Lists!$B$2:$B$30,MATCH(J2582,Lists!$A$2:$A$30,0)),""))</f>
        <v/>
      </c>
      <c r="M2582" s="24"/>
      <c r="N2582" s="27" t="str">
        <f aca="false">IF(B2582="","",IFERROR(1000-SUMPRODUCT(MAX(ISNUMBER(SEARCH(Rules!$A$5:$A$204,B2582))*(Rules!$A$5:$A$204&lt;&gt;"")*(1000-ROW(Rules!$A$5:$A$204)))),""))</f>
        <v/>
      </c>
    </row>
    <row r="2583" customFormat="false" ht="15" hidden="false" customHeight="false" outlineLevel="0" collapsed="false">
      <c r="A2583" s="23"/>
      <c r="B2583" s="24"/>
      <c r="C2583" s="25"/>
      <c r="D2583" s="24"/>
      <c r="E2583" s="21" t="str">
        <f aca="false">IF(OR(B2583="",N(N2583)=0,N2583=1000),IF(B2583="","","Check"),INDEX(Rules!$B:$B,N2583))</f>
        <v/>
      </c>
      <c r="F2583" s="21" t="str">
        <f aca="false">IF(OR(B2583="",N(N2583)=0,N2583=1000),"",INDEX(Rules!$C:$C,N2583))</f>
        <v/>
      </c>
      <c r="G2583" s="24"/>
      <c r="H2583" s="24"/>
      <c r="I2583" s="20" t="str">
        <f aca="false">IF(B2583="","",IF(G2583&lt;&gt;"",G2583,E2583))</f>
        <v/>
      </c>
      <c r="J2583" s="21" t="str">
        <f aca="false">IF(B2583="","",IF(H2583&lt;&gt;"",H2583,F2583))</f>
        <v/>
      </c>
      <c r="K2583" s="26" t="str">
        <f aca="false">IF(A2583="","",DATE(YEAR(A2583),MONTH(A2583),1))</f>
        <v/>
      </c>
      <c r="L2583" s="21" t="str">
        <f aca="false">IF(J2583="",IF(B2583="","",IF(N(C2583)&gt;=0,"Income","Expense")),IFERROR(INDEX(Lists!$B$2:$B$30,MATCH(J2583,Lists!$A$2:$A$30,0)),""))</f>
        <v/>
      </c>
      <c r="M2583" s="24"/>
      <c r="N2583" s="27" t="str">
        <f aca="false">IF(B2583="","",IFERROR(1000-SUMPRODUCT(MAX(ISNUMBER(SEARCH(Rules!$A$5:$A$204,B2583))*(Rules!$A$5:$A$204&lt;&gt;"")*(1000-ROW(Rules!$A$5:$A$204)))),""))</f>
        <v/>
      </c>
    </row>
    <row r="2584" customFormat="false" ht="15" hidden="false" customHeight="false" outlineLevel="0" collapsed="false">
      <c r="A2584" s="23"/>
      <c r="B2584" s="24"/>
      <c r="C2584" s="25"/>
      <c r="D2584" s="24"/>
      <c r="E2584" s="21" t="str">
        <f aca="false">IF(OR(B2584="",N(N2584)=0,N2584=1000),IF(B2584="","","Check"),INDEX(Rules!$B:$B,N2584))</f>
        <v/>
      </c>
      <c r="F2584" s="21" t="str">
        <f aca="false">IF(OR(B2584="",N(N2584)=0,N2584=1000),"",INDEX(Rules!$C:$C,N2584))</f>
        <v/>
      </c>
      <c r="G2584" s="24"/>
      <c r="H2584" s="24"/>
      <c r="I2584" s="20" t="str">
        <f aca="false">IF(B2584="","",IF(G2584&lt;&gt;"",G2584,E2584))</f>
        <v/>
      </c>
      <c r="J2584" s="21" t="str">
        <f aca="false">IF(B2584="","",IF(H2584&lt;&gt;"",H2584,F2584))</f>
        <v/>
      </c>
      <c r="K2584" s="26" t="str">
        <f aca="false">IF(A2584="","",DATE(YEAR(A2584),MONTH(A2584),1))</f>
        <v/>
      </c>
      <c r="L2584" s="21" t="str">
        <f aca="false">IF(J2584="",IF(B2584="","",IF(N(C2584)&gt;=0,"Income","Expense")),IFERROR(INDEX(Lists!$B$2:$B$30,MATCH(J2584,Lists!$A$2:$A$30,0)),""))</f>
        <v/>
      </c>
      <c r="M2584" s="24"/>
      <c r="N2584" s="27" t="str">
        <f aca="false">IF(B2584="","",IFERROR(1000-SUMPRODUCT(MAX(ISNUMBER(SEARCH(Rules!$A$5:$A$204,B2584))*(Rules!$A$5:$A$204&lt;&gt;"")*(1000-ROW(Rules!$A$5:$A$204)))),""))</f>
        <v/>
      </c>
    </row>
    <row r="2585" customFormat="false" ht="15" hidden="false" customHeight="false" outlineLevel="0" collapsed="false">
      <c r="A2585" s="23"/>
      <c r="B2585" s="24"/>
      <c r="C2585" s="25"/>
      <c r="D2585" s="24"/>
      <c r="E2585" s="21" t="str">
        <f aca="false">IF(OR(B2585="",N(N2585)=0,N2585=1000),IF(B2585="","","Check"),INDEX(Rules!$B:$B,N2585))</f>
        <v/>
      </c>
      <c r="F2585" s="21" t="str">
        <f aca="false">IF(OR(B2585="",N(N2585)=0,N2585=1000),"",INDEX(Rules!$C:$C,N2585))</f>
        <v/>
      </c>
      <c r="G2585" s="24"/>
      <c r="H2585" s="24"/>
      <c r="I2585" s="20" t="str">
        <f aca="false">IF(B2585="","",IF(G2585&lt;&gt;"",G2585,E2585))</f>
        <v/>
      </c>
      <c r="J2585" s="21" t="str">
        <f aca="false">IF(B2585="","",IF(H2585&lt;&gt;"",H2585,F2585))</f>
        <v/>
      </c>
      <c r="K2585" s="26" t="str">
        <f aca="false">IF(A2585="","",DATE(YEAR(A2585),MONTH(A2585),1))</f>
        <v/>
      </c>
      <c r="L2585" s="21" t="str">
        <f aca="false">IF(J2585="",IF(B2585="","",IF(N(C2585)&gt;=0,"Income","Expense")),IFERROR(INDEX(Lists!$B$2:$B$30,MATCH(J2585,Lists!$A$2:$A$30,0)),""))</f>
        <v/>
      </c>
      <c r="M2585" s="24"/>
      <c r="N2585" s="27" t="str">
        <f aca="false">IF(B2585="","",IFERROR(1000-SUMPRODUCT(MAX(ISNUMBER(SEARCH(Rules!$A$5:$A$204,B2585))*(Rules!$A$5:$A$204&lt;&gt;"")*(1000-ROW(Rules!$A$5:$A$204)))),""))</f>
        <v/>
      </c>
    </row>
    <row r="2586" customFormat="false" ht="15" hidden="false" customHeight="false" outlineLevel="0" collapsed="false">
      <c r="A2586" s="23"/>
      <c r="B2586" s="24"/>
      <c r="C2586" s="25"/>
      <c r="D2586" s="24"/>
      <c r="E2586" s="21" t="str">
        <f aca="false">IF(OR(B2586="",N(N2586)=0,N2586=1000),IF(B2586="","","Check"),INDEX(Rules!$B:$B,N2586))</f>
        <v/>
      </c>
      <c r="F2586" s="21" t="str">
        <f aca="false">IF(OR(B2586="",N(N2586)=0,N2586=1000),"",INDEX(Rules!$C:$C,N2586))</f>
        <v/>
      </c>
      <c r="G2586" s="24"/>
      <c r="H2586" s="24"/>
      <c r="I2586" s="20" t="str">
        <f aca="false">IF(B2586="","",IF(G2586&lt;&gt;"",G2586,E2586))</f>
        <v/>
      </c>
      <c r="J2586" s="21" t="str">
        <f aca="false">IF(B2586="","",IF(H2586&lt;&gt;"",H2586,F2586))</f>
        <v/>
      </c>
      <c r="K2586" s="26" t="str">
        <f aca="false">IF(A2586="","",DATE(YEAR(A2586),MONTH(A2586),1))</f>
        <v/>
      </c>
      <c r="L2586" s="21" t="str">
        <f aca="false">IF(J2586="",IF(B2586="","",IF(N(C2586)&gt;=0,"Income","Expense")),IFERROR(INDEX(Lists!$B$2:$B$30,MATCH(J2586,Lists!$A$2:$A$30,0)),""))</f>
        <v/>
      </c>
      <c r="M2586" s="24"/>
      <c r="N2586" s="27" t="str">
        <f aca="false">IF(B2586="","",IFERROR(1000-SUMPRODUCT(MAX(ISNUMBER(SEARCH(Rules!$A$5:$A$204,B2586))*(Rules!$A$5:$A$204&lt;&gt;"")*(1000-ROW(Rules!$A$5:$A$204)))),""))</f>
        <v/>
      </c>
    </row>
    <row r="2587" customFormat="false" ht="15" hidden="false" customHeight="false" outlineLevel="0" collapsed="false">
      <c r="A2587" s="23"/>
      <c r="B2587" s="24"/>
      <c r="C2587" s="25"/>
      <c r="D2587" s="24"/>
      <c r="E2587" s="21" t="str">
        <f aca="false">IF(OR(B2587="",N(N2587)=0,N2587=1000),IF(B2587="","","Check"),INDEX(Rules!$B:$B,N2587))</f>
        <v/>
      </c>
      <c r="F2587" s="21" t="str">
        <f aca="false">IF(OR(B2587="",N(N2587)=0,N2587=1000),"",INDEX(Rules!$C:$C,N2587))</f>
        <v/>
      </c>
      <c r="G2587" s="24"/>
      <c r="H2587" s="24"/>
      <c r="I2587" s="20" t="str">
        <f aca="false">IF(B2587="","",IF(G2587&lt;&gt;"",G2587,E2587))</f>
        <v/>
      </c>
      <c r="J2587" s="21" t="str">
        <f aca="false">IF(B2587="","",IF(H2587&lt;&gt;"",H2587,F2587))</f>
        <v/>
      </c>
      <c r="K2587" s="26" t="str">
        <f aca="false">IF(A2587="","",DATE(YEAR(A2587),MONTH(A2587),1))</f>
        <v/>
      </c>
      <c r="L2587" s="21" t="str">
        <f aca="false">IF(J2587="",IF(B2587="","",IF(N(C2587)&gt;=0,"Income","Expense")),IFERROR(INDEX(Lists!$B$2:$B$30,MATCH(J2587,Lists!$A$2:$A$30,0)),""))</f>
        <v/>
      </c>
      <c r="M2587" s="24"/>
      <c r="N2587" s="27" t="str">
        <f aca="false">IF(B2587="","",IFERROR(1000-SUMPRODUCT(MAX(ISNUMBER(SEARCH(Rules!$A$5:$A$204,B2587))*(Rules!$A$5:$A$204&lt;&gt;"")*(1000-ROW(Rules!$A$5:$A$204)))),""))</f>
        <v/>
      </c>
    </row>
    <row r="2588" customFormat="false" ht="15" hidden="false" customHeight="false" outlineLevel="0" collapsed="false">
      <c r="A2588" s="23"/>
      <c r="B2588" s="24"/>
      <c r="C2588" s="25"/>
      <c r="D2588" s="24"/>
      <c r="E2588" s="21" t="str">
        <f aca="false">IF(OR(B2588="",N(N2588)=0,N2588=1000),IF(B2588="","","Check"),INDEX(Rules!$B:$B,N2588))</f>
        <v/>
      </c>
      <c r="F2588" s="21" t="str">
        <f aca="false">IF(OR(B2588="",N(N2588)=0,N2588=1000),"",INDEX(Rules!$C:$C,N2588))</f>
        <v/>
      </c>
      <c r="G2588" s="24"/>
      <c r="H2588" s="24"/>
      <c r="I2588" s="20" t="str">
        <f aca="false">IF(B2588="","",IF(G2588&lt;&gt;"",G2588,E2588))</f>
        <v/>
      </c>
      <c r="J2588" s="21" t="str">
        <f aca="false">IF(B2588="","",IF(H2588&lt;&gt;"",H2588,F2588))</f>
        <v/>
      </c>
      <c r="K2588" s="26" t="str">
        <f aca="false">IF(A2588="","",DATE(YEAR(A2588),MONTH(A2588),1))</f>
        <v/>
      </c>
      <c r="L2588" s="21" t="str">
        <f aca="false">IF(J2588="",IF(B2588="","",IF(N(C2588)&gt;=0,"Income","Expense")),IFERROR(INDEX(Lists!$B$2:$B$30,MATCH(J2588,Lists!$A$2:$A$30,0)),""))</f>
        <v/>
      </c>
      <c r="M2588" s="24"/>
      <c r="N2588" s="27" t="str">
        <f aca="false">IF(B2588="","",IFERROR(1000-SUMPRODUCT(MAX(ISNUMBER(SEARCH(Rules!$A$5:$A$204,B2588))*(Rules!$A$5:$A$204&lt;&gt;"")*(1000-ROW(Rules!$A$5:$A$204)))),""))</f>
        <v/>
      </c>
    </row>
    <row r="2589" customFormat="false" ht="15" hidden="false" customHeight="false" outlineLevel="0" collapsed="false">
      <c r="A2589" s="23"/>
      <c r="B2589" s="24"/>
      <c r="C2589" s="25"/>
      <c r="D2589" s="24"/>
      <c r="E2589" s="21" t="str">
        <f aca="false">IF(OR(B2589="",N(N2589)=0,N2589=1000),IF(B2589="","","Check"),INDEX(Rules!$B:$B,N2589))</f>
        <v/>
      </c>
      <c r="F2589" s="21" t="str">
        <f aca="false">IF(OR(B2589="",N(N2589)=0,N2589=1000),"",INDEX(Rules!$C:$C,N2589))</f>
        <v/>
      </c>
      <c r="G2589" s="24"/>
      <c r="H2589" s="24"/>
      <c r="I2589" s="20" t="str">
        <f aca="false">IF(B2589="","",IF(G2589&lt;&gt;"",G2589,E2589))</f>
        <v/>
      </c>
      <c r="J2589" s="21" t="str">
        <f aca="false">IF(B2589="","",IF(H2589&lt;&gt;"",H2589,F2589))</f>
        <v/>
      </c>
      <c r="K2589" s="26" t="str">
        <f aca="false">IF(A2589="","",DATE(YEAR(A2589),MONTH(A2589),1))</f>
        <v/>
      </c>
      <c r="L2589" s="21" t="str">
        <f aca="false">IF(J2589="",IF(B2589="","",IF(N(C2589)&gt;=0,"Income","Expense")),IFERROR(INDEX(Lists!$B$2:$B$30,MATCH(J2589,Lists!$A$2:$A$30,0)),""))</f>
        <v/>
      </c>
      <c r="M2589" s="24"/>
      <c r="N2589" s="27" t="str">
        <f aca="false">IF(B2589="","",IFERROR(1000-SUMPRODUCT(MAX(ISNUMBER(SEARCH(Rules!$A$5:$A$204,B2589))*(Rules!$A$5:$A$204&lt;&gt;"")*(1000-ROW(Rules!$A$5:$A$204)))),""))</f>
        <v/>
      </c>
    </row>
    <row r="2590" customFormat="false" ht="15" hidden="false" customHeight="false" outlineLevel="0" collapsed="false">
      <c r="A2590" s="23"/>
      <c r="B2590" s="24"/>
      <c r="C2590" s="25"/>
      <c r="D2590" s="24"/>
      <c r="E2590" s="21" t="str">
        <f aca="false">IF(OR(B2590="",N(N2590)=0,N2590=1000),IF(B2590="","","Check"),INDEX(Rules!$B:$B,N2590))</f>
        <v/>
      </c>
      <c r="F2590" s="21" t="str">
        <f aca="false">IF(OR(B2590="",N(N2590)=0,N2590=1000),"",INDEX(Rules!$C:$C,N2590))</f>
        <v/>
      </c>
      <c r="G2590" s="24"/>
      <c r="H2590" s="24"/>
      <c r="I2590" s="20" t="str">
        <f aca="false">IF(B2590="","",IF(G2590&lt;&gt;"",G2590,E2590))</f>
        <v/>
      </c>
      <c r="J2590" s="21" t="str">
        <f aca="false">IF(B2590="","",IF(H2590&lt;&gt;"",H2590,F2590))</f>
        <v/>
      </c>
      <c r="K2590" s="26" t="str">
        <f aca="false">IF(A2590="","",DATE(YEAR(A2590),MONTH(A2590),1))</f>
        <v/>
      </c>
      <c r="L2590" s="21" t="str">
        <f aca="false">IF(J2590="",IF(B2590="","",IF(N(C2590)&gt;=0,"Income","Expense")),IFERROR(INDEX(Lists!$B$2:$B$30,MATCH(J2590,Lists!$A$2:$A$30,0)),""))</f>
        <v/>
      </c>
      <c r="M2590" s="24"/>
      <c r="N2590" s="27" t="str">
        <f aca="false">IF(B2590="","",IFERROR(1000-SUMPRODUCT(MAX(ISNUMBER(SEARCH(Rules!$A$5:$A$204,B2590))*(Rules!$A$5:$A$204&lt;&gt;"")*(1000-ROW(Rules!$A$5:$A$204)))),""))</f>
        <v/>
      </c>
    </row>
    <row r="2591" customFormat="false" ht="15" hidden="false" customHeight="false" outlineLevel="0" collapsed="false">
      <c r="A2591" s="23"/>
      <c r="B2591" s="24"/>
      <c r="C2591" s="25"/>
      <c r="D2591" s="24"/>
      <c r="E2591" s="21" t="str">
        <f aca="false">IF(OR(B2591="",N(N2591)=0,N2591=1000),IF(B2591="","","Check"),INDEX(Rules!$B:$B,N2591))</f>
        <v/>
      </c>
      <c r="F2591" s="21" t="str">
        <f aca="false">IF(OR(B2591="",N(N2591)=0,N2591=1000),"",INDEX(Rules!$C:$C,N2591))</f>
        <v/>
      </c>
      <c r="G2591" s="24"/>
      <c r="H2591" s="24"/>
      <c r="I2591" s="20" t="str">
        <f aca="false">IF(B2591="","",IF(G2591&lt;&gt;"",G2591,E2591))</f>
        <v/>
      </c>
      <c r="J2591" s="21" t="str">
        <f aca="false">IF(B2591="","",IF(H2591&lt;&gt;"",H2591,F2591))</f>
        <v/>
      </c>
      <c r="K2591" s="26" t="str">
        <f aca="false">IF(A2591="","",DATE(YEAR(A2591),MONTH(A2591),1))</f>
        <v/>
      </c>
      <c r="L2591" s="21" t="str">
        <f aca="false">IF(J2591="",IF(B2591="","",IF(N(C2591)&gt;=0,"Income","Expense")),IFERROR(INDEX(Lists!$B$2:$B$30,MATCH(J2591,Lists!$A$2:$A$30,0)),""))</f>
        <v/>
      </c>
      <c r="M2591" s="24"/>
      <c r="N2591" s="27" t="str">
        <f aca="false">IF(B2591="","",IFERROR(1000-SUMPRODUCT(MAX(ISNUMBER(SEARCH(Rules!$A$5:$A$204,B2591))*(Rules!$A$5:$A$204&lt;&gt;"")*(1000-ROW(Rules!$A$5:$A$204)))),""))</f>
        <v/>
      </c>
    </row>
    <row r="2592" customFormat="false" ht="15" hidden="false" customHeight="false" outlineLevel="0" collapsed="false">
      <c r="A2592" s="23"/>
      <c r="B2592" s="24"/>
      <c r="C2592" s="25"/>
      <c r="D2592" s="24"/>
      <c r="E2592" s="21" t="str">
        <f aca="false">IF(OR(B2592="",N(N2592)=0,N2592=1000),IF(B2592="","","Check"),INDEX(Rules!$B:$B,N2592))</f>
        <v/>
      </c>
      <c r="F2592" s="21" t="str">
        <f aca="false">IF(OR(B2592="",N(N2592)=0,N2592=1000),"",INDEX(Rules!$C:$C,N2592))</f>
        <v/>
      </c>
      <c r="G2592" s="24"/>
      <c r="H2592" s="24"/>
      <c r="I2592" s="20" t="str">
        <f aca="false">IF(B2592="","",IF(G2592&lt;&gt;"",G2592,E2592))</f>
        <v/>
      </c>
      <c r="J2592" s="21" t="str">
        <f aca="false">IF(B2592="","",IF(H2592&lt;&gt;"",H2592,F2592))</f>
        <v/>
      </c>
      <c r="K2592" s="26" t="str">
        <f aca="false">IF(A2592="","",DATE(YEAR(A2592),MONTH(A2592),1))</f>
        <v/>
      </c>
      <c r="L2592" s="21" t="str">
        <f aca="false">IF(J2592="",IF(B2592="","",IF(N(C2592)&gt;=0,"Income","Expense")),IFERROR(INDEX(Lists!$B$2:$B$30,MATCH(J2592,Lists!$A$2:$A$30,0)),""))</f>
        <v/>
      </c>
      <c r="M2592" s="24"/>
      <c r="N2592" s="27" t="str">
        <f aca="false">IF(B2592="","",IFERROR(1000-SUMPRODUCT(MAX(ISNUMBER(SEARCH(Rules!$A$5:$A$204,B2592))*(Rules!$A$5:$A$204&lt;&gt;"")*(1000-ROW(Rules!$A$5:$A$204)))),""))</f>
        <v/>
      </c>
    </row>
    <row r="2593" customFormat="false" ht="15" hidden="false" customHeight="false" outlineLevel="0" collapsed="false">
      <c r="A2593" s="23"/>
      <c r="B2593" s="24"/>
      <c r="C2593" s="25"/>
      <c r="D2593" s="24"/>
      <c r="E2593" s="21" t="str">
        <f aca="false">IF(OR(B2593="",N(N2593)=0,N2593=1000),IF(B2593="","","Check"),INDEX(Rules!$B:$B,N2593))</f>
        <v/>
      </c>
      <c r="F2593" s="21" t="str">
        <f aca="false">IF(OR(B2593="",N(N2593)=0,N2593=1000),"",INDEX(Rules!$C:$C,N2593))</f>
        <v/>
      </c>
      <c r="G2593" s="24"/>
      <c r="H2593" s="24"/>
      <c r="I2593" s="20" t="str">
        <f aca="false">IF(B2593="","",IF(G2593&lt;&gt;"",G2593,E2593))</f>
        <v/>
      </c>
      <c r="J2593" s="21" t="str">
        <f aca="false">IF(B2593="","",IF(H2593&lt;&gt;"",H2593,F2593))</f>
        <v/>
      </c>
      <c r="K2593" s="26" t="str">
        <f aca="false">IF(A2593="","",DATE(YEAR(A2593),MONTH(A2593),1))</f>
        <v/>
      </c>
      <c r="L2593" s="21" t="str">
        <f aca="false">IF(J2593="",IF(B2593="","",IF(N(C2593)&gt;=0,"Income","Expense")),IFERROR(INDEX(Lists!$B$2:$B$30,MATCH(J2593,Lists!$A$2:$A$30,0)),""))</f>
        <v/>
      </c>
      <c r="M2593" s="24"/>
      <c r="N2593" s="27" t="str">
        <f aca="false">IF(B2593="","",IFERROR(1000-SUMPRODUCT(MAX(ISNUMBER(SEARCH(Rules!$A$5:$A$204,B2593))*(Rules!$A$5:$A$204&lt;&gt;"")*(1000-ROW(Rules!$A$5:$A$204)))),""))</f>
        <v/>
      </c>
    </row>
    <row r="2594" customFormat="false" ht="15" hidden="false" customHeight="false" outlineLevel="0" collapsed="false">
      <c r="A2594" s="23"/>
      <c r="B2594" s="24"/>
      <c r="C2594" s="25"/>
      <c r="D2594" s="24"/>
      <c r="E2594" s="21" t="str">
        <f aca="false">IF(OR(B2594="",N(N2594)=0,N2594=1000),IF(B2594="","","Check"),INDEX(Rules!$B:$B,N2594))</f>
        <v/>
      </c>
      <c r="F2594" s="21" t="str">
        <f aca="false">IF(OR(B2594="",N(N2594)=0,N2594=1000),"",INDEX(Rules!$C:$C,N2594))</f>
        <v/>
      </c>
      <c r="G2594" s="24"/>
      <c r="H2594" s="24"/>
      <c r="I2594" s="20" t="str">
        <f aca="false">IF(B2594="","",IF(G2594&lt;&gt;"",G2594,E2594))</f>
        <v/>
      </c>
      <c r="J2594" s="21" t="str">
        <f aca="false">IF(B2594="","",IF(H2594&lt;&gt;"",H2594,F2594))</f>
        <v/>
      </c>
      <c r="K2594" s="26" t="str">
        <f aca="false">IF(A2594="","",DATE(YEAR(A2594),MONTH(A2594),1))</f>
        <v/>
      </c>
      <c r="L2594" s="21" t="str">
        <f aca="false">IF(J2594="",IF(B2594="","",IF(N(C2594)&gt;=0,"Income","Expense")),IFERROR(INDEX(Lists!$B$2:$B$30,MATCH(J2594,Lists!$A$2:$A$30,0)),""))</f>
        <v/>
      </c>
      <c r="M2594" s="24"/>
      <c r="N2594" s="27" t="str">
        <f aca="false">IF(B2594="","",IFERROR(1000-SUMPRODUCT(MAX(ISNUMBER(SEARCH(Rules!$A$5:$A$204,B2594))*(Rules!$A$5:$A$204&lt;&gt;"")*(1000-ROW(Rules!$A$5:$A$204)))),""))</f>
        <v/>
      </c>
    </row>
    <row r="2595" customFormat="false" ht="15" hidden="false" customHeight="false" outlineLevel="0" collapsed="false">
      <c r="A2595" s="23"/>
      <c r="B2595" s="24"/>
      <c r="C2595" s="25"/>
      <c r="D2595" s="24"/>
      <c r="E2595" s="21" t="str">
        <f aca="false">IF(OR(B2595="",N(N2595)=0,N2595=1000),IF(B2595="","","Check"),INDEX(Rules!$B:$B,N2595))</f>
        <v/>
      </c>
      <c r="F2595" s="21" t="str">
        <f aca="false">IF(OR(B2595="",N(N2595)=0,N2595=1000),"",INDEX(Rules!$C:$C,N2595))</f>
        <v/>
      </c>
      <c r="G2595" s="24"/>
      <c r="H2595" s="24"/>
      <c r="I2595" s="20" t="str">
        <f aca="false">IF(B2595="","",IF(G2595&lt;&gt;"",G2595,E2595))</f>
        <v/>
      </c>
      <c r="J2595" s="21" t="str">
        <f aca="false">IF(B2595="","",IF(H2595&lt;&gt;"",H2595,F2595))</f>
        <v/>
      </c>
      <c r="K2595" s="26" t="str">
        <f aca="false">IF(A2595="","",DATE(YEAR(A2595),MONTH(A2595),1))</f>
        <v/>
      </c>
      <c r="L2595" s="21" t="str">
        <f aca="false">IF(J2595="",IF(B2595="","",IF(N(C2595)&gt;=0,"Income","Expense")),IFERROR(INDEX(Lists!$B$2:$B$30,MATCH(J2595,Lists!$A$2:$A$30,0)),""))</f>
        <v/>
      </c>
      <c r="M2595" s="24"/>
      <c r="N2595" s="27" t="str">
        <f aca="false">IF(B2595="","",IFERROR(1000-SUMPRODUCT(MAX(ISNUMBER(SEARCH(Rules!$A$5:$A$204,B2595))*(Rules!$A$5:$A$204&lt;&gt;"")*(1000-ROW(Rules!$A$5:$A$204)))),""))</f>
        <v/>
      </c>
    </row>
    <row r="2596" customFormat="false" ht="15" hidden="false" customHeight="false" outlineLevel="0" collapsed="false">
      <c r="A2596" s="23"/>
      <c r="B2596" s="24"/>
      <c r="C2596" s="25"/>
      <c r="D2596" s="24"/>
      <c r="E2596" s="21" t="str">
        <f aca="false">IF(OR(B2596="",N(N2596)=0,N2596=1000),IF(B2596="","","Check"),INDEX(Rules!$B:$B,N2596))</f>
        <v/>
      </c>
      <c r="F2596" s="21" t="str">
        <f aca="false">IF(OR(B2596="",N(N2596)=0,N2596=1000),"",INDEX(Rules!$C:$C,N2596))</f>
        <v/>
      </c>
      <c r="G2596" s="24"/>
      <c r="H2596" s="24"/>
      <c r="I2596" s="20" t="str">
        <f aca="false">IF(B2596="","",IF(G2596&lt;&gt;"",G2596,E2596))</f>
        <v/>
      </c>
      <c r="J2596" s="21" t="str">
        <f aca="false">IF(B2596="","",IF(H2596&lt;&gt;"",H2596,F2596))</f>
        <v/>
      </c>
      <c r="K2596" s="26" t="str">
        <f aca="false">IF(A2596="","",DATE(YEAR(A2596),MONTH(A2596),1))</f>
        <v/>
      </c>
      <c r="L2596" s="21" t="str">
        <f aca="false">IF(J2596="",IF(B2596="","",IF(N(C2596)&gt;=0,"Income","Expense")),IFERROR(INDEX(Lists!$B$2:$B$30,MATCH(J2596,Lists!$A$2:$A$30,0)),""))</f>
        <v/>
      </c>
      <c r="M2596" s="24"/>
      <c r="N2596" s="27" t="str">
        <f aca="false">IF(B2596="","",IFERROR(1000-SUMPRODUCT(MAX(ISNUMBER(SEARCH(Rules!$A$5:$A$204,B2596))*(Rules!$A$5:$A$204&lt;&gt;"")*(1000-ROW(Rules!$A$5:$A$204)))),""))</f>
        <v/>
      </c>
    </row>
    <row r="2597" customFormat="false" ht="15" hidden="false" customHeight="false" outlineLevel="0" collapsed="false">
      <c r="A2597" s="23"/>
      <c r="B2597" s="24"/>
      <c r="C2597" s="25"/>
      <c r="D2597" s="24"/>
      <c r="E2597" s="21" t="str">
        <f aca="false">IF(OR(B2597="",N(N2597)=0,N2597=1000),IF(B2597="","","Check"),INDEX(Rules!$B:$B,N2597))</f>
        <v/>
      </c>
      <c r="F2597" s="21" t="str">
        <f aca="false">IF(OR(B2597="",N(N2597)=0,N2597=1000),"",INDEX(Rules!$C:$C,N2597))</f>
        <v/>
      </c>
      <c r="G2597" s="24"/>
      <c r="H2597" s="24"/>
      <c r="I2597" s="20" t="str">
        <f aca="false">IF(B2597="","",IF(G2597&lt;&gt;"",G2597,E2597))</f>
        <v/>
      </c>
      <c r="J2597" s="21" t="str">
        <f aca="false">IF(B2597="","",IF(H2597&lt;&gt;"",H2597,F2597))</f>
        <v/>
      </c>
      <c r="K2597" s="26" t="str">
        <f aca="false">IF(A2597="","",DATE(YEAR(A2597),MONTH(A2597),1))</f>
        <v/>
      </c>
      <c r="L2597" s="21" t="str">
        <f aca="false">IF(J2597="",IF(B2597="","",IF(N(C2597)&gt;=0,"Income","Expense")),IFERROR(INDEX(Lists!$B$2:$B$30,MATCH(J2597,Lists!$A$2:$A$30,0)),""))</f>
        <v/>
      </c>
      <c r="M2597" s="24"/>
      <c r="N2597" s="27" t="str">
        <f aca="false">IF(B2597="","",IFERROR(1000-SUMPRODUCT(MAX(ISNUMBER(SEARCH(Rules!$A$5:$A$204,B2597))*(Rules!$A$5:$A$204&lt;&gt;"")*(1000-ROW(Rules!$A$5:$A$204)))),""))</f>
        <v/>
      </c>
    </row>
    <row r="2598" customFormat="false" ht="15" hidden="false" customHeight="false" outlineLevel="0" collapsed="false">
      <c r="A2598" s="23"/>
      <c r="B2598" s="24"/>
      <c r="C2598" s="25"/>
      <c r="D2598" s="24"/>
      <c r="E2598" s="21" t="str">
        <f aca="false">IF(OR(B2598="",N(N2598)=0,N2598=1000),IF(B2598="","","Check"),INDEX(Rules!$B:$B,N2598))</f>
        <v/>
      </c>
      <c r="F2598" s="21" t="str">
        <f aca="false">IF(OR(B2598="",N(N2598)=0,N2598=1000),"",INDEX(Rules!$C:$C,N2598))</f>
        <v/>
      </c>
      <c r="G2598" s="24"/>
      <c r="H2598" s="24"/>
      <c r="I2598" s="20" t="str">
        <f aca="false">IF(B2598="","",IF(G2598&lt;&gt;"",G2598,E2598))</f>
        <v/>
      </c>
      <c r="J2598" s="21" t="str">
        <f aca="false">IF(B2598="","",IF(H2598&lt;&gt;"",H2598,F2598))</f>
        <v/>
      </c>
      <c r="K2598" s="26" t="str">
        <f aca="false">IF(A2598="","",DATE(YEAR(A2598),MONTH(A2598),1))</f>
        <v/>
      </c>
      <c r="L2598" s="21" t="str">
        <f aca="false">IF(J2598="",IF(B2598="","",IF(N(C2598)&gt;=0,"Income","Expense")),IFERROR(INDEX(Lists!$B$2:$B$30,MATCH(J2598,Lists!$A$2:$A$30,0)),""))</f>
        <v/>
      </c>
      <c r="M2598" s="24"/>
      <c r="N2598" s="27" t="str">
        <f aca="false">IF(B2598="","",IFERROR(1000-SUMPRODUCT(MAX(ISNUMBER(SEARCH(Rules!$A$5:$A$204,B2598))*(Rules!$A$5:$A$204&lt;&gt;"")*(1000-ROW(Rules!$A$5:$A$204)))),""))</f>
        <v/>
      </c>
    </row>
    <row r="2599" customFormat="false" ht="15" hidden="false" customHeight="false" outlineLevel="0" collapsed="false">
      <c r="A2599" s="23"/>
      <c r="B2599" s="24"/>
      <c r="C2599" s="25"/>
      <c r="D2599" s="24"/>
      <c r="E2599" s="21" t="str">
        <f aca="false">IF(OR(B2599="",N(N2599)=0,N2599=1000),IF(B2599="","","Check"),INDEX(Rules!$B:$B,N2599))</f>
        <v/>
      </c>
      <c r="F2599" s="21" t="str">
        <f aca="false">IF(OR(B2599="",N(N2599)=0,N2599=1000),"",INDEX(Rules!$C:$C,N2599))</f>
        <v/>
      </c>
      <c r="G2599" s="24"/>
      <c r="H2599" s="24"/>
      <c r="I2599" s="20" t="str">
        <f aca="false">IF(B2599="","",IF(G2599&lt;&gt;"",G2599,E2599))</f>
        <v/>
      </c>
      <c r="J2599" s="21" t="str">
        <f aca="false">IF(B2599="","",IF(H2599&lt;&gt;"",H2599,F2599))</f>
        <v/>
      </c>
      <c r="K2599" s="26" t="str">
        <f aca="false">IF(A2599="","",DATE(YEAR(A2599),MONTH(A2599),1))</f>
        <v/>
      </c>
      <c r="L2599" s="21" t="str">
        <f aca="false">IF(J2599="",IF(B2599="","",IF(N(C2599)&gt;=0,"Income","Expense")),IFERROR(INDEX(Lists!$B$2:$B$30,MATCH(J2599,Lists!$A$2:$A$30,0)),""))</f>
        <v/>
      </c>
      <c r="M2599" s="24"/>
      <c r="N2599" s="27" t="str">
        <f aca="false">IF(B2599="","",IFERROR(1000-SUMPRODUCT(MAX(ISNUMBER(SEARCH(Rules!$A$5:$A$204,B2599))*(Rules!$A$5:$A$204&lt;&gt;"")*(1000-ROW(Rules!$A$5:$A$204)))),""))</f>
        <v/>
      </c>
    </row>
    <row r="2600" customFormat="false" ht="15" hidden="false" customHeight="false" outlineLevel="0" collapsed="false">
      <c r="A2600" s="23"/>
      <c r="B2600" s="24"/>
      <c r="C2600" s="25"/>
      <c r="D2600" s="24"/>
      <c r="E2600" s="21" t="str">
        <f aca="false">IF(OR(B2600="",N(N2600)=0,N2600=1000),IF(B2600="","","Check"),INDEX(Rules!$B:$B,N2600))</f>
        <v/>
      </c>
      <c r="F2600" s="21" t="str">
        <f aca="false">IF(OR(B2600="",N(N2600)=0,N2600=1000),"",INDEX(Rules!$C:$C,N2600))</f>
        <v/>
      </c>
      <c r="G2600" s="24"/>
      <c r="H2600" s="24"/>
      <c r="I2600" s="20" t="str">
        <f aca="false">IF(B2600="","",IF(G2600&lt;&gt;"",G2600,E2600))</f>
        <v/>
      </c>
      <c r="J2600" s="21" t="str">
        <f aca="false">IF(B2600="","",IF(H2600&lt;&gt;"",H2600,F2600))</f>
        <v/>
      </c>
      <c r="K2600" s="26" t="str">
        <f aca="false">IF(A2600="","",DATE(YEAR(A2600),MONTH(A2600),1))</f>
        <v/>
      </c>
      <c r="L2600" s="21" t="str">
        <f aca="false">IF(J2600="",IF(B2600="","",IF(N(C2600)&gt;=0,"Income","Expense")),IFERROR(INDEX(Lists!$B$2:$B$30,MATCH(J2600,Lists!$A$2:$A$30,0)),""))</f>
        <v/>
      </c>
      <c r="M2600" s="24"/>
      <c r="N2600" s="27" t="str">
        <f aca="false">IF(B2600="","",IFERROR(1000-SUMPRODUCT(MAX(ISNUMBER(SEARCH(Rules!$A$5:$A$204,B2600))*(Rules!$A$5:$A$204&lt;&gt;"")*(1000-ROW(Rules!$A$5:$A$204)))),""))</f>
        <v/>
      </c>
    </row>
    <row r="2601" customFormat="false" ht="15" hidden="false" customHeight="false" outlineLevel="0" collapsed="false">
      <c r="A2601" s="23"/>
      <c r="B2601" s="24"/>
      <c r="C2601" s="25"/>
      <c r="D2601" s="24"/>
      <c r="E2601" s="21" t="str">
        <f aca="false">IF(OR(B2601="",N(N2601)=0,N2601=1000),IF(B2601="","","Check"),INDEX(Rules!$B:$B,N2601))</f>
        <v/>
      </c>
      <c r="F2601" s="21" t="str">
        <f aca="false">IF(OR(B2601="",N(N2601)=0,N2601=1000),"",INDEX(Rules!$C:$C,N2601))</f>
        <v/>
      </c>
      <c r="G2601" s="24"/>
      <c r="H2601" s="24"/>
      <c r="I2601" s="20" t="str">
        <f aca="false">IF(B2601="","",IF(G2601&lt;&gt;"",G2601,E2601))</f>
        <v/>
      </c>
      <c r="J2601" s="21" t="str">
        <f aca="false">IF(B2601="","",IF(H2601&lt;&gt;"",H2601,F2601))</f>
        <v/>
      </c>
      <c r="K2601" s="26" t="str">
        <f aca="false">IF(A2601="","",DATE(YEAR(A2601),MONTH(A2601),1))</f>
        <v/>
      </c>
      <c r="L2601" s="21" t="str">
        <f aca="false">IF(J2601="",IF(B2601="","",IF(N(C2601)&gt;=0,"Income","Expense")),IFERROR(INDEX(Lists!$B$2:$B$30,MATCH(J2601,Lists!$A$2:$A$30,0)),""))</f>
        <v/>
      </c>
      <c r="M2601" s="24"/>
      <c r="N2601" s="27" t="str">
        <f aca="false">IF(B2601="","",IFERROR(1000-SUMPRODUCT(MAX(ISNUMBER(SEARCH(Rules!$A$5:$A$204,B2601))*(Rules!$A$5:$A$204&lt;&gt;"")*(1000-ROW(Rules!$A$5:$A$204)))),""))</f>
        <v/>
      </c>
    </row>
    <row r="2602" customFormat="false" ht="15" hidden="false" customHeight="false" outlineLevel="0" collapsed="false">
      <c r="A2602" s="23"/>
      <c r="B2602" s="24"/>
      <c r="C2602" s="25"/>
      <c r="D2602" s="24"/>
      <c r="E2602" s="21" t="str">
        <f aca="false">IF(OR(B2602="",N(N2602)=0,N2602=1000),IF(B2602="","","Check"),INDEX(Rules!$B:$B,N2602))</f>
        <v/>
      </c>
      <c r="F2602" s="21" t="str">
        <f aca="false">IF(OR(B2602="",N(N2602)=0,N2602=1000),"",INDEX(Rules!$C:$C,N2602))</f>
        <v/>
      </c>
      <c r="G2602" s="24"/>
      <c r="H2602" s="24"/>
      <c r="I2602" s="20" t="str">
        <f aca="false">IF(B2602="","",IF(G2602&lt;&gt;"",G2602,E2602))</f>
        <v/>
      </c>
      <c r="J2602" s="21" t="str">
        <f aca="false">IF(B2602="","",IF(H2602&lt;&gt;"",H2602,F2602))</f>
        <v/>
      </c>
      <c r="K2602" s="26" t="str">
        <f aca="false">IF(A2602="","",DATE(YEAR(A2602),MONTH(A2602),1))</f>
        <v/>
      </c>
      <c r="L2602" s="21" t="str">
        <f aca="false">IF(J2602="",IF(B2602="","",IF(N(C2602)&gt;=0,"Income","Expense")),IFERROR(INDEX(Lists!$B$2:$B$30,MATCH(J2602,Lists!$A$2:$A$30,0)),""))</f>
        <v/>
      </c>
      <c r="M2602" s="24"/>
      <c r="N2602" s="27" t="str">
        <f aca="false">IF(B2602="","",IFERROR(1000-SUMPRODUCT(MAX(ISNUMBER(SEARCH(Rules!$A$5:$A$204,B2602))*(Rules!$A$5:$A$204&lt;&gt;"")*(1000-ROW(Rules!$A$5:$A$204)))),""))</f>
        <v/>
      </c>
    </row>
    <row r="2603" customFormat="false" ht="15" hidden="false" customHeight="false" outlineLevel="0" collapsed="false">
      <c r="A2603" s="23"/>
      <c r="B2603" s="24"/>
      <c r="C2603" s="25"/>
      <c r="D2603" s="24"/>
      <c r="E2603" s="21" t="str">
        <f aca="false">IF(OR(B2603="",N(N2603)=0,N2603=1000),IF(B2603="","","Check"),INDEX(Rules!$B:$B,N2603))</f>
        <v/>
      </c>
      <c r="F2603" s="21" t="str">
        <f aca="false">IF(OR(B2603="",N(N2603)=0,N2603=1000),"",INDEX(Rules!$C:$C,N2603))</f>
        <v/>
      </c>
      <c r="G2603" s="24"/>
      <c r="H2603" s="24"/>
      <c r="I2603" s="20" t="str">
        <f aca="false">IF(B2603="","",IF(G2603&lt;&gt;"",G2603,E2603))</f>
        <v/>
      </c>
      <c r="J2603" s="21" t="str">
        <f aca="false">IF(B2603="","",IF(H2603&lt;&gt;"",H2603,F2603))</f>
        <v/>
      </c>
      <c r="K2603" s="26" t="str">
        <f aca="false">IF(A2603="","",DATE(YEAR(A2603),MONTH(A2603),1))</f>
        <v/>
      </c>
      <c r="L2603" s="21" t="str">
        <f aca="false">IF(J2603="",IF(B2603="","",IF(N(C2603)&gt;=0,"Income","Expense")),IFERROR(INDEX(Lists!$B$2:$B$30,MATCH(J2603,Lists!$A$2:$A$30,0)),""))</f>
        <v/>
      </c>
      <c r="M2603" s="24"/>
      <c r="N2603" s="27" t="str">
        <f aca="false">IF(B2603="","",IFERROR(1000-SUMPRODUCT(MAX(ISNUMBER(SEARCH(Rules!$A$5:$A$204,B2603))*(Rules!$A$5:$A$204&lt;&gt;"")*(1000-ROW(Rules!$A$5:$A$204)))),""))</f>
        <v/>
      </c>
    </row>
    <row r="2604" customFormat="false" ht="15" hidden="false" customHeight="false" outlineLevel="0" collapsed="false">
      <c r="A2604" s="23"/>
      <c r="B2604" s="24"/>
      <c r="C2604" s="25"/>
      <c r="D2604" s="24"/>
      <c r="E2604" s="21" t="str">
        <f aca="false">IF(OR(B2604="",N(N2604)=0,N2604=1000),IF(B2604="","","Check"),INDEX(Rules!$B:$B,N2604))</f>
        <v/>
      </c>
      <c r="F2604" s="21" t="str">
        <f aca="false">IF(OR(B2604="",N(N2604)=0,N2604=1000),"",INDEX(Rules!$C:$C,N2604))</f>
        <v/>
      </c>
      <c r="G2604" s="24"/>
      <c r="H2604" s="24"/>
      <c r="I2604" s="20" t="str">
        <f aca="false">IF(B2604="","",IF(G2604&lt;&gt;"",G2604,E2604))</f>
        <v/>
      </c>
      <c r="J2604" s="21" t="str">
        <f aca="false">IF(B2604="","",IF(H2604&lt;&gt;"",H2604,F2604))</f>
        <v/>
      </c>
      <c r="K2604" s="26" t="str">
        <f aca="false">IF(A2604="","",DATE(YEAR(A2604),MONTH(A2604),1))</f>
        <v/>
      </c>
      <c r="L2604" s="21" t="str">
        <f aca="false">IF(J2604="",IF(B2604="","",IF(N(C2604)&gt;=0,"Income","Expense")),IFERROR(INDEX(Lists!$B$2:$B$30,MATCH(J2604,Lists!$A$2:$A$30,0)),""))</f>
        <v/>
      </c>
      <c r="M2604" s="24"/>
      <c r="N2604" s="27" t="str">
        <f aca="false">IF(B2604="","",IFERROR(1000-SUMPRODUCT(MAX(ISNUMBER(SEARCH(Rules!$A$5:$A$204,B2604))*(Rules!$A$5:$A$204&lt;&gt;"")*(1000-ROW(Rules!$A$5:$A$204)))),""))</f>
        <v/>
      </c>
    </row>
    <row r="2605" customFormat="false" ht="15" hidden="false" customHeight="false" outlineLevel="0" collapsed="false">
      <c r="A2605" s="23"/>
      <c r="B2605" s="24"/>
      <c r="C2605" s="25"/>
      <c r="D2605" s="24"/>
      <c r="E2605" s="21" t="str">
        <f aca="false">IF(OR(B2605="",N(N2605)=0,N2605=1000),IF(B2605="","","Check"),INDEX(Rules!$B:$B,N2605))</f>
        <v/>
      </c>
      <c r="F2605" s="21" t="str">
        <f aca="false">IF(OR(B2605="",N(N2605)=0,N2605=1000),"",INDEX(Rules!$C:$C,N2605))</f>
        <v/>
      </c>
      <c r="G2605" s="24"/>
      <c r="H2605" s="24"/>
      <c r="I2605" s="20" t="str">
        <f aca="false">IF(B2605="","",IF(G2605&lt;&gt;"",G2605,E2605))</f>
        <v/>
      </c>
      <c r="J2605" s="21" t="str">
        <f aca="false">IF(B2605="","",IF(H2605&lt;&gt;"",H2605,F2605))</f>
        <v/>
      </c>
      <c r="K2605" s="26" t="str">
        <f aca="false">IF(A2605="","",DATE(YEAR(A2605),MONTH(A2605),1))</f>
        <v/>
      </c>
      <c r="L2605" s="21" t="str">
        <f aca="false">IF(J2605="",IF(B2605="","",IF(N(C2605)&gt;=0,"Income","Expense")),IFERROR(INDEX(Lists!$B$2:$B$30,MATCH(J2605,Lists!$A$2:$A$30,0)),""))</f>
        <v/>
      </c>
      <c r="M2605" s="24"/>
      <c r="N2605" s="27" t="str">
        <f aca="false">IF(B2605="","",IFERROR(1000-SUMPRODUCT(MAX(ISNUMBER(SEARCH(Rules!$A$5:$A$204,B2605))*(Rules!$A$5:$A$204&lt;&gt;"")*(1000-ROW(Rules!$A$5:$A$204)))),""))</f>
        <v/>
      </c>
    </row>
    <row r="2606" customFormat="false" ht="15" hidden="false" customHeight="false" outlineLevel="0" collapsed="false">
      <c r="A2606" s="23"/>
      <c r="B2606" s="24"/>
      <c r="C2606" s="25"/>
      <c r="D2606" s="24"/>
      <c r="E2606" s="21" t="str">
        <f aca="false">IF(OR(B2606="",N(N2606)=0,N2606=1000),IF(B2606="","","Check"),INDEX(Rules!$B:$B,N2606))</f>
        <v/>
      </c>
      <c r="F2606" s="21" t="str">
        <f aca="false">IF(OR(B2606="",N(N2606)=0,N2606=1000),"",INDEX(Rules!$C:$C,N2606))</f>
        <v/>
      </c>
      <c r="G2606" s="24"/>
      <c r="H2606" s="24"/>
      <c r="I2606" s="20" t="str">
        <f aca="false">IF(B2606="","",IF(G2606&lt;&gt;"",G2606,E2606))</f>
        <v/>
      </c>
      <c r="J2606" s="21" t="str">
        <f aca="false">IF(B2606="","",IF(H2606&lt;&gt;"",H2606,F2606))</f>
        <v/>
      </c>
      <c r="K2606" s="26" t="str">
        <f aca="false">IF(A2606="","",DATE(YEAR(A2606),MONTH(A2606),1))</f>
        <v/>
      </c>
      <c r="L2606" s="21" t="str">
        <f aca="false">IF(J2606="",IF(B2606="","",IF(N(C2606)&gt;=0,"Income","Expense")),IFERROR(INDEX(Lists!$B$2:$B$30,MATCH(J2606,Lists!$A$2:$A$30,0)),""))</f>
        <v/>
      </c>
      <c r="M2606" s="24"/>
      <c r="N2606" s="27" t="str">
        <f aca="false">IF(B2606="","",IFERROR(1000-SUMPRODUCT(MAX(ISNUMBER(SEARCH(Rules!$A$5:$A$204,B2606))*(Rules!$A$5:$A$204&lt;&gt;"")*(1000-ROW(Rules!$A$5:$A$204)))),""))</f>
        <v/>
      </c>
    </row>
    <row r="2607" customFormat="false" ht="15" hidden="false" customHeight="false" outlineLevel="0" collapsed="false">
      <c r="A2607" s="23"/>
      <c r="B2607" s="24"/>
      <c r="C2607" s="25"/>
      <c r="D2607" s="24"/>
      <c r="E2607" s="21" t="str">
        <f aca="false">IF(OR(B2607="",N(N2607)=0,N2607=1000),IF(B2607="","","Check"),INDEX(Rules!$B:$B,N2607))</f>
        <v/>
      </c>
      <c r="F2607" s="21" t="str">
        <f aca="false">IF(OR(B2607="",N(N2607)=0,N2607=1000),"",INDEX(Rules!$C:$C,N2607))</f>
        <v/>
      </c>
      <c r="G2607" s="24"/>
      <c r="H2607" s="24"/>
      <c r="I2607" s="20" t="str">
        <f aca="false">IF(B2607="","",IF(G2607&lt;&gt;"",G2607,E2607))</f>
        <v/>
      </c>
      <c r="J2607" s="21" t="str">
        <f aca="false">IF(B2607="","",IF(H2607&lt;&gt;"",H2607,F2607))</f>
        <v/>
      </c>
      <c r="K2607" s="26" t="str">
        <f aca="false">IF(A2607="","",DATE(YEAR(A2607),MONTH(A2607),1))</f>
        <v/>
      </c>
      <c r="L2607" s="21" t="str">
        <f aca="false">IF(J2607="",IF(B2607="","",IF(N(C2607)&gt;=0,"Income","Expense")),IFERROR(INDEX(Lists!$B$2:$B$30,MATCH(J2607,Lists!$A$2:$A$30,0)),""))</f>
        <v/>
      </c>
      <c r="M2607" s="24"/>
      <c r="N2607" s="27" t="str">
        <f aca="false">IF(B2607="","",IFERROR(1000-SUMPRODUCT(MAX(ISNUMBER(SEARCH(Rules!$A$5:$A$204,B2607))*(Rules!$A$5:$A$204&lt;&gt;"")*(1000-ROW(Rules!$A$5:$A$204)))),""))</f>
        <v/>
      </c>
    </row>
    <row r="2608" customFormat="false" ht="15" hidden="false" customHeight="false" outlineLevel="0" collapsed="false">
      <c r="A2608" s="23"/>
      <c r="B2608" s="24"/>
      <c r="C2608" s="25"/>
      <c r="D2608" s="24"/>
      <c r="E2608" s="21" t="str">
        <f aca="false">IF(OR(B2608="",N(N2608)=0,N2608=1000),IF(B2608="","","Check"),INDEX(Rules!$B:$B,N2608))</f>
        <v/>
      </c>
      <c r="F2608" s="21" t="str">
        <f aca="false">IF(OR(B2608="",N(N2608)=0,N2608=1000),"",INDEX(Rules!$C:$C,N2608))</f>
        <v/>
      </c>
      <c r="G2608" s="24"/>
      <c r="H2608" s="24"/>
      <c r="I2608" s="20" t="str">
        <f aca="false">IF(B2608="","",IF(G2608&lt;&gt;"",G2608,E2608))</f>
        <v/>
      </c>
      <c r="J2608" s="21" t="str">
        <f aca="false">IF(B2608="","",IF(H2608&lt;&gt;"",H2608,F2608))</f>
        <v/>
      </c>
      <c r="K2608" s="26" t="str">
        <f aca="false">IF(A2608="","",DATE(YEAR(A2608),MONTH(A2608),1))</f>
        <v/>
      </c>
      <c r="L2608" s="21" t="str">
        <f aca="false">IF(J2608="",IF(B2608="","",IF(N(C2608)&gt;=0,"Income","Expense")),IFERROR(INDEX(Lists!$B$2:$B$30,MATCH(J2608,Lists!$A$2:$A$30,0)),""))</f>
        <v/>
      </c>
      <c r="M2608" s="24"/>
      <c r="N2608" s="27" t="str">
        <f aca="false">IF(B2608="","",IFERROR(1000-SUMPRODUCT(MAX(ISNUMBER(SEARCH(Rules!$A$5:$A$204,B2608))*(Rules!$A$5:$A$204&lt;&gt;"")*(1000-ROW(Rules!$A$5:$A$204)))),""))</f>
        <v/>
      </c>
    </row>
    <row r="2609" customFormat="false" ht="15" hidden="false" customHeight="false" outlineLevel="0" collapsed="false">
      <c r="A2609" s="23"/>
      <c r="B2609" s="24"/>
      <c r="C2609" s="25"/>
      <c r="D2609" s="24"/>
      <c r="E2609" s="21" t="str">
        <f aca="false">IF(OR(B2609="",N(N2609)=0,N2609=1000),IF(B2609="","","Check"),INDEX(Rules!$B:$B,N2609))</f>
        <v/>
      </c>
      <c r="F2609" s="21" t="str">
        <f aca="false">IF(OR(B2609="",N(N2609)=0,N2609=1000),"",INDEX(Rules!$C:$C,N2609))</f>
        <v/>
      </c>
      <c r="G2609" s="24"/>
      <c r="H2609" s="24"/>
      <c r="I2609" s="20" t="str">
        <f aca="false">IF(B2609="","",IF(G2609&lt;&gt;"",G2609,E2609))</f>
        <v/>
      </c>
      <c r="J2609" s="21" t="str">
        <f aca="false">IF(B2609="","",IF(H2609&lt;&gt;"",H2609,F2609))</f>
        <v/>
      </c>
      <c r="K2609" s="26" t="str">
        <f aca="false">IF(A2609="","",DATE(YEAR(A2609),MONTH(A2609),1))</f>
        <v/>
      </c>
      <c r="L2609" s="21" t="str">
        <f aca="false">IF(J2609="",IF(B2609="","",IF(N(C2609)&gt;=0,"Income","Expense")),IFERROR(INDEX(Lists!$B$2:$B$30,MATCH(J2609,Lists!$A$2:$A$30,0)),""))</f>
        <v/>
      </c>
      <c r="M2609" s="24"/>
      <c r="N2609" s="27" t="str">
        <f aca="false">IF(B2609="","",IFERROR(1000-SUMPRODUCT(MAX(ISNUMBER(SEARCH(Rules!$A$5:$A$204,B2609))*(Rules!$A$5:$A$204&lt;&gt;"")*(1000-ROW(Rules!$A$5:$A$204)))),""))</f>
        <v/>
      </c>
    </row>
    <row r="2610" customFormat="false" ht="15" hidden="false" customHeight="false" outlineLevel="0" collapsed="false">
      <c r="A2610" s="23"/>
      <c r="B2610" s="24"/>
      <c r="C2610" s="25"/>
      <c r="D2610" s="24"/>
      <c r="E2610" s="21" t="str">
        <f aca="false">IF(OR(B2610="",N(N2610)=0,N2610=1000),IF(B2610="","","Check"),INDEX(Rules!$B:$B,N2610))</f>
        <v/>
      </c>
      <c r="F2610" s="21" t="str">
        <f aca="false">IF(OR(B2610="",N(N2610)=0,N2610=1000),"",INDEX(Rules!$C:$C,N2610))</f>
        <v/>
      </c>
      <c r="G2610" s="24"/>
      <c r="H2610" s="24"/>
      <c r="I2610" s="20" t="str">
        <f aca="false">IF(B2610="","",IF(G2610&lt;&gt;"",G2610,E2610))</f>
        <v/>
      </c>
      <c r="J2610" s="21" t="str">
        <f aca="false">IF(B2610="","",IF(H2610&lt;&gt;"",H2610,F2610))</f>
        <v/>
      </c>
      <c r="K2610" s="26" t="str">
        <f aca="false">IF(A2610="","",DATE(YEAR(A2610),MONTH(A2610),1))</f>
        <v/>
      </c>
      <c r="L2610" s="21" t="str">
        <f aca="false">IF(J2610="",IF(B2610="","",IF(N(C2610)&gt;=0,"Income","Expense")),IFERROR(INDEX(Lists!$B$2:$B$30,MATCH(J2610,Lists!$A$2:$A$30,0)),""))</f>
        <v/>
      </c>
      <c r="M2610" s="24"/>
      <c r="N2610" s="27" t="str">
        <f aca="false">IF(B2610="","",IFERROR(1000-SUMPRODUCT(MAX(ISNUMBER(SEARCH(Rules!$A$5:$A$204,B2610))*(Rules!$A$5:$A$204&lt;&gt;"")*(1000-ROW(Rules!$A$5:$A$204)))),""))</f>
        <v/>
      </c>
    </row>
    <row r="2611" customFormat="false" ht="15" hidden="false" customHeight="false" outlineLevel="0" collapsed="false">
      <c r="A2611" s="23"/>
      <c r="B2611" s="24"/>
      <c r="C2611" s="25"/>
      <c r="D2611" s="24"/>
      <c r="E2611" s="21" t="str">
        <f aca="false">IF(OR(B2611="",N(N2611)=0,N2611=1000),IF(B2611="","","Check"),INDEX(Rules!$B:$B,N2611))</f>
        <v/>
      </c>
      <c r="F2611" s="21" t="str">
        <f aca="false">IF(OR(B2611="",N(N2611)=0,N2611=1000),"",INDEX(Rules!$C:$C,N2611))</f>
        <v/>
      </c>
      <c r="G2611" s="24"/>
      <c r="H2611" s="24"/>
      <c r="I2611" s="20" t="str">
        <f aca="false">IF(B2611="","",IF(G2611&lt;&gt;"",G2611,E2611))</f>
        <v/>
      </c>
      <c r="J2611" s="21" t="str">
        <f aca="false">IF(B2611="","",IF(H2611&lt;&gt;"",H2611,F2611))</f>
        <v/>
      </c>
      <c r="K2611" s="26" t="str">
        <f aca="false">IF(A2611="","",DATE(YEAR(A2611),MONTH(A2611),1))</f>
        <v/>
      </c>
      <c r="L2611" s="21" t="str">
        <f aca="false">IF(J2611="",IF(B2611="","",IF(N(C2611)&gt;=0,"Income","Expense")),IFERROR(INDEX(Lists!$B$2:$B$30,MATCH(J2611,Lists!$A$2:$A$30,0)),""))</f>
        <v/>
      </c>
      <c r="M2611" s="24"/>
      <c r="N2611" s="27" t="str">
        <f aca="false">IF(B2611="","",IFERROR(1000-SUMPRODUCT(MAX(ISNUMBER(SEARCH(Rules!$A$5:$A$204,B2611))*(Rules!$A$5:$A$204&lt;&gt;"")*(1000-ROW(Rules!$A$5:$A$204)))),""))</f>
        <v/>
      </c>
    </row>
    <row r="2612" customFormat="false" ht="15" hidden="false" customHeight="false" outlineLevel="0" collapsed="false">
      <c r="A2612" s="23"/>
      <c r="B2612" s="24"/>
      <c r="C2612" s="25"/>
      <c r="D2612" s="24"/>
      <c r="E2612" s="21" t="str">
        <f aca="false">IF(OR(B2612="",N(N2612)=0,N2612=1000),IF(B2612="","","Check"),INDEX(Rules!$B:$B,N2612))</f>
        <v/>
      </c>
      <c r="F2612" s="21" t="str">
        <f aca="false">IF(OR(B2612="",N(N2612)=0,N2612=1000),"",INDEX(Rules!$C:$C,N2612))</f>
        <v/>
      </c>
      <c r="G2612" s="24"/>
      <c r="H2612" s="24"/>
      <c r="I2612" s="20" t="str">
        <f aca="false">IF(B2612="","",IF(G2612&lt;&gt;"",G2612,E2612))</f>
        <v/>
      </c>
      <c r="J2612" s="21" t="str">
        <f aca="false">IF(B2612="","",IF(H2612&lt;&gt;"",H2612,F2612))</f>
        <v/>
      </c>
      <c r="K2612" s="26" t="str">
        <f aca="false">IF(A2612="","",DATE(YEAR(A2612),MONTH(A2612),1))</f>
        <v/>
      </c>
      <c r="L2612" s="21" t="str">
        <f aca="false">IF(J2612="",IF(B2612="","",IF(N(C2612)&gt;=0,"Income","Expense")),IFERROR(INDEX(Lists!$B$2:$B$30,MATCH(J2612,Lists!$A$2:$A$30,0)),""))</f>
        <v/>
      </c>
      <c r="M2612" s="24"/>
      <c r="N2612" s="27" t="str">
        <f aca="false">IF(B2612="","",IFERROR(1000-SUMPRODUCT(MAX(ISNUMBER(SEARCH(Rules!$A$5:$A$204,B2612))*(Rules!$A$5:$A$204&lt;&gt;"")*(1000-ROW(Rules!$A$5:$A$204)))),""))</f>
        <v/>
      </c>
    </row>
    <row r="2613" customFormat="false" ht="15" hidden="false" customHeight="false" outlineLevel="0" collapsed="false">
      <c r="A2613" s="23"/>
      <c r="B2613" s="24"/>
      <c r="C2613" s="25"/>
      <c r="D2613" s="24"/>
      <c r="E2613" s="21" t="str">
        <f aca="false">IF(OR(B2613="",N(N2613)=0,N2613=1000),IF(B2613="","","Check"),INDEX(Rules!$B:$B,N2613))</f>
        <v/>
      </c>
      <c r="F2613" s="21" t="str">
        <f aca="false">IF(OR(B2613="",N(N2613)=0,N2613=1000),"",INDEX(Rules!$C:$C,N2613))</f>
        <v/>
      </c>
      <c r="G2613" s="24"/>
      <c r="H2613" s="24"/>
      <c r="I2613" s="20" t="str">
        <f aca="false">IF(B2613="","",IF(G2613&lt;&gt;"",G2613,E2613))</f>
        <v/>
      </c>
      <c r="J2613" s="21" t="str">
        <f aca="false">IF(B2613="","",IF(H2613&lt;&gt;"",H2613,F2613))</f>
        <v/>
      </c>
      <c r="K2613" s="26" t="str">
        <f aca="false">IF(A2613="","",DATE(YEAR(A2613),MONTH(A2613),1))</f>
        <v/>
      </c>
      <c r="L2613" s="21" t="str">
        <f aca="false">IF(J2613="",IF(B2613="","",IF(N(C2613)&gt;=0,"Income","Expense")),IFERROR(INDEX(Lists!$B$2:$B$30,MATCH(J2613,Lists!$A$2:$A$30,0)),""))</f>
        <v/>
      </c>
      <c r="M2613" s="24"/>
      <c r="N2613" s="27" t="str">
        <f aca="false">IF(B2613="","",IFERROR(1000-SUMPRODUCT(MAX(ISNUMBER(SEARCH(Rules!$A$5:$A$204,B2613))*(Rules!$A$5:$A$204&lt;&gt;"")*(1000-ROW(Rules!$A$5:$A$204)))),""))</f>
        <v/>
      </c>
    </row>
    <row r="2614" customFormat="false" ht="15" hidden="false" customHeight="false" outlineLevel="0" collapsed="false">
      <c r="A2614" s="23"/>
      <c r="B2614" s="24"/>
      <c r="C2614" s="25"/>
      <c r="D2614" s="24"/>
      <c r="E2614" s="21" t="str">
        <f aca="false">IF(OR(B2614="",N(N2614)=0,N2614=1000),IF(B2614="","","Check"),INDEX(Rules!$B:$B,N2614))</f>
        <v/>
      </c>
      <c r="F2614" s="21" t="str">
        <f aca="false">IF(OR(B2614="",N(N2614)=0,N2614=1000),"",INDEX(Rules!$C:$C,N2614))</f>
        <v/>
      </c>
      <c r="G2614" s="24"/>
      <c r="H2614" s="24"/>
      <c r="I2614" s="20" t="str">
        <f aca="false">IF(B2614="","",IF(G2614&lt;&gt;"",G2614,E2614))</f>
        <v/>
      </c>
      <c r="J2614" s="21" t="str">
        <f aca="false">IF(B2614="","",IF(H2614&lt;&gt;"",H2614,F2614))</f>
        <v/>
      </c>
      <c r="K2614" s="26" t="str">
        <f aca="false">IF(A2614="","",DATE(YEAR(A2614),MONTH(A2614),1))</f>
        <v/>
      </c>
      <c r="L2614" s="21" t="str">
        <f aca="false">IF(J2614="",IF(B2614="","",IF(N(C2614)&gt;=0,"Income","Expense")),IFERROR(INDEX(Lists!$B$2:$B$30,MATCH(J2614,Lists!$A$2:$A$30,0)),""))</f>
        <v/>
      </c>
      <c r="M2614" s="24"/>
      <c r="N2614" s="27" t="str">
        <f aca="false">IF(B2614="","",IFERROR(1000-SUMPRODUCT(MAX(ISNUMBER(SEARCH(Rules!$A$5:$A$204,B2614))*(Rules!$A$5:$A$204&lt;&gt;"")*(1000-ROW(Rules!$A$5:$A$204)))),""))</f>
        <v/>
      </c>
    </row>
    <row r="2615" customFormat="false" ht="15" hidden="false" customHeight="false" outlineLevel="0" collapsed="false">
      <c r="A2615" s="23"/>
      <c r="B2615" s="24"/>
      <c r="C2615" s="25"/>
      <c r="D2615" s="24"/>
      <c r="E2615" s="21" t="str">
        <f aca="false">IF(OR(B2615="",N(N2615)=0,N2615=1000),IF(B2615="","","Check"),INDEX(Rules!$B:$B,N2615))</f>
        <v/>
      </c>
      <c r="F2615" s="21" t="str">
        <f aca="false">IF(OR(B2615="",N(N2615)=0,N2615=1000),"",INDEX(Rules!$C:$C,N2615))</f>
        <v/>
      </c>
      <c r="G2615" s="24"/>
      <c r="H2615" s="24"/>
      <c r="I2615" s="20" t="str">
        <f aca="false">IF(B2615="","",IF(G2615&lt;&gt;"",G2615,E2615))</f>
        <v/>
      </c>
      <c r="J2615" s="21" t="str">
        <f aca="false">IF(B2615="","",IF(H2615&lt;&gt;"",H2615,F2615))</f>
        <v/>
      </c>
      <c r="K2615" s="26" t="str">
        <f aca="false">IF(A2615="","",DATE(YEAR(A2615),MONTH(A2615),1))</f>
        <v/>
      </c>
      <c r="L2615" s="21" t="str">
        <f aca="false">IF(J2615="",IF(B2615="","",IF(N(C2615)&gt;=0,"Income","Expense")),IFERROR(INDEX(Lists!$B$2:$B$30,MATCH(J2615,Lists!$A$2:$A$30,0)),""))</f>
        <v/>
      </c>
      <c r="M2615" s="24"/>
      <c r="N2615" s="27" t="str">
        <f aca="false">IF(B2615="","",IFERROR(1000-SUMPRODUCT(MAX(ISNUMBER(SEARCH(Rules!$A$5:$A$204,B2615))*(Rules!$A$5:$A$204&lt;&gt;"")*(1000-ROW(Rules!$A$5:$A$204)))),""))</f>
        <v/>
      </c>
    </row>
    <row r="2616" customFormat="false" ht="15" hidden="false" customHeight="false" outlineLevel="0" collapsed="false">
      <c r="A2616" s="23"/>
      <c r="B2616" s="24"/>
      <c r="C2616" s="25"/>
      <c r="D2616" s="24"/>
      <c r="E2616" s="21" t="str">
        <f aca="false">IF(OR(B2616="",N(N2616)=0,N2616=1000),IF(B2616="","","Check"),INDEX(Rules!$B:$B,N2616))</f>
        <v/>
      </c>
      <c r="F2616" s="21" t="str">
        <f aca="false">IF(OR(B2616="",N(N2616)=0,N2616=1000),"",INDEX(Rules!$C:$C,N2616))</f>
        <v/>
      </c>
      <c r="G2616" s="24"/>
      <c r="H2616" s="24"/>
      <c r="I2616" s="20" t="str">
        <f aca="false">IF(B2616="","",IF(G2616&lt;&gt;"",G2616,E2616))</f>
        <v/>
      </c>
      <c r="J2616" s="21" t="str">
        <f aca="false">IF(B2616="","",IF(H2616&lt;&gt;"",H2616,F2616))</f>
        <v/>
      </c>
      <c r="K2616" s="26" t="str">
        <f aca="false">IF(A2616="","",DATE(YEAR(A2616),MONTH(A2616),1))</f>
        <v/>
      </c>
      <c r="L2616" s="21" t="str">
        <f aca="false">IF(J2616="",IF(B2616="","",IF(N(C2616)&gt;=0,"Income","Expense")),IFERROR(INDEX(Lists!$B$2:$B$30,MATCH(J2616,Lists!$A$2:$A$30,0)),""))</f>
        <v/>
      </c>
      <c r="M2616" s="24"/>
      <c r="N2616" s="27" t="str">
        <f aca="false">IF(B2616="","",IFERROR(1000-SUMPRODUCT(MAX(ISNUMBER(SEARCH(Rules!$A$5:$A$204,B2616))*(Rules!$A$5:$A$204&lt;&gt;"")*(1000-ROW(Rules!$A$5:$A$204)))),""))</f>
        <v/>
      </c>
    </row>
    <row r="2617" customFormat="false" ht="15" hidden="false" customHeight="false" outlineLevel="0" collapsed="false">
      <c r="A2617" s="23"/>
      <c r="B2617" s="24"/>
      <c r="C2617" s="25"/>
      <c r="D2617" s="24"/>
      <c r="E2617" s="21" t="str">
        <f aca="false">IF(OR(B2617="",N(N2617)=0,N2617=1000),IF(B2617="","","Check"),INDEX(Rules!$B:$B,N2617))</f>
        <v/>
      </c>
      <c r="F2617" s="21" t="str">
        <f aca="false">IF(OR(B2617="",N(N2617)=0,N2617=1000),"",INDEX(Rules!$C:$C,N2617))</f>
        <v/>
      </c>
      <c r="G2617" s="24"/>
      <c r="H2617" s="24"/>
      <c r="I2617" s="20" t="str">
        <f aca="false">IF(B2617="","",IF(G2617&lt;&gt;"",G2617,E2617))</f>
        <v/>
      </c>
      <c r="J2617" s="21" t="str">
        <f aca="false">IF(B2617="","",IF(H2617&lt;&gt;"",H2617,F2617))</f>
        <v/>
      </c>
      <c r="K2617" s="26" t="str">
        <f aca="false">IF(A2617="","",DATE(YEAR(A2617),MONTH(A2617),1))</f>
        <v/>
      </c>
      <c r="L2617" s="21" t="str">
        <f aca="false">IF(J2617="",IF(B2617="","",IF(N(C2617)&gt;=0,"Income","Expense")),IFERROR(INDEX(Lists!$B$2:$B$30,MATCH(J2617,Lists!$A$2:$A$30,0)),""))</f>
        <v/>
      </c>
      <c r="M2617" s="24"/>
      <c r="N2617" s="27" t="str">
        <f aca="false">IF(B2617="","",IFERROR(1000-SUMPRODUCT(MAX(ISNUMBER(SEARCH(Rules!$A$5:$A$204,B2617))*(Rules!$A$5:$A$204&lt;&gt;"")*(1000-ROW(Rules!$A$5:$A$204)))),""))</f>
        <v/>
      </c>
    </row>
    <row r="2618" customFormat="false" ht="15" hidden="false" customHeight="false" outlineLevel="0" collapsed="false">
      <c r="A2618" s="23"/>
      <c r="B2618" s="24"/>
      <c r="C2618" s="25"/>
      <c r="D2618" s="24"/>
      <c r="E2618" s="21" t="str">
        <f aca="false">IF(OR(B2618="",N(N2618)=0,N2618=1000),IF(B2618="","","Check"),INDEX(Rules!$B:$B,N2618))</f>
        <v/>
      </c>
      <c r="F2618" s="21" t="str">
        <f aca="false">IF(OR(B2618="",N(N2618)=0,N2618=1000),"",INDEX(Rules!$C:$C,N2618))</f>
        <v/>
      </c>
      <c r="G2618" s="24"/>
      <c r="H2618" s="24"/>
      <c r="I2618" s="20" t="str">
        <f aca="false">IF(B2618="","",IF(G2618&lt;&gt;"",G2618,E2618))</f>
        <v/>
      </c>
      <c r="J2618" s="21" t="str">
        <f aca="false">IF(B2618="","",IF(H2618&lt;&gt;"",H2618,F2618))</f>
        <v/>
      </c>
      <c r="K2618" s="26" t="str">
        <f aca="false">IF(A2618="","",DATE(YEAR(A2618),MONTH(A2618),1))</f>
        <v/>
      </c>
      <c r="L2618" s="21" t="str">
        <f aca="false">IF(J2618="",IF(B2618="","",IF(N(C2618)&gt;=0,"Income","Expense")),IFERROR(INDEX(Lists!$B$2:$B$30,MATCH(J2618,Lists!$A$2:$A$30,0)),""))</f>
        <v/>
      </c>
      <c r="M2618" s="24"/>
      <c r="N2618" s="27" t="str">
        <f aca="false">IF(B2618="","",IFERROR(1000-SUMPRODUCT(MAX(ISNUMBER(SEARCH(Rules!$A$5:$A$204,B2618))*(Rules!$A$5:$A$204&lt;&gt;"")*(1000-ROW(Rules!$A$5:$A$204)))),""))</f>
        <v/>
      </c>
    </row>
    <row r="2619" customFormat="false" ht="15" hidden="false" customHeight="false" outlineLevel="0" collapsed="false">
      <c r="A2619" s="23"/>
      <c r="B2619" s="24"/>
      <c r="C2619" s="25"/>
      <c r="D2619" s="24"/>
      <c r="E2619" s="21" t="str">
        <f aca="false">IF(OR(B2619="",N(N2619)=0,N2619=1000),IF(B2619="","","Check"),INDEX(Rules!$B:$B,N2619))</f>
        <v/>
      </c>
      <c r="F2619" s="21" t="str">
        <f aca="false">IF(OR(B2619="",N(N2619)=0,N2619=1000),"",INDEX(Rules!$C:$C,N2619))</f>
        <v/>
      </c>
      <c r="G2619" s="24"/>
      <c r="H2619" s="24"/>
      <c r="I2619" s="20" t="str">
        <f aca="false">IF(B2619="","",IF(G2619&lt;&gt;"",G2619,E2619))</f>
        <v/>
      </c>
      <c r="J2619" s="21" t="str">
        <f aca="false">IF(B2619="","",IF(H2619&lt;&gt;"",H2619,F2619))</f>
        <v/>
      </c>
      <c r="K2619" s="26" t="str">
        <f aca="false">IF(A2619="","",DATE(YEAR(A2619),MONTH(A2619),1))</f>
        <v/>
      </c>
      <c r="L2619" s="21" t="str">
        <f aca="false">IF(J2619="",IF(B2619="","",IF(N(C2619)&gt;=0,"Income","Expense")),IFERROR(INDEX(Lists!$B$2:$B$30,MATCH(J2619,Lists!$A$2:$A$30,0)),""))</f>
        <v/>
      </c>
      <c r="M2619" s="24"/>
      <c r="N2619" s="27" t="str">
        <f aca="false">IF(B2619="","",IFERROR(1000-SUMPRODUCT(MAX(ISNUMBER(SEARCH(Rules!$A$5:$A$204,B2619))*(Rules!$A$5:$A$204&lt;&gt;"")*(1000-ROW(Rules!$A$5:$A$204)))),""))</f>
        <v/>
      </c>
    </row>
    <row r="2620" customFormat="false" ht="15" hidden="false" customHeight="false" outlineLevel="0" collapsed="false">
      <c r="A2620" s="23"/>
      <c r="B2620" s="24"/>
      <c r="C2620" s="25"/>
      <c r="D2620" s="24"/>
      <c r="E2620" s="21" t="str">
        <f aca="false">IF(OR(B2620="",N(N2620)=0,N2620=1000),IF(B2620="","","Check"),INDEX(Rules!$B:$B,N2620))</f>
        <v/>
      </c>
      <c r="F2620" s="21" t="str">
        <f aca="false">IF(OR(B2620="",N(N2620)=0,N2620=1000),"",INDEX(Rules!$C:$C,N2620))</f>
        <v/>
      </c>
      <c r="G2620" s="24"/>
      <c r="H2620" s="24"/>
      <c r="I2620" s="20" t="str">
        <f aca="false">IF(B2620="","",IF(G2620&lt;&gt;"",G2620,E2620))</f>
        <v/>
      </c>
      <c r="J2620" s="21" t="str">
        <f aca="false">IF(B2620="","",IF(H2620&lt;&gt;"",H2620,F2620))</f>
        <v/>
      </c>
      <c r="K2620" s="26" t="str">
        <f aca="false">IF(A2620="","",DATE(YEAR(A2620),MONTH(A2620),1))</f>
        <v/>
      </c>
      <c r="L2620" s="21" t="str">
        <f aca="false">IF(J2620="",IF(B2620="","",IF(N(C2620)&gt;=0,"Income","Expense")),IFERROR(INDEX(Lists!$B$2:$B$30,MATCH(J2620,Lists!$A$2:$A$30,0)),""))</f>
        <v/>
      </c>
      <c r="M2620" s="24"/>
      <c r="N2620" s="27" t="str">
        <f aca="false">IF(B2620="","",IFERROR(1000-SUMPRODUCT(MAX(ISNUMBER(SEARCH(Rules!$A$5:$A$204,B2620))*(Rules!$A$5:$A$204&lt;&gt;"")*(1000-ROW(Rules!$A$5:$A$204)))),""))</f>
        <v/>
      </c>
    </row>
    <row r="2621" customFormat="false" ht="15" hidden="false" customHeight="false" outlineLevel="0" collapsed="false">
      <c r="A2621" s="23"/>
      <c r="B2621" s="24"/>
      <c r="C2621" s="25"/>
      <c r="D2621" s="24"/>
      <c r="E2621" s="21" t="str">
        <f aca="false">IF(OR(B2621="",N(N2621)=0,N2621=1000),IF(B2621="","","Check"),INDEX(Rules!$B:$B,N2621))</f>
        <v/>
      </c>
      <c r="F2621" s="21" t="str">
        <f aca="false">IF(OR(B2621="",N(N2621)=0,N2621=1000),"",INDEX(Rules!$C:$C,N2621))</f>
        <v/>
      </c>
      <c r="G2621" s="24"/>
      <c r="H2621" s="24"/>
      <c r="I2621" s="20" t="str">
        <f aca="false">IF(B2621="","",IF(G2621&lt;&gt;"",G2621,E2621))</f>
        <v/>
      </c>
      <c r="J2621" s="21" t="str">
        <f aca="false">IF(B2621="","",IF(H2621&lt;&gt;"",H2621,F2621))</f>
        <v/>
      </c>
      <c r="K2621" s="26" t="str">
        <f aca="false">IF(A2621="","",DATE(YEAR(A2621),MONTH(A2621),1))</f>
        <v/>
      </c>
      <c r="L2621" s="21" t="str">
        <f aca="false">IF(J2621="",IF(B2621="","",IF(N(C2621)&gt;=0,"Income","Expense")),IFERROR(INDEX(Lists!$B$2:$B$30,MATCH(J2621,Lists!$A$2:$A$30,0)),""))</f>
        <v/>
      </c>
      <c r="M2621" s="24"/>
      <c r="N2621" s="27" t="str">
        <f aca="false">IF(B2621="","",IFERROR(1000-SUMPRODUCT(MAX(ISNUMBER(SEARCH(Rules!$A$5:$A$204,B2621))*(Rules!$A$5:$A$204&lt;&gt;"")*(1000-ROW(Rules!$A$5:$A$204)))),""))</f>
        <v/>
      </c>
    </row>
    <row r="2622" customFormat="false" ht="15" hidden="false" customHeight="false" outlineLevel="0" collapsed="false">
      <c r="A2622" s="23"/>
      <c r="B2622" s="24"/>
      <c r="C2622" s="25"/>
      <c r="D2622" s="24"/>
      <c r="E2622" s="21" t="str">
        <f aca="false">IF(OR(B2622="",N(N2622)=0,N2622=1000),IF(B2622="","","Check"),INDEX(Rules!$B:$B,N2622))</f>
        <v/>
      </c>
      <c r="F2622" s="21" t="str">
        <f aca="false">IF(OR(B2622="",N(N2622)=0,N2622=1000),"",INDEX(Rules!$C:$C,N2622))</f>
        <v/>
      </c>
      <c r="G2622" s="24"/>
      <c r="H2622" s="24"/>
      <c r="I2622" s="20" t="str">
        <f aca="false">IF(B2622="","",IF(G2622&lt;&gt;"",G2622,E2622))</f>
        <v/>
      </c>
      <c r="J2622" s="21" t="str">
        <f aca="false">IF(B2622="","",IF(H2622&lt;&gt;"",H2622,F2622))</f>
        <v/>
      </c>
      <c r="K2622" s="26" t="str">
        <f aca="false">IF(A2622="","",DATE(YEAR(A2622),MONTH(A2622),1))</f>
        <v/>
      </c>
      <c r="L2622" s="21" t="str">
        <f aca="false">IF(J2622="",IF(B2622="","",IF(N(C2622)&gt;=0,"Income","Expense")),IFERROR(INDEX(Lists!$B$2:$B$30,MATCH(J2622,Lists!$A$2:$A$30,0)),""))</f>
        <v/>
      </c>
      <c r="M2622" s="24"/>
      <c r="N2622" s="27" t="str">
        <f aca="false">IF(B2622="","",IFERROR(1000-SUMPRODUCT(MAX(ISNUMBER(SEARCH(Rules!$A$5:$A$204,B2622))*(Rules!$A$5:$A$204&lt;&gt;"")*(1000-ROW(Rules!$A$5:$A$204)))),""))</f>
        <v/>
      </c>
    </row>
    <row r="2623" customFormat="false" ht="15" hidden="false" customHeight="false" outlineLevel="0" collapsed="false">
      <c r="A2623" s="23"/>
      <c r="B2623" s="24"/>
      <c r="C2623" s="25"/>
      <c r="D2623" s="24"/>
      <c r="E2623" s="21" t="str">
        <f aca="false">IF(OR(B2623="",N(N2623)=0,N2623=1000),IF(B2623="","","Check"),INDEX(Rules!$B:$B,N2623))</f>
        <v/>
      </c>
      <c r="F2623" s="21" t="str">
        <f aca="false">IF(OR(B2623="",N(N2623)=0,N2623=1000),"",INDEX(Rules!$C:$C,N2623))</f>
        <v/>
      </c>
      <c r="G2623" s="24"/>
      <c r="H2623" s="24"/>
      <c r="I2623" s="20" t="str">
        <f aca="false">IF(B2623="","",IF(G2623&lt;&gt;"",G2623,E2623))</f>
        <v/>
      </c>
      <c r="J2623" s="21" t="str">
        <f aca="false">IF(B2623="","",IF(H2623&lt;&gt;"",H2623,F2623))</f>
        <v/>
      </c>
      <c r="K2623" s="26" t="str">
        <f aca="false">IF(A2623="","",DATE(YEAR(A2623),MONTH(A2623),1))</f>
        <v/>
      </c>
      <c r="L2623" s="21" t="str">
        <f aca="false">IF(J2623="",IF(B2623="","",IF(N(C2623)&gt;=0,"Income","Expense")),IFERROR(INDEX(Lists!$B$2:$B$30,MATCH(J2623,Lists!$A$2:$A$30,0)),""))</f>
        <v/>
      </c>
      <c r="M2623" s="24"/>
      <c r="N2623" s="27" t="str">
        <f aca="false">IF(B2623="","",IFERROR(1000-SUMPRODUCT(MAX(ISNUMBER(SEARCH(Rules!$A$5:$A$204,B2623))*(Rules!$A$5:$A$204&lt;&gt;"")*(1000-ROW(Rules!$A$5:$A$204)))),""))</f>
        <v/>
      </c>
    </row>
    <row r="2624" customFormat="false" ht="15" hidden="false" customHeight="false" outlineLevel="0" collapsed="false">
      <c r="A2624" s="23"/>
      <c r="B2624" s="24"/>
      <c r="C2624" s="25"/>
      <c r="D2624" s="24"/>
      <c r="E2624" s="21" t="str">
        <f aca="false">IF(OR(B2624="",N(N2624)=0,N2624=1000),IF(B2624="","","Check"),INDEX(Rules!$B:$B,N2624))</f>
        <v/>
      </c>
      <c r="F2624" s="21" t="str">
        <f aca="false">IF(OR(B2624="",N(N2624)=0,N2624=1000),"",INDEX(Rules!$C:$C,N2624))</f>
        <v/>
      </c>
      <c r="G2624" s="24"/>
      <c r="H2624" s="24"/>
      <c r="I2624" s="20" t="str">
        <f aca="false">IF(B2624="","",IF(G2624&lt;&gt;"",G2624,E2624))</f>
        <v/>
      </c>
      <c r="J2624" s="21" t="str">
        <f aca="false">IF(B2624="","",IF(H2624&lt;&gt;"",H2624,F2624))</f>
        <v/>
      </c>
      <c r="K2624" s="26" t="str">
        <f aca="false">IF(A2624="","",DATE(YEAR(A2624),MONTH(A2624),1))</f>
        <v/>
      </c>
      <c r="L2624" s="21" t="str">
        <f aca="false">IF(J2624="",IF(B2624="","",IF(N(C2624)&gt;=0,"Income","Expense")),IFERROR(INDEX(Lists!$B$2:$B$30,MATCH(J2624,Lists!$A$2:$A$30,0)),""))</f>
        <v/>
      </c>
      <c r="M2624" s="24"/>
      <c r="N2624" s="27" t="str">
        <f aca="false">IF(B2624="","",IFERROR(1000-SUMPRODUCT(MAX(ISNUMBER(SEARCH(Rules!$A$5:$A$204,B2624))*(Rules!$A$5:$A$204&lt;&gt;"")*(1000-ROW(Rules!$A$5:$A$204)))),""))</f>
        <v/>
      </c>
    </row>
    <row r="2625" customFormat="false" ht="15" hidden="false" customHeight="false" outlineLevel="0" collapsed="false">
      <c r="A2625" s="23"/>
      <c r="B2625" s="24"/>
      <c r="C2625" s="25"/>
      <c r="D2625" s="24"/>
      <c r="E2625" s="21" t="str">
        <f aca="false">IF(OR(B2625="",N(N2625)=0,N2625=1000),IF(B2625="","","Check"),INDEX(Rules!$B:$B,N2625))</f>
        <v/>
      </c>
      <c r="F2625" s="21" t="str">
        <f aca="false">IF(OR(B2625="",N(N2625)=0,N2625=1000),"",INDEX(Rules!$C:$C,N2625))</f>
        <v/>
      </c>
      <c r="G2625" s="24"/>
      <c r="H2625" s="24"/>
      <c r="I2625" s="20" t="str">
        <f aca="false">IF(B2625="","",IF(G2625&lt;&gt;"",G2625,E2625))</f>
        <v/>
      </c>
      <c r="J2625" s="21" t="str">
        <f aca="false">IF(B2625="","",IF(H2625&lt;&gt;"",H2625,F2625))</f>
        <v/>
      </c>
      <c r="K2625" s="26" t="str">
        <f aca="false">IF(A2625="","",DATE(YEAR(A2625),MONTH(A2625),1))</f>
        <v/>
      </c>
      <c r="L2625" s="21" t="str">
        <f aca="false">IF(J2625="",IF(B2625="","",IF(N(C2625)&gt;=0,"Income","Expense")),IFERROR(INDEX(Lists!$B$2:$B$30,MATCH(J2625,Lists!$A$2:$A$30,0)),""))</f>
        <v/>
      </c>
      <c r="M2625" s="24"/>
      <c r="N2625" s="27" t="str">
        <f aca="false">IF(B2625="","",IFERROR(1000-SUMPRODUCT(MAX(ISNUMBER(SEARCH(Rules!$A$5:$A$204,B2625))*(Rules!$A$5:$A$204&lt;&gt;"")*(1000-ROW(Rules!$A$5:$A$204)))),""))</f>
        <v/>
      </c>
    </row>
    <row r="2626" customFormat="false" ht="15" hidden="false" customHeight="false" outlineLevel="0" collapsed="false">
      <c r="A2626" s="23"/>
      <c r="B2626" s="24"/>
      <c r="C2626" s="25"/>
      <c r="D2626" s="24"/>
      <c r="E2626" s="21" t="str">
        <f aca="false">IF(OR(B2626="",N(N2626)=0,N2626=1000),IF(B2626="","","Check"),INDEX(Rules!$B:$B,N2626))</f>
        <v/>
      </c>
      <c r="F2626" s="21" t="str">
        <f aca="false">IF(OR(B2626="",N(N2626)=0,N2626=1000),"",INDEX(Rules!$C:$C,N2626))</f>
        <v/>
      </c>
      <c r="G2626" s="24"/>
      <c r="H2626" s="24"/>
      <c r="I2626" s="20" t="str">
        <f aca="false">IF(B2626="","",IF(G2626&lt;&gt;"",G2626,E2626))</f>
        <v/>
      </c>
      <c r="J2626" s="21" t="str">
        <f aca="false">IF(B2626="","",IF(H2626&lt;&gt;"",H2626,F2626))</f>
        <v/>
      </c>
      <c r="K2626" s="26" t="str">
        <f aca="false">IF(A2626="","",DATE(YEAR(A2626),MONTH(A2626),1))</f>
        <v/>
      </c>
      <c r="L2626" s="21" t="str">
        <f aca="false">IF(J2626="",IF(B2626="","",IF(N(C2626)&gt;=0,"Income","Expense")),IFERROR(INDEX(Lists!$B$2:$B$30,MATCH(J2626,Lists!$A$2:$A$30,0)),""))</f>
        <v/>
      </c>
      <c r="M2626" s="24"/>
      <c r="N2626" s="27" t="str">
        <f aca="false">IF(B2626="","",IFERROR(1000-SUMPRODUCT(MAX(ISNUMBER(SEARCH(Rules!$A$5:$A$204,B2626))*(Rules!$A$5:$A$204&lt;&gt;"")*(1000-ROW(Rules!$A$5:$A$204)))),""))</f>
        <v/>
      </c>
    </row>
    <row r="2627" customFormat="false" ht="15" hidden="false" customHeight="false" outlineLevel="0" collapsed="false">
      <c r="A2627" s="23"/>
      <c r="B2627" s="24"/>
      <c r="C2627" s="25"/>
      <c r="D2627" s="24"/>
      <c r="E2627" s="21" t="str">
        <f aca="false">IF(OR(B2627="",N(N2627)=0,N2627=1000),IF(B2627="","","Check"),INDEX(Rules!$B:$B,N2627))</f>
        <v/>
      </c>
      <c r="F2627" s="21" t="str">
        <f aca="false">IF(OR(B2627="",N(N2627)=0,N2627=1000),"",INDEX(Rules!$C:$C,N2627))</f>
        <v/>
      </c>
      <c r="G2627" s="24"/>
      <c r="H2627" s="24"/>
      <c r="I2627" s="20" t="str">
        <f aca="false">IF(B2627="","",IF(G2627&lt;&gt;"",G2627,E2627))</f>
        <v/>
      </c>
      <c r="J2627" s="21" t="str">
        <f aca="false">IF(B2627="","",IF(H2627&lt;&gt;"",H2627,F2627))</f>
        <v/>
      </c>
      <c r="K2627" s="26" t="str">
        <f aca="false">IF(A2627="","",DATE(YEAR(A2627),MONTH(A2627),1))</f>
        <v/>
      </c>
      <c r="L2627" s="21" t="str">
        <f aca="false">IF(J2627="",IF(B2627="","",IF(N(C2627)&gt;=0,"Income","Expense")),IFERROR(INDEX(Lists!$B$2:$B$30,MATCH(J2627,Lists!$A$2:$A$30,0)),""))</f>
        <v/>
      </c>
      <c r="M2627" s="24"/>
      <c r="N2627" s="27" t="str">
        <f aca="false">IF(B2627="","",IFERROR(1000-SUMPRODUCT(MAX(ISNUMBER(SEARCH(Rules!$A$5:$A$204,B2627))*(Rules!$A$5:$A$204&lt;&gt;"")*(1000-ROW(Rules!$A$5:$A$204)))),""))</f>
        <v/>
      </c>
    </row>
    <row r="2628" customFormat="false" ht="15" hidden="false" customHeight="false" outlineLevel="0" collapsed="false">
      <c r="A2628" s="23"/>
      <c r="B2628" s="24"/>
      <c r="C2628" s="25"/>
      <c r="D2628" s="24"/>
      <c r="E2628" s="21" t="str">
        <f aca="false">IF(OR(B2628="",N(N2628)=0,N2628=1000),IF(B2628="","","Check"),INDEX(Rules!$B:$B,N2628))</f>
        <v/>
      </c>
      <c r="F2628" s="21" t="str">
        <f aca="false">IF(OR(B2628="",N(N2628)=0,N2628=1000),"",INDEX(Rules!$C:$C,N2628))</f>
        <v/>
      </c>
      <c r="G2628" s="24"/>
      <c r="H2628" s="24"/>
      <c r="I2628" s="20" t="str">
        <f aca="false">IF(B2628="","",IF(G2628&lt;&gt;"",G2628,E2628))</f>
        <v/>
      </c>
      <c r="J2628" s="21" t="str">
        <f aca="false">IF(B2628="","",IF(H2628&lt;&gt;"",H2628,F2628))</f>
        <v/>
      </c>
      <c r="K2628" s="26" t="str">
        <f aca="false">IF(A2628="","",DATE(YEAR(A2628),MONTH(A2628),1))</f>
        <v/>
      </c>
      <c r="L2628" s="21" t="str">
        <f aca="false">IF(J2628="",IF(B2628="","",IF(N(C2628)&gt;=0,"Income","Expense")),IFERROR(INDEX(Lists!$B$2:$B$30,MATCH(J2628,Lists!$A$2:$A$30,0)),""))</f>
        <v/>
      </c>
      <c r="M2628" s="24"/>
      <c r="N2628" s="27" t="str">
        <f aca="false">IF(B2628="","",IFERROR(1000-SUMPRODUCT(MAX(ISNUMBER(SEARCH(Rules!$A$5:$A$204,B2628))*(Rules!$A$5:$A$204&lt;&gt;"")*(1000-ROW(Rules!$A$5:$A$204)))),""))</f>
        <v/>
      </c>
    </row>
    <row r="2629" customFormat="false" ht="15" hidden="false" customHeight="false" outlineLevel="0" collapsed="false">
      <c r="A2629" s="23"/>
      <c r="B2629" s="24"/>
      <c r="C2629" s="25"/>
      <c r="D2629" s="24"/>
      <c r="E2629" s="21" t="str">
        <f aca="false">IF(OR(B2629="",N(N2629)=0,N2629=1000),IF(B2629="","","Check"),INDEX(Rules!$B:$B,N2629))</f>
        <v/>
      </c>
      <c r="F2629" s="21" t="str">
        <f aca="false">IF(OR(B2629="",N(N2629)=0,N2629=1000),"",INDEX(Rules!$C:$C,N2629))</f>
        <v/>
      </c>
      <c r="G2629" s="24"/>
      <c r="H2629" s="24"/>
      <c r="I2629" s="20" t="str">
        <f aca="false">IF(B2629="","",IF(G2629&lt;&gt;"",G2629,E2629))</f>
        <v/>
      </c>
      <c r="J2629" s="21" t="str">
        <f aca="false">IF(B2629="","",IF(H2629&lt;&gt;"",H2629,F2629))</f>
        <v/>
      </c>
      <c r="K2629" s="26" t="str">
        <f aca="false">IF(A2629="","",DATE(YEAR(A2629),MONTH(A2629),1))</f>
        <v/>
      </c>
      <c r="L2629" s="21" t="str">
        <f aca="false">IF(J2629="",IF(B2629="","",IF(N(C2629)&gt;=0,"Income","Expense")),IFERROR(INDEX(Lists!$B$2:$B$30,MATCH(J2629,Lists!$A$2:$A$30,0)),""))</f>
        <v/>
      </c>
      <c r="M2629" s="24"/>
      <c r="N2629" s="27" t="str">
        <f aca="false">IF(B2629="","",IFERROR(1000-SUMPRODUCT(MAX(ISNUMBER(SEARCH(Rules!$A$5:$A$204,B2629))*(Rules!$A$5:$A$204&lt;&gt;"")*(1000-ROW(Rules!$A$5:$A$204)))),""))</f>
        <v/>
      </c>
    </row>
    <row r="2630" customFormat="false" ht="15" hidden="false" customHeight="false" outlineLevel="0" collapsed="false">
      <c r="A2630" s="23"/>
      <c r="B2630" s="24"/>
      <c r="C2630" s="25"/>
      <c r="D2630" s="24"/>
      <c r="E2630" s="21" t="str">
        <f aca="false">IF(OR(B2630="",N(N2630)=0,N2630=1000),IF(B2630="","","Check"),INDEX(Rules!$B:$B,N2630))</f>
        <v/>
      </c>
      <c r="F2630" s="21" t="str">
        <f aca="false">IF(OR(B2630="",N(N2630)=0,N2630=1000),"",INDEX(Rules!$C:$C,N2630))</f>
        <v/>
      </c>
      <c r="G2630" s="24"/>
      <c r="H2630" s="24"/>
      <c r="I2630" s="20" t="str">
        <f aca="false">IF(B2630="","",IF(G2630&lt;&gt;"",G2630,E2630))</f>
        <v/>
      </c>
      <c r="J2630" s="21" t="str">
        <f aca="false">IF(B2630="","",IF(H2630&lt;&gt;"",H2630,F2630))</f>
        <v/>
      </c>
      <c r="K2630" s="26" t="str">
        <f aca="false">IF(A2630="","",DATE(YEAR(A2630),MONTH(A2630),1))</f>
        <v/>
      </c>
      <c r="L2630" s="21" t="str">
        <f aca="false">IF(J2630="",IF(B2630="","",IF(N(C2630)&gt;=0,"Income","Expense")),IFERROR(INDEX(Lists!$B$2:$B$30,MATCH(J2630,Lists!$A$2:$A$30,0)),""))</f>
        <v/>
      </c>
      <c r="M2630" s="24"/>
      <c r="N2630" s="27" t="str">
        <f aca="false">IF(B2630="","",IFERROR(1000-SUMPRODUCT(MAX(ISNUMBER(SEARCH(Rules!$A$5:$A$204,B2630))*(Rules!$A$5:$A$204&lt;&gt;"")*(1000-ROW(Rules!$A$5:$A$204)))),""))</f>
        <v/>
      </c>
    </row>
    <row r="2631" customFormat="false" ht="15" hidden="false" customHeight="false" outlineLevel="0" collapsed="false">
      <c r="A2631" s="23"/>
      <c r="B2631" s="24"/>
      <c r="C2631" s="25"/>
      <c r="D2631" s="24"/>
      <c r="E2631" s="21" t="str">
        <f aca="false">IF(OR(B2631="",N(N2631)=0,N2631=1000),IF(B2631="","","Check"),INDEX(Rules!$B:$B,N2631))</f>
        <v/>
      </c>
      <c r="F2631" s="21" t="str">
        <f aca="false">IF(OR(B2631="",N(N2631)=0,N2631=1000),"",INDEX(Rules!$C:$C,N2631))</f>
        <v/>
      </c>
      <c r="G2631" s="24"/>
      <c r="H2631" s="24"/>
      <c r="I2631" s="20" t="str">
        <f aca="false">IF(B2631="","",IF(G2631&lt;&gt;"",G2631,E2631))</f>
        <v/>
      </c>
      <c r="J2631" s="21" t="str">
        <f aca="false">IF(B2631="","",IF(H2631&lt;&gt;"",H2631,F2631))</f>
        <v/>
      </c>
      <c r="K2631" s="26" t="str">
        <f aca="false">IF(A2631="","",DATE(YEAR(A2631),MONTH(A2631),1))</f>
        <v/>
      </c>
      <c r="L2631" s="21" t="str">
        <f aca="false">IF(J2631="",IF(B2631="","",IF(N(C2631)&gt;=0,"Income","Expense")),IFERROR(INDEX(Lists!$B$2:$B$30,MATCH(J2631,Lists!$A$2:$A$30,0)),""))</f>
        <v/>
      </c>
      <c r="M2631" s="24"/>
      <c r="N2631" s="27" t="str">
        <f aca="false">IF(B2631="","",IFERROR(1000-SUMPRODUCT(MAX(ISNUMBER(SEARCH(Rules!$A$5:$A$204,B2631))*(Rules!$A$5:$A$204&lt;&gt;"")*(1000-ROW(Rules!$A$5:$A$204)))),""))</f>
        <v/>
      </c>
    </row>
    <row r="2632" customFormat="false" ht="15" hidden="false" customHeight="false" outlineLevel="0" collapsed="false">
      <c r="A2632" s="23"/>
      <c r="B2632" s="24"/>
      <c r="C2632" s="25"/>
      <c r="D2632" s="24"/>
      <c r="E2632" s="21" t="str">
        <f aca="false">IF(OR(B2632="",N(N2632)=0,N2632=1000),IF(B2632="","","Check"),INDEX(Rules!$B:$B,N2632))</f>
        <v/>
      </c>
      <c r="F2632" s="21" t="str">
        <f aca="false">IF(OR(B2632="",N(N2632)=0,N2632=1000),"",INDEX(Rules!$C:$C,N2632))</f>
        <v/>
      </c>
      <c r="G2632" s="24"/>
      <c r="H2632" s="24"/>
      <c r="I2632" s="20" t="str">
        <f aca="false">IF(B2632="","",IF(G2632&lt;&gt;"",G2632,E2632))</f>
        <v/>
      </c>
      <c r="J2632" s="21" t="str">
        <f aca="false">IF(B2632="","",IF(H2632&lt;&gt;"",H2632,F2632))</f>
        <v/>
      </c>
      <c r="K2632" s="26" t="str">
        <f aca="false">IF(A2632="","",DATE(YEAR(A2632),MONTH(A2632),1))</f>
        <v/>
      </c>
      <c r="L2632" s="21" t="str">
        <f aca="false">IF(J2632="",IF(B2632="","",IF(N(C2632)&gt;=0,"Income","Expense")),IFERROR(INDEX(Lists!$B$2:$B$30,MATCH(J2632,Lists!$A$2:$A$30,0)),""))</f>
        <v/>
      </c>
      <c r="M2632" s="24"/>
      <c r="N2632" s="27" t="str">
        <f aca="false">IF(B2632="","",IFERROR(1000-SUMPRODUCT(MAX(ISNUMBER(SEARCH(Rules!$A$5:$A$204,B2632))*(Rules!$A$5:$A$204&lt;&gt;"")*(1000-ROW(Rules!$A$5:$A$204)))),""))</f>
        <v/>
      </c>
    </row>
    <row r="2633" customFormat="false" ht="15" hidden="false" customHeight="false" outlineLevel="0" collapsed="false">
      <c r="A2633" s="23"/>
      <c r="B2633" s="24"/>
      <c r="C2633" s="25"/>
      <c r="D2633" s="24"/>
      <c r="E2633" s="21" t="str">
        <f aca="false">IF(OR(B2633="",N(N2633)=0,N2633=1000),IF(B2633="","","Check"),INDEX(Rules!$B:$B,N2633))</f>
        <v/>
      </c>
      <c r="F2633" s="21" t="str">
        <f aca="false">IF(OR(B2633="",N(N2633)=0,N2633=1000),"",INDEX(Rules!$C:$C,N2633))</f>
        <v/>
      </c>
      <c r="G2633" s="24"/>
      <c r="H2633" s="24"/>
      <c r="I2633" s="20" t="str">
        <f aca="false">IF(B2633="","",IF(G2633&lt;&gt;"",G2633,E2633))</f>
        <v/>
      </c>
      <c r="J2633" s="21" t="str">
        <f aca="false">IF(B2633="","",IF(H2633&lt;&gt;"",H2633,F2633))</f>
        <v/>
      </c>
      <c r="K2633" s="26" t="str">
        <f aca="false">IF(A2633="","",DATE(YEAR(A2633),MONTH(A2633),1))</f>
        <v/>
      </c>
      <c r="L2633" s="21" t="str">
        <f aca="false">IF(J2633="",IF(B2633="","",IF(N(C2633)&gt;=0,"Income","Expense")),IFERROR(INDEX(Lists!$B$2:$B$30,MATCH(J2633,Lists!$A$2:$A$30,0)),""))</f>
        <v/>
      </c>
      <c r="M2633" s="24"/>
      <c r="N2633" s="27" t="str">
        <f aca="false">IF(B2633="","",IFERROR(1000-SUMPRODUCT(MAX(ISNUMBER(SEARCH(Rules!$A$5:$A$204,B2633))*(Rules!$A$5:$A$204&lt;&gt;"")*(1000-ROW(Rules!$A$5:$A$204)))),""))</f>
        <v/>
      </c>
    </row>
    <row r="2634" customFormat="false" ht="15" hidden="false" customHeight="false" outlineLevel="0" collapsed="false">
      <c r="A2634" s="23"/>
      <c r="B2634" s="24"/>
      <c r="C2634" s="25"/>
      <c r="D2634" s="24"/>
      <c r="E2634" s="21" t="str">
        <f aca="false">IF(OR(B2634="",N(N2634)=0,N2634=1000),IF(B2634="","","Check"),INDEX(Rules!$B:$B,N2634))</f>
        <v/>
      </c>
      <c r="F2634" s="21" t="str">
        <f aca="false">IF(OR(B2634="",N(N2634)=0,N2634=1000),"",INDEX(Rules!$C:$C,N2634))</f>
        <v/>
      </c>
      <c r="G2634" s="24"/>
      <c r="H2634" s="24"/>
      <c r="I2634" s="20" t="str">
        <f aca="false">IF(B2634="","",IF(G2634&lt;&gt;"",G2634,E2634))</f>
        <v/>
      </c>
      <c r="J2634" s="21" t="str">
        <f aca="false">IF(B2634="","",IF(H2634&lt;&gt;"",H2634,F2634))</f>
        <v/>
      </c>
      <c r="K2634" s="26" t="str">
        <f aca="false">IF(A2634="","",DATE(YEAR(A2634),MONTH(A2634),1))</f>
        <v/>
      </c>
      <c r="L2634" s="21" t="str">
        <f aca="false">IF(J2634="",IF(B2634="","",IF(N(C2634)&gt;=0,"Income","Expense")),IFERROR(INDEX(Lists!$B$2:$B$30,MATCH(J2634,Lists!$A$2:$A$30,0)),""))</f>
        <v/>
      </c>
      <c r="M2634" s="24"/>
      <c r="N2634" s="27" t="str">
        <f aca="false">IF(B2634="","",IFERROR(1000-SUMPRODUCT(MAX(ISNUMBER(SEARCH(Rules!$A$5:$A$204,B2634))*(Rules!$A$5:$A$204&lt;&gt;"")*(1000-ROW(Rules!$A$5:$A$204)))),""))</f>
        <v/>
      </c>
    </row>
    <row r="2635" customFormat="false" ht="15" hidden="false" customHeight="false" outlineLevel="0" collapsed="false">
      <c r="A2635" s="23"/>
      <c r="B2635" s="24"/>
      <c r="C2635" s="25"/>
      <c r="D2635" s="24"/>
      <c r="E2635" s="21" t="str">
        <f aca="false">IF(OR(B2635="",N(N2635)=0,N2635=1000),IF(B2635="","","Check"),INDEX(Rules!$B:$B,N2635))</f>
        <v/>
      </c>
      <c r="F2635" s="21" t="str">
        <f aca="false">IF(OR(B2635="",N(N2635)=0,N2635=1000),"",INDEX(Rules!$C:$C,N2635))</f>
        <v/>
      </c>
      <c r="G2635" s="24"/>
      <c r="H2635" s="24"/>
      <c r="I2635" s="20" t="str">
        <f aca="false">IF(B2635="","",IF(G2635&lt;&gt;"",G2635,E2635))</f>
        <v/>
      </c>
      <c r="J2635" s="21" t="str">
        <f aca="false">IF(B2635="","",IF(H2635&lt;&gt;"",H2635,F2635))</f>
        <v/>
      </c>
      <c r="K2635" s="26" t="str">
        <f aca="false">IF(A2635="","",DATE(YEAR(A2635),MONTH(A2635),1))</f>
        <v/>
      </c>
      <c r="L2635" s="21" t="str">
        <f aca="false">IF(J2635="",IF(B2635="","",IF(N(C2635)&gt;=0,"Income","Expense")),IFERROR(INDEX(Lists!$B$2:$B$30,MATCH(J2635,Lists!$A$2:$A$30,0)),""))</f>
        <v/>
      </c>
      <c r="M2635" s="24"/>
      <c r="N2635" s="27" t="str">
        <f aca="false">IF(B2635="","",IFERROR(1000-SUMPRODUCT(MAX(ISNUMBER(SEARCH(Rules!$A$5:$A$204,B2635))*(Rules!$A$5:$A$204&lt;&gt;"")*(1000-ROW(Rules!$A$5:$A$204)))),""))</f>
        <v/>
      </c>
    </row>
    <row r="2636" customFormat="false" ht="15" hidden="false" customHeight="false" outlineLevel="0" collapsed="false">
      <c r="A2636" s="23"/>
      <c r="B2636" s="24"/>
      <c r="C2636" s="25"/>
      <c r="D2636" s="24"/>
      <c r="E2636" s="21" t="str">
        <f aca="false">IF(OR(B2636="",N(N2636)=0,N2636=1000),IF(B2636="","","Check"),INDEX(Rules!$B:$B,N2636))</f>
        <v/>
      </c>
      <c r="F2636" s="21" t="str">
        <f aca="false">IF(OR(B2636="",N(N2636)=0,N2636=1000),"",INDEX(Rules!$C:$C,N2636))</f>
        <v/>
      </c>
      <c r="G2636" s="24"/>
      <c r="H2636" s="24"/>
      <c r="I2636" s="20" t="str">
        <f aca="false">IF(B2636="","",IF(G2636&lt;&gt;"",G2636,E2636))</f>
        <v/>
      </c>
      <c r="J2636" s="21" t="str">
        <f aca="false">IF(B2636="","",IF(H2636&lt;&gt;"",H2636,F2636))</f>
        <v/>
      </c>
      <c r="K2636" s="26" t="str">
        <f aca="false">IF(A2636="","",DATE(YEAR(A2636),MONTH(A2636),1))</f>
        <v/>
      </c>
      <c r="L2636" s="21" t="str">
        <f aca="false">IF(J2636="",IF(B2636="","",IF(N(C2636)&gt;=0,"Income","Expense")),IFERROR(INDEX(Lists!$B$2:$B$30,MATCH(J2636,Lists!$A$2:$A$30,0)),""))</f>
        <v/>
      </c>
      <c r="M2636" s="24"/>
      <c r="N2636" s="27" t="str">
        <f aca="false">IF(B2636="","",IFERROR(1000-SUMPRODUCT(MAX(ISNUMBER(SEARCH(Rules!$A$5:$A$204,B2636))*(Rules!$A$5:$A$204&lt;&gt;"")*(1000-ROW(Rules!$A$5:$A$204)))),""))</f>
        <v/>
      </c>
    </row>
    <row r="2637" customFormat="false" ht="15" hidden="false" customHeight="false" outlineLevel="0" collapsed="false">
      <c r="A2637" s="23"/>
      <c r="B2637" s="24"/>
      <c r="C2637" s="25"/>
      <c r="D2637" s="24"/>
      <c r="E2637" s="21" t="str">
        <f aca="false">IF(OR(B2637="",N(N2637)=0,N2637=1000),IF(B2637="","","Check"),INDEX(Rules!$B:$B,N2637))</f>
        <v/>
      </c>
      <c r="F2637" s="21" t="str">
        <f aca="false">IF(OR(B2637="",N(N2637)=0,N2637=1000),"",INDEX(Rules!$C:$C,N2637))</f>
        <v/>
      </c>
      <c r="G2637" s="24"/>
      <c r="H2637" s="24"/>
      <c r="I2637" s="20" t="str">
        <f aca="false">IF(B2637="","",IF(G2637&lt;&gt;"",G2637,E2637))</f>
        <v/>
      </c>
      <c r="J2637" s="21" t="str">
        <f aca="false">IF(B2637="","",IF(H2637&lt;&gt;"",H2637,F2637))</f>
        <v/>
      </c>
      <c r="K2637" s="26" t="str">
        <f aca="false">IF(A2637="","",DATE(YEAR(A2637),MONTH(A2637),1))</f>
        <v/>
      </c>
      <c r="L2637" s="21" t="str">
        <f aca="false">IF(J2637="",IF(B2637="","",IF(N(C2637)&gt;=0,"Income","Expense")),IFERROR(INDEX(Lists!$B$2:$B$30,MATCH(J2637,Lists!$A$2:$A$30,0)),""))</f>
        <v/>
      </c>
      <c r="M2637" s="24"/>
      <c r="N2637" s="27" t="str">
        <f aca="false">IF(B2637="","",IFERROR(1000-SUMPRODUCT(MAX(ISNUMBER(SEARCH(Rules!$A$5:$A$204,B2637))*(Rules!$A$5:$A$204&lt;&gt;"")*(1000-ROW(Rules!$A$5:$A$204)))),""))</f>
        <v/>
      </c>
    </row>
    <row r="2638" customFormat="false" ht="15" hidden="false" customHeight="false" outlineLevel="0" collapsed="false">
      <c r="A2638" s="23"/>
      <c r="B2638" s="24"/>
      <c r="C2638" s="25"/>
      <c r="D2638" s="24"/>
      <c r="E2638" s="21" t="str">
        <f aca="false">IF(OR(B2638="",N(N2638)=0,N2638=1000),IF(B2638="","","Check"),INDEX(Rules!$B:$B,N2638))</f>
        <v/>
      </c>
      <c r="F2638" s="21" t="str">
        <f aca="false">IF(OR(B2638="",N(N2638)=0,N2638=1000),"",INDEX(Rules!$C:$C,N2638))</f>
        <v/>
      </c>
      <c r="G2638" s="24"/>
      <c r="H2638" s="24"/>
      <c r="I2638" s="20" t="str">
        <f aca="false">IF(B2638="","",IF(G2638&lt;&gt;"",G2638,E2638))</f>
        <v/>
      </c>
      <c r="J2638" s="21" t="str">
        <f aca="false">IF(B2638="","",IF(H2638&lt;&gt;"",H2638,F2638))</f>
        <v/>
      </c>
      <c r="K2638" s="26" t="str">
        <f aca="false">IF(A2638="","",DATE(YEAR(A2638),MONTH(A2638),1))</f>
        <v/>
      </c>
      <c r="L2638" s="21" t="str">
        <f aca="false">IF(J2638="",IF(B2638="","",IF(N(C2638)&gt;=0,"Income","Expense")),IFERROR(INDEX(Lists!$B$2:$B$30,MATCH(J2638,Lists!$A$2:$A$30,0)),""))</f>
        <v/>
      </c>
      <c r="M2638" s="24"/>
      <c r="N2638" s="27" t="str">
        <f aca="false">IF(B2638="","",IFERROR(1000-SUMPRODUCT(MAX(ISNUMBER(SEARCH(Rules!$A$5:$A$204,B2638))*(Rules!$A$5:$A$204&lt;&gt;"")*(1000-ROW(Rules!$A$5:$A$204)))),""))</f>
        <v/>
      </c>
    </row>
    <row r="2639" customFormat="false" ht="15" hidden="false" customHeight="false" outlineLevel="0" collapsed="false">
      <c r="A2639" s="23"/>
      <c r="B2639" s="24"/>
      <c r="C2639" s="25"/>
      <c r="D2639" s="24"/>
      <c r="E2639" s="21" t="str">
        <f aca="false">IF(OR(B2639="",N(N2639)=0,N2639=1000),IF(B2639="","","Check"),INDEX(Rules!$B:$B,N2639))</f>
        <v/>
      </c>
      <c r="F2639" s="21" t="str">
        <f aca="false">IF(OR(B2639="",N(N2639)=0,N2639=1000),"",INDEX(Rules!$C:$C,N2639))</f>
        <v/>
      </c>
      <c r="G2639" s="24"/>
      <c r="H2639" s="24"/>
      <c r="I2639" s="20" t="str">
        <f aca="false">IF(B2639="","",IF(G2639&lt;&gt;"",G2639,E2639))</f>
        <v/>
      </c>
      <c r="J2639" s="21" t="str">
        <f aca="false">IF(B2639="","",IF(H2639&lt;&gt;"",H2639,F2639))</f>
        <v/>
      </c>
      <c r="K2639" s="26" t="str">
        <f aca="false">IF(A2639="","",DATE(YEAR(A2639),MONTH(A2639),1))</f>
        <v/>
      </c>
      <c r="L2639" s="21" t="str">
        <f aca="false">IF(J2639="",IF(B2639="","",IF(N(C2639)&gt;=0,"Income","Expense")),IFERROR(INDEX(Lists!$B$2:$B$30,MATCH(J2639,Lists!$A$2:$A$30,0)),""))</f>
        <v/>
      </c>
      <c r="M2639" s="24"/>
      <c r="N2639" s="27" t="str">
        <f aca="false">IF(B2639="","",IFERROR(1000-SUMPRODUCT(MAX(ISNUMBER(SEARCH(Rules!$A$5:$A$204,B2639))*(Rules!$A$5:$A$204&lt;&gt;"")*(1000-ROW(Rules!$A$5:$A$204)))),""))</f>
        <v/>
      </c>
    </row>
    <row r="2640" customFormat="false" ht="15" hidden="false" customHeight="false" outlineLevel="0" collapsed="false">
      <c r="A2640" s="23"/>
      <c r="B2640" s="24"/>
      <c r="C2640" s="25"/>
      <c r="D2640" s="24"/>
      <c r="E2640" s="21" t="str">
        <f aca="false">IF(OR(B2640="",N(N2640)=0,N2640=1000),IF(B2640="","","Check"),INDEX(Rules!$B:$B,N2640))</f>
        <v/>
      </c>
      <c r="F2640" s="21" t="str">
        <f aca="false">IF(OR(B2640="",N(N2640)=0,N2640=1000),"",INDEX(Rules!$C:$C,N2640))</f>
        <v/>
      </c>
      <c r="G2640" s="24"/>
      <c r="H2640" s="24"/>
      <c r="I2640" s="20" t="str">
        <f aca="false">IF(B2640="","",IF(G2640&lt;&gt;"",G2640,E2640))</f>
        <v/>
      </c>
      <c r="J2640" s="21" t="str">
        <f aca="false">IF(B2640="","",IF(H2640&lt;&gt;"",H2640,F2640))</f>
        <v/>
      </c>
      <c r="K2640" s="26" t="str">
        <f aca="false">IF(A2640="","",DATE(YEAR(A2640),MONTH(A2640),1))</f>
        <v/>
      </c>
      <c r="L2640" s="21" t="str">
        <f aca="false">IF(J2640="",IF(B2640="","",IF(N(C2640)&gt;=0,"Income","Expense")),IFERROR(INDEX(Lists!$B$2:$B$30,MATCH(J2640,Lists!$A$2:$A$30,0)),""))</f>
        <v/>
      </c>
      <c r="M2640" s="24"/>
      <c r="N2640" s="27" t="str">
        <f aca="false">IF(B2640="","",IFERROR(1000-SUMPRODUCT(MAX(ISNUMBER(SEARCH(Rules!$A$5:$A$204,B2640))*(Rules!$A$5:$A$204&lt;&gt;"")*(1000-ROW(Rules!$A$5:$A$204)))),""))</f>
        <v/>
      </c>
    </row>
    <row r="2641" customFormat="false" ht="15" hidden="false" customHeight="false" outlineLevel="0" collapsed="false">
      <c r="A2641" s="23"/>
      <c r="B2641" s="24"/>
      <c r="C2641" s="25"/>
      <c r="D2641" s="24"/>
      <c r="E2641" s="21" t="str">
        <f aca="false">IF(OR(B2641="",N(N2641)=0,N2641=1000),IF(B2641="","","Check"),INDEX(Rules!$B:$B,N2641))</f>
        <v/>
      </c>
      <c r="F2641" s="21" t="str">
        <f aca="false">IF(OR(B2641="",N(N2641)=0,N2641=1000),"",INDEX(Rules!$C:$C,N2641))</f>
        <v/>
      </c>
      <c r="G2641" s="24"/>
      <c r="H2641" s="24"/>
      <c r="I2641" s="20" t="str">
        <f aca="false">IF(B2641="","",IF(G2641&lt;&gt;"",G2641,E2641))</f>
        <v/>
      </c>
      <c r="J2641" s="21" t="str">
        <f aca="false">IF(B2641="","",IF(H2641&lt;&gt;"",H2641,F2641))</f>
        <v/>
      </c>
      <c r="K2641" s="26" t="str">
        <f aca="false">IF(A2641="","",DATE(YEAR(A2641),MONTH(A2641),1))</f>
        <v/>
      </c>
      <c r="L2641" s="21" t="str">
        <f aca="false">IF(J2641="",IF(B2641="","",IF(N(C2641)&gt;=0,"Income","Expense")),IFERROR(INDEX(Lists!$B$2:$B$30,MATCH(J2641,Lists!$A$2:$A$30,0)),""))</f>
        <v/>
      </c>
      <c r="M2641" s="24"/>
      <c r="N2641" s="27" t="str">
        <f aca="false">IF(B2641="","",IFERROR(1000-SUMPRODUCT(MAX(ISNUMBER(SEARCH(Rules!$A$5:$A$204,B2641))*(Rules!$A$5:$A$204&lt;&gt;"")*(1000-ROW(Rules!$A$5:$A$204)))),""))</f>
        <v/>
      </c>
    </row>
    <row r="2642" customFormat="false" ht="15" hidden="false" customHeight="false" outlineLevel="0" collapsed="false">
      <c r="A2642" s="23"/>
      <c r="B2642" s="24"/>
      <c r="C2642" s="25"/>
      <c r="D2642" s="24"/>
      <c r="E2642" s="21" t="str">
        <f aca="false">IF(OR(B2642="",N(N2642)=0,N2642=1000),IF(B2642="","","Check"),INDEX(Rules!$B:$B,N2642))</f>
        <v/>
      </c>
      <c r="F2642" s="21" t="str">
        <f aca="false">IF(OR(B2642="",N(N2642)=0,N2642=1000),"",INDEX(Rules!$C:$C,N2642))</f>
        <v/>
      </c>
      <c r="G2642" s="24"/>
      <c r="H2642" s="24"/>
      <c r="I2642" s="20" t="str">
        <f aca="false">IF(B2642="","",IF(G2642&lt;&gt;"",G2642,E2642))</f>
        <v/>
      </c>
      <c r="J2642" s="21" t="str">
        <f aca="false">IF(B2642="","",IF(H2642&lt;&gt;"",H2642,F2642))</f>
        <v/>
      </c>
      <c r="K2642" s="26" t="str">
        <f aca="false">IF(A2642="","",DATE(YEAR(A2642),MONTH(A2642),1))</f>
        <v/>
      </c>
      <c r="L2642" s="21" t="str">
        <f aca="false">IF(J2642="",IF(B2642="","",IF(N(C2642)&gt;=0,"Income","Expense")),IFERROR(INDEX(Lists!$B$2:$B$30,MATCH(J2642,Lists!$A$2:$A$30,0)),""))</f>
        <v/>
      </c>
      <c r="M2642" s="24"/>
      <c r="N2642" s="27" t="str">
        <f aca="false">IF(B2642="","",IFERROR(1000-SUMPRODUCT(MAX(ISNUMBER(SEARCH(Rules!$A$5:$A$204,B2642))*(Rules!$A$5:$A$204&lt;&gt;"")*(1000-ROW(Rules!$A$5:$A$204)))),""))</f>
        <v/>
      </c>
    </row>
    <row r="2643" customFormat="false" ht="15" hidden="false" customHeight="false" outlineLevel="0" collapsed="false">
      <c r="A2643" s="23"/>
      <c r="B2643" s="24"/>
      <c r="C2643" s="25"/>
      <c r="D2643" s="24"/>
      <c r="E2643" s="21" t="str">
        <f aca="false">IF(OR(B2643="",N(N2643)=0,N2643=1000),IF(B2643="","","Check"),INDEX(Rules!$B:$B,N2643))</f>
        <v/>
      </c>
      <c r="F2643" s="21" t="str">
        <f aca="false">IF(OR(B2643="",N(N2643)=0,N2643=1000),"",INDEX(Rules!$C:$C,N2643))</f>
        <v/>
      </c>
      <c r="G2643" s="24"/>
      <c r="H2643" s="24"/>
      <c r="I2643" s="20" t="str">
        <f aca="false">IF(B2643="","",IF(G2643&lt;&gt;"",G2643,E2643))</f>
        <v/>
      </c>
      <c r="J2643" s="21" t="str">
        <f aca="false">IF(B2643="","",IF(H2643&lt;&gt;"",H2643,F2643))</f>
        <v/>
      </c>
      <c r="K2643" s="26" t="str">
        <f aca="false">IF(A2643="","",DATE(YEAR(A2643),MONTH(A2643),1))</f>
        <v/>
      </c>
      <c r="L2643" s="21" t="str">
        <f aca="false">IF(J2643="",IF(B2643="","",IF(N(C2643)&gt;=0,"Income","Expense")),IFERROR(INDEX(Lists!$B$2:$B$30,MATCH(J2643,Lists!$A$2:$A$30,0)),""))</f>
        <v/>
      </c>
      <c r="M2643" s="24"/>
      <c r="N2643" s="27" t="str">
        <f aca="false">IF(B2643="","",IFERROR(1000-SUMPRODUCT(MAX(ISNUMBER(SEARCH(Rules!$A$5:$A$204,B2643))*(Rules!$A$5:$A$204&lt;&gt;"")*(1000-ROW(Rules!$A$5:$A$204)))),""))</f>
        <v/>
      </c>
    </row>
    <row r="2644" customFormat="false" ht="15" hidden="false" customHeight="false" outlineLevel="0" collapsed="false">
      <c r="A2644" s="23"/>
      <c r="B2644" s="24"/>
      <c r="C2644" s="25"/>
      <c r="D2644" s="24"/>
      <c r="E2644" s="21" t="str">
        <f aca="false">IF(OR(B2644="",N(N2644)=0,N2644=1000),IF(B2644="","","Check"),INDEX(Rules!$B:$B,N2644))</f>
        <v/>
      </c>
      <c r="F2644" s="21" t="str">
        <f aca="false">IF(OR(B2644="",N(N2644)=0,N2644=1000),"",INDEX(Rules!$C:$C,N2644))</f>
        <v/>
      </c>
      <c r="G2644" s="24"/>
      <c r="H2644" s="24"/>
      <c r="I2644" s="20" t="str">
        <f aca="false">IF(B2644="","",IF(G2644&lt;&gt;"",G2644,E2644))</f>
        <v/>
      </c>
      <c r="J2644" s="21" t="str">
        <f aca="false">IF(B2644="","",IF(H2644&lt;&gt;"",H2644,F2644))</f>
        <v/>
      </c>
      <c r="K2644" s="26" t="str">
        <f aca="false">IF(A2644="","",DATE(YEAR(A2644),MONTH(A2644),1))</f>
        <v/>
      </c>
      <c r="L2644" s="21" t="str">
        <f aca="false">IF(J2644="",IF(B2644="","",IF(N(C2644)&gt;=0,"Income","Expense")),IFERROR(INDEX(Lists!$B$2:$B$30,MATCH(J2644,Lists!$A$2:$A$30,0)),""))</f>
        <v/>
      </c>
      <c r="M2644" s="24"/>
      <c r="N2644" s="27" t="str">
        <f aca="false">IF(B2644="","",IFERROR(1000-SUMPRODUCT(MAX(ISNUMBER(SEARCH(Rules!$A$5:$A$204,B2644))*(Rules!$A$5:$A$204&lt;&gt;"")*(1000-ROW(Rules!$A$5:$A$204)))),""))</f>
        <v/>
      </c>
    </row>
    <row r="2645" customFormat="false" ht="15" hidden="false" customHeight="false" outlineLevel="0" collapsed="false">
      <c r="A2645" s="23"/>
      <c r="B2645" s="24"/>
      <c r="C2645" s="25"/>
      <c r="D2645" s="24"/>
      <c r="E2645" s="21" t="str">
        <f aca="false">IF(OR(B2645="",N(N2645)=0,N2645=1000),IF(B2645="","","Check"),INDEX(Rules!$B:$B,N2645))</f>
        <v/>
      </c>
      <c r="F2645" s="21" t="str">
        <f aca="false">IF(OR(B2645="",N(N2645)=0,N2645=1000),"",INDEX(Rules!$C:$C,N2645))</f>
        <v/>
      </c>
      <c r="G2645" s="24"/>
      <c r="H2645" s="24"/>
      <c r="I2645" s="20" t="str">
        <f aca="false">IF(B2645="","",IF(G2645&lt;&gt;"",G2645,E2645))</f>
        <v/>
      </c>
      <c r="J2645" s="21" t="str">
        <f aca="false">IF(B2645="","",IF(H2645&lt;&gt;"",H2645,F2645))</f>
        <v/>
      </c>
      <c r="K2645" s="26" t="str">
        <f aca="false">IF(A2645="","",DATE(YEAR(A2645),MONTH(A2645),1))</f>
        <v/>
      </c>
      <c r="L2645" s="21" t="str">
        <f aca="false">IF(J2645="",IF(B2645="","",IF(N(C2645)&gt;=0,"Income","Expense")),IFERROR(INDEX(Lists!$B$2:$B$30,MATCH(J2645,Lists!$A$2:$A$30,0)),""))</f>
        <v/>
      </c>
      <c r="M2645" s="24"/>
      <c r="N2645" s="27" t="str">
        <f aca="false">IF(B2645="","",IFERROR(1000-SUMPRODUCT(MAX(ISNUMBER(SEARCH(Rules!$A$5:$A$204,B2645))*(Rules!$A$5:$A$204&lt;&gt;"")*(1000-ROW(Rules!$A$5:$A$204)))),""))</f>
        <v/>
      </c>
    </row>
    <row r="2646" customFormat="false" ht="15" hidden="false" customHeight="false" outlineLevel="0" collapsed="false">
      <c r="A2646" s="23"/>
      <c r="B2646" s="24"/>
      <c r="C2646" s="25"/>
      <c r="D2646" s="24"/>
      <c r="E2646" s="21" t="str">
        <f aca="false">IF(OR(B2646="",N(N2646)=0,N2646=1000),IF(B2646="","","Check"),INDEX(Rules!$B:$B,N2646))</f>
        <v/>
      </c>
      <c r="F2646" s="21" t="str">
        <f aca="false">IF(OR(B2646="",N(N2646)=0,N2646=1000),"",INDEX(Rules!$C:$C,N2646))</f>
        <v/>
      </c>
      <c r="G2646" s="24"/>
      <c r="H2646" s="24"/>
      <c r="I2646" s="20" t="str">
        <f aca="false">IF(B2646="","",IF(G2646&lt;&gt;"",G2646,E2646))</f>
        <v/>
      </c>
      <c r="J2646" s="21" t="str">
        <f aca="false">IF(B2646="","",IF(H2646&lt;&gt;"",H2646,F2646))</f>
        <v/>
      </c>
      <c r="K2646" s="26" t="str">
        <f aca="false">IF(A2646="","",DATE(YEAR(A2646),MONTH(A2646),1))</f>
        <v/>
      </c>
      <c r="L2646" s="21" t="str">
        <f aca="false">IF(J2646="",IF(B2646="","",IF(N(C2646)&gt;=0,"Income","Expense")),IFERROR(INDEX(Lists!$B$2:$B$30,MATCH(J2646,Lists!$A$2:$A$30,0)),""))</f>
        <v/>
      </c>
      <c r="M2646" s="24"/>
      <c r="N2646" s="27" t="str">
        <f aca="false">IF(B2646="","",IFERROR(1000-SUMPRODUCT(MAX(ISNUMBER(SEARCH(Rules!$A$5:$A$204,B2646))*(Rules!$A$5:$A$204&lt;&gt;"")*(1000-ROW(Rules!$A$5:$A$204)))),""))</f>
        <v/>
      </c>
    </row>
    <row r="2647" customFormat="false" ht="15" hidden="false" customHeight="false" outlineLevel="0" collapsed="false">
      <c r="A2647" s="23"/>
      <c r="B2647" s="24"/>
      <c r="C2647" s="25"/>
      <c r="D2647" s="24"/>
      <c r="E2647" s="21" t="str">
        <f aca="false">IF(OR(B2647="",N(N2647)=0,N2647=1000),IF(B2647="","","Check"),INDEX(Rules!$B:$B,N2647))</f>
        <v/>
      </c>
      <c r="F2647" s="21" t="str">
        <f aca="false">IF(OR(B2647="",N(N2647)=0,N2647=1000),"",INDEX(Rules!$C:$C,N2647))</f>
        <v/>
      </c>
      <c r="G2647" s="24"/>
      <c r="H2647" s="24"/>
      <c r="I2647" s="20" t="str">
        <f aca="false">IF(B2647="","",IF(G2647&lt;&gt;"",G2647,E2647))</f>
        <v/>
      </c>
      <c r="J2647" s="21" t="str">
        <f aca="false">IF(B2647="","",IF(H2647&lt;&gt;"",H2647,F2647))</f>
        <v/>
      </c>
      <c r="K2647" s="26" t="str">
        <f aca="false">IF(A2647="","",DATE(YEAR(A2647),MONTH(A2647),1))</f>
        <v/>
      </c>
      <c r="L2647" s="21" t="str">
        <f aca="false">IF(J2647="",IF(B2647="","",IF(N(C2647)&gt;=0,"Income","Expense")),IFERROR(INDEX(Lists!$B$2:$B$30,MATCH(J2647,Lists!$A$2:$A$30,0)),""))</f>
        <v/>
      </c>
      <c r="M2647" s="24"/>
      <c r="N2647" s="27" t="str">
        <f aca="false">IF(B2647="","",IFERROR(1000-SUMPRODUCT(MAX(ISNUMBER(SEARCH(Rules!$A$5:$A$204,B2647))*(Rules!$A$5:$A$204&lt;&gt;"")*(1000-ROW(Rules!$A$5:$A$204)))),""))</f>
        <v/>
      </c>
    </row>
    <row r="2648" customFormat="false" ht="15" hidden="false" customHeight="false" outlineLevel="0" collapsed="false">
      <c r="A2648" s="23"/>
      <c r="B2648" s="24"/>
      <c r="C2648" s="25"/>
      <c r="D2648" s="24"/>
      <c r="E2648" s="21" t="str">
        <f aca="false">IF(OR(B2648="",N(N2648)=0,N2648=1000),IF(B2648="","","Check"),INDEX(Rules!$B:$B,N2648))</f>
        <v/>
      </c>
      <c r="F2648" s="21" t="str">
        <f aca="false">IF(OR(B2648="",N(N2648)=0,N2648=1000),"",INDEX(Rules!$C:$C,N2648))</f>
        <v/>
      </c>
      <c r="G2648" s="24"/>
      <c r="H2648" s="24"/>
      <c r="I2648" s="20" t="str">
        <f aca="false">IF(B2648="","",IF(G2648&lt;&gt;"",G2648,E2648))</f>
        <v/>
      </c>
      <c r="J2648" s="21" t="str">
        <f aca="false">IF(B2648="","",IF(H2648&lt;&gt;"",H2648,F2648))</f>
        <v/>
      </c>
      <c r="K2648" s="26" t="str">
        <f aca="false">IF(A2648="","",DATE(YEAR(A2648),MONTH(A2648),1))</f>
        <v/>
      </c>
      <c r="L2648" s="21" t="str">
        <f aca="false">IF(J2648="",IF(B2648="","",IF(N(C2648)&gt;=0,"Income","Expense")),IFERROR(INDEX(Lists!$B$2:$B$30,MATCH(J2648,Lists!$A$2:$A$30,0)),""))</f>
        <v/>
      </c>
      <c r="M2648" s="24"/>
      <c r="N2648" s="27" t="str">
        <f aca="false">IF(B2648="","",IFERROR(1000-SUMPRODUCT(MAX(ISNUMBER(SEARCH(Rules!$A$5:$A$204,B2648))*(Rules!$A$5:$A$204&lt;&gt;"")*(1000-ROW(Rules!$A$5:$A$204)))),""))</f>
        <v/>
      </c>
    </row>
    <row r="2649" customFormat="false" ht="15" hidden="false" customHeight="false" outlineLevel="0" collapsed="false">
      <c r="A2649" s="23"/>
      <c r="B2649" s="24"/>
      <c r="C2649" s="25"/>
      <c r="D2649" s="24"/>
      <c r="E2649" s="21" t="str">
        <f aca="false">IF(OR(B2649="",N(N2649)=0,N2649=1000),IF(B2649="","","Check"),INDEX(Rules!$B:$B,N2649))</f>
        <v/>
      </c>
      <c r="F2649" s="21" t="str">
        <f aca="false">IF(OR(B2649="",N(N2649)=0,N2649=1000),"",INDEX(Rules!$C:$C,N2649))</f>
        <v/>
      </c>
      <c r="G2649" s="24"/>
      <c r="H2649" s="24"/>
      <c r="I2649" s="20" t="str">
        <f aca="false">IF(B2649="","",IF(G2649&lt;&gt;"",G2649,E2649))</f>
        <v/>
      </c>
      <c r="J2649" s="21" t="str">
        <f aca="false">IF(B2649="","",IF(H2649&lt;&gt;"",H2649,F2649))</f>
        <v/>
      </c>
      <c r="K2649" s="26" t="str">
        <f aca="false">IF(A2649="","",DATE(YEAR(A2649),MONTH(A2649),1))</f>
        <v/>
      </c>
      <c r="L2649" s="21" t="str">
        <f aca="false">IF(J2649="",IF(B2649="","",IF(N(C2649)&gt;=0,"Income","Expense")),IFERROR(INDEX(Lists!$B$2:$B$30,MATCH(J2649,Lists!$A$2:$A$30,0)),""))</f>
        <v/>
      </c>
      <c r="M2649" s="24"/>
      <c r="N2649" s="27" t="str">
        <f aca="false">IF(B2649="","",IFERROR(1000-SUMPRODUCT(MAX(ISNUMBER(SEARCH(Rules!$A$5:$A$204,B2649))*(Rules!$A$5:$A$204&lt;&gt;"")*(1000-ROW(Rules!$A$5:$A$204)))),""))</f>
        <v/>
      </c>
    </row>
    <row r="2650" customFormat="false" ht="15" hidden="false" customHeight="false" outlineLevel="0" collapsed="false">
      <c r="A2650" s="23"/>
      <c r="B2650" s="24"/>
      <c r="C2650" s="25"/>
      <c r="D2650" s="24"/>
      <c r="E2650" s="21" t="str">
        <f aca="false">IF(OR(B2650="",N(N2650)=0,N2650=1000),IF(B2650="","","Check"),INDEX(Rules!$B:$B,N2650))</f>
        <v/>
      </c>
      <c r="F2650" s="21" t="str">
        <f aca="false">IF(OR(B2650="",N(N2650)=0,N2650=1000),"",INDEX(Rules!$C:$C,N2650))</f>
        <v/>
      </c>
      <c r="G2650" s="24"/>
      <c r="H2650" s="24"/>
      <c r="I2650" s="20" t="str">
        <f aca="false">IF(B2650="","",IF(G2650&lt;&gt;"",G2650,E2650))</f>
        <v/>
      </c>
      <c r="J2650" s="21" t="str">
        <f aca="false">IF(B2650="","",IF(H2650&lt;&gt;"",H2650,F2650))</f>
        <v/>
      </c>
      <c r="K2650" s="26" t="str">
        <f aca="false">IF(A2650="","",DATE(YEAR(A2650),MONTH(A2650),1))</f>
        <v/>
      </c>
      <c r="L2650" s="21" t="str">
        <f aca="false">IF(J2650="",IF(B2650="","",IF(N(C2650)&gt;=0,"Income","Expense")),IFERROR(INDEX(Lists!$B$2:$B$30,MATCH(J2650,Lists!$A$2:$A$30,0)),""))</f>
        <v/>
      </c>
      <c r="M2650" s="24"/>
      <c r="N2650" s="27" t="str">
        <f aca="false">IF(B2650="","",IFERROR(1000-SUMPRODUCT(MAX(ISNUMBER(SEARCH(Rules!$A$5:$A$204,B2650))*(Rules!$A$5:$A$204&lt;&gt;"")*(1000-ROW(Rules!$A$5:$A$204)))),""))</f>
        <v/>
      </c>
    </row>
    <row r="2651" customFormat="false" ht="15" hidden="false" customHeight="false" outlineLevel="0" collapsed="false">
      <c r="A2651" s="23"/>
      <c r="B2651" s="24"/>
      <c r="C2651" s="25"/>
      <c r="D2651" s="24"/>
      <c r="E2651" s="21" t="str">
        <f aca="false">IF(OR(B2651="",N(N2651)=0,N2651=1000),IF(B2651="","","Check"),INDEX(Rules!$B:$B,N2651))</f>
        <v/>
      </c>
      <c r="F2651" s="21" t="str">
        <f aca="false">IF(OR(B2651="",N(N2651)=0,N2651=1000),"",INDEX(Rules!$C:$C,N2651))</f>
        <v/>
      </c>
      <c r="G2651" s="24"/>
      <c r="H2651" s="24"/>
      <c r="I2651" s="20" t="str">
        <f aca="false">IF(B2651="","",IF(G2651&lt;&gt;"",G2651,E2651))</f>
        <v/>
      </c>
      <c r="J2651" s="21" t="str">
        <f aca="false">IF(B2651="","",IF(H2651&lt;&gt;"",H2651,F2651))</f>
        <v/>
      </c>
      <c r="K2651" s="26" t="str">
        <f aca="false">IF(A2651="","",DATE(YEAR(A2651),MONTH(A2651),1))</f>
        <v/>
      </c>
      <c r="L2651" s="21" t="str">
        <f aca="false">IF(J2651="",IF(B2651="","",IF(N(C2651)&gt;=0,"Income","Expense")),IFERROR(INDEX(Lists!$B$2:$B$30,MATCH(J2651,Lists!$A$2:$A$30,0)),""))</f>
        <v/>
      </c>
      <c r="M2651" s="24"/>
      <c r="N2651" s="27" t="str">
        <f aca="false">IF(B2651="","",IFERROR(1000-SUMPRODUCT(MAX(ISNUMBER(SEARCH(Rules!$A$5:$A$204,B2651))*(Rules!$A$5:$A$204&lt;&gt;"")*(1000-ROW(Rules!$A$5:$A$204)))),""))</f>
        <v/>
      </c>
    </row>
    <row r="2652" customFormat="false" ht="15" hidden="false" customHeight="false" outlineLevel="0" collapsed="false">
      <c r="A2652" s="23"/>
      <c r="B2652" s="24"/>
      <c r="C2652" s="25"/>
      <c r="D2652" s="24"/>
      <c r="E2652" s="21" t="str">
        <f aca="false">IF(OR(B2652="",N(N2652)=0,N2652=1000),IF(B2652="","","Check"),INDEX(Rules!$B:$B,N2652))</f>
        <v/>
      </c>
      <c r="F2652" s="21" t="str">
        <f aca="false">IF(OR(B2652="",N(N2652)=0,N2652=1000),"",INDEX(Rules!$C:$C,N2652))</f>
        <v/>
      </c>
      <c r="G2652" s="24"/>
      <c r="H2652" s="24"/>
      <c r="I2652" s="20" t="str">
        <f aca="false">IF(B2652="","",IF(G2652&lt;&gt;"",G2652,E2652))</f>
        <v/>
      </c>
      <c r="J2652" s="21" t="str">
        <f aca="false">IF(B2652="","",IF(H2652&lt;&gt;"",H2652,F2652))</f>
        <v/>
      </c>
      <c r="K2652" s="26" t="str">
        <f aca="false">IF(A2652="","",DATE(YEAR(A2652),MONTH(A2652),1))</f>
        <v/>
      </c>
      <c r="L2652" s="21" t="str">
        <f aca="false">IF(J2652="",IF(B2652="","",IF(N(C2652)&gt;=0,"Income","Expense")),IFERROR(INDEX(Lists!$B$2:$B$30,MATCH(J2652,Lists!$A$2:$A$30,0)),""))</f>
        <v/>
      </c>
      <c r="M2652" s="24"/>
      <c r="N2652" s="27" t="str">
        <f aca="false">IF(B2652="","",IFERROR(1000-SUMPRODUCT(MAX(ISNUMBER(SEARCH(Rules!$A$5:$A$204,B2652))*(Rules!$A$5:$A$204&lt;&gt;"")*(1000-ROW(Rules!$A$5:$A$204)))),""))</f>
        <v/>
      </c>
    </row>
    <row r="2653" customFormat="false" ht="15" hidden="false" customHeight="false" outlineLevel="0" collapsed="false">
      <c r="A2653" s="23"/>
      <c r="B2653" s="24"/>
      <c r="C2653" s="25"/>
      <c r="D2653" s="24"/>
      <c r="E2653" s="21" t="str">
        <f aca="false">IF(OR(B2653="",N(N2653)=0,N2653=1000),IF(B2653="","","Check"),INDEX(Rules!$B:$B,N2653))</f>
        <v/>
      </c>
      <c r="F2653" s="21" t="str">
        <f aca="false">IF(OR(B2653="",N(N2653)=0,N2653=1000),"",INDEX(Rules!$C:$C,N2653))</f>
        <v/>
      </c>
      <c r="G2653" s="24"/>
      <c r="H2653" s="24"/>
      <c r="I2653" s="20" t="str">
        <f aca="false">IF(B2653="","",IF(G2653&lt;&gt;"",G2653,E2653))</f>
        <v/>
      </c>
      <c r="J2653" s="21" t="str">
        <f aca="false">IF(B2653="","",IF(H2653&lt;&gt;"",H2653,F2653))</f>
        <v/>
      </c>
      <c r="K2653" s="26" t="str">
        <f aca="false">IF(A2653="","",DATE(YEAR(A2653),MONTH(A2653),1))</f>
        <v/>
      </c>
      <c r="L2653" s="21" t="str">
        <f aca="false">IF(J2653="",IF(B2653="","",IF(N(C2653)&gt;=0,"Income","Expense")),IFERROR(INDEX(Lists!$B$2:$B$30,MATCH(J2653,Lists!$A$2:$A$30,0)),""))</f>
        <v/>
      </c>
      <c r="M2653" s="24"/>
      <c r="N2653" s="27" t="str">
        <f aca="false">IF(B2653="","",IFERROR(1000-SUMPRODUCT(MAX(ISNUMBER(SEARCH(Rules!$A$5:$A$204,B2653))*(Rules!$A$5:$A$204&lt;&gt;"")*(1000-ROW(Rules!$A$5:$A$204)))),""))</f>
        <v/>
      </c>
    </row>
    <row r="2654" customFormat="false" ht="15" hidden="false" customHeight="false" outlineLevel="0" collapsed="false">
      <c r="A2654" s="23"/>
      <c r="B2654" s="24"/>
      <c r="C2654" s="25"/>
      <c r="D2654" s="24"/>
      <c r="E2654" s="21" t="str">
        <f aca="false">IF(OR(B2654="",N(N2654)=0,N2654=1000),IF(B2654="","","Check"),INDEX(Rules!$B:$B,N2654))</f>
        <v/>
      </c>
      <c r="F2654" s="21" t="str">
        <f aca="false">IF(OR(B2654="",N(N2654)=0,N2654=1000),"",INDEX(Rules!$C:$C,N2654))</f>
        <v/>
      </c>
      <c r="G2654" s="24"/>
      <c r="H2654" s="24"/>
      <c r="I2654" s="20" t="str">
        <f aca="false">IF(B2654="","",IF(G2654&lt;&gt;"",G2654,E2654))</f>
        <v/>
      </c>
      <c r="J2654" s="21" t="str">
        <f aca="false">IF(B2654="","",IF(H2654&lt;&gt;"",H2654,F2654))</f>
        <v/>
      </c>
      <c r="K2654" s="26" t="str">
        <f aca="false">IF(A2654="","",DATE(YEAR(A2654),MONTH(A2654),1))</f>
        <v/>
      </c>
      <c r="L2654" s="21" t="str">
        <f aca="false">IF(J2654="",IF(B2654="","",IF(N(C2654)&gt;=0,"Income","Expense")),IFERROR(INDEX(Lists!$B$2:$B$30,MATCH(J2654,Lists!$A$2:$A$30,0)),""))</f>
        <v/>
      </c>
      <c r="M2654" s="24"/>
      <c r="N2654" s="27" t="str">
        <f aca="false">IF(B2654="","",IFERROR(1000-SUMPRODUCT(MAX(ISNUMBER(SEARCH(Rules!$A$5:$A$204,B2654))*(Rules!$A$5:$A$204&lt;&gt;"")*(1000-ROW(Rules!$A$5:$A$204)))),""))</f>
        <v/>
      </c>
    </row>
    <row r="2655" customFormat="false" ht="15" hidden="false" customHeight="false" outlineLevel="0" collapsed="false">
      <c r="A2655" s="23"/>
      <c r="B2655" s="24"/>
      <c r="C2655" s="25"/>
      <c r="D2655" s="24"/>
      <c r="E2655" s="21" t="str">
        <f aca="false">IF(OR(B2655="",N(N2655)=0,N2655=1000),IF(B2655="","","Check"),INDEX(Rules!$B:$B,N2655))</f>
        <v/>
      </c>
      <c r="F2655" s="21" t="str">
        <f aca="false">IF(OR(B2655="",N(N2655)=0,N2655=1000),"",INDEX(Rules!$C:$C,N2655))</f>
        <v/>
      </c>
      <c r="G2655" s="24"/>
      <c r="H2655" s="24"/>
      <c r="I2655" s="20" t="str">
        <f aca="false">IF(B2655="","",IF(G2655&lt;&gt;"",G2655,E2655))</f>
        <v/>
      </c>
      <c r="J2655" s="21" t="str">
        <f aca="false">IF(B2655="","",IF(H2655&lt;&gt;"",H2655,F2655))</f>
        <v/>
      </c>
      <c r="K2655" s="26" t="str">
        <f aca="false">IF(A2655="","",DATE(YEAR(A2655),MONTH(A2655),1))</f>
        <v/>
      </c>
      <c r="L2655" s="21" t="str">
        <f aca="false">IF(J2655="",IF(B2655="","",IF(N(C2655)&gt;=0,"Income","Expense")),IFERROR(INDEX(Lists!$B$2:$B$30,MATCH(J2655,Lists!$A$2:$A$30,0)),""))</f>
        <v/>
      </c>
      <c r="M2655" s="24"/>
      <c r="N2655" s="27" t="str">
        <f aca="false">IF(B2655="","",IFERROR(1000-SUMPRODUCT(MAX(ISNUMBER(SEARCH(Rules!$A$5:$A$204,B2655))*(Rules!$A$5:$A$204&lt;&gt;"")*(1000-ROW(Rules!$A$5:$A$204)))),""))</f>
        <v/>
      </c>
    </row>
    <row r="2656" customFormat="false" ht="15" hidden="false" customHeight="false" outlineLevel="0" collapsed="false">
      <c r="A2656" s="23"/>
      <c r="B2656" s="24"/>
      <c r="C2656" s="25"/>
      <c r="D2656" s="24"/>
      <c r="E2656" s="21" t="str">
        <f aca="false">IF(OR(B2656="",N(N2656)=0,N2656=1000),IF(B2656="","","Check"),INDEX(Rules!$B:$B,N2656))</f>
        <v/>
      </c>
      <c r="F2656" s="21" t="str">
        <f aca="false">IF(OR(B2656="",N(N2656)=0,N2656=1000),"",INDEX(Rules!$C:$C,N2656))</f>
        <v/>
      </c>
      <c r="G2656" s="24"/>
      <c r="H2656" s="24"/>
      <c r="I2656" s="20" t="str">
        <f aca="false">IF(B2656="","",IF(G2656&lt;&gt;"",G2656,E2656))</f>
        <v/>
      </c>
      <c r="J2656" s="21" t="str">
        <f aca="false">IF(B2656="","",IF(H2656&lt;&gt;"",H2656,F2656))</f>
        <v/>
      </c>
      <c r="K2656" s="26" t="str">
        <f aca="false">IF(A2656="","",DATE(YEAR(A2656),MONTH(A2656),1))</f>
        <v/>
      </c>
      <c r="L2656" s="21" t="str">
        <f aca="false">IF(J2656="",IF(B2656="","",IF(N(C2656)&gt;=0,"Income","Expense")),IFERROR(INDEX(Lists!$B$2:$B$30,MATCH(J2656,Lists!$A$2:$A$30,0)),""))</f>
        <v/>
      </c>
      <c r="M2656" s="24"/>
      <c r="N2656" s="27" t="str">
        <f aca="false">IF(B2656="","",IFERROR(1000-SUMPRODUCT(MAX(ISNUMBER(SEARCH(Rules!$A$5:$A$204,B2656))*(Rules!$A$5:$A$204&lt;&gt;"")*(1000-ROW(Rules!$A$5:$A$204)))),""))</f>
        <v/>
      </c>
    </row>
    <row r="2657" customFormat="false" ht="15" hidden="false" customHeight="false" outlineLevel="0" collapsed="false">
      <c r="A2657" s="23"/>
      <c r="B2657" s="24"/>
      <c r="C2657" s="25"/>
      <c r="D2657" s="24"/>
      <c r="E2657" s="21" t="str">
        <f aca="false">IF(OR(B2657="",N(N2657)=0,N2657=1000),IF(B2657="","","Check"),INDEX(Rules!$B:$B,N2657))</f>
        <v/>
      </c>
      <c r="F2657" s="21" t="str">
        <f aca="false">IF(OR(B2657="",N(N2657)=0,N2657=1000),"",INDEX(Rules!$C:$C,N2657))</f>
        <v/>
      </c>
      <c r="G2657" s="24"/>
      <c r="H2657" s="24"/>
      <c r="I2657" s="20" t="str">
        <f aca="false">IF(B2657="","",IF(G2657&lt;&gt;"",G2657,E2657))</f>
        <v/>
      </c>
      <c r="J2657" s="21" t="str">
        <f aca="false">IF(B2657="","",IF(H2657&lt;&gt;"",H2657,F2657))</f>
        <v/>
      </c>
      <c r="K2657" s="26" t="str">
        <f aca="false">IF(A2657="","",DATE(YEAR(A2657),MONTH(A2657),1))</f>
        <v/>
      </c>
      <c r="L2657" s="21" t="str">
        <f aca="false">IF(J2657="",IF(B2657="","",IF(N(C2657)&gt;=0,"Income","Expense")),IFERROR(INDEX(Lists!$B$2:$B$30,MATCH(J2657,Lists!$A$2:$A$30,0)),""))</f>
        <v/>
      </c>
      <c r="M2657" s="24"/>
      <c r="N2657" s="27" t="str">
        <f aca="false">IF(B2657="","",IFERROR(1000-SUMPRODUCT(MAX(ISNUMBER(SEARCH(Rules!$A$5:$A$204,B2657))*(Rules!$A$5:$A$204&lt;&gt;"")*(1000-ROW(Rules!$A$5:$A$204)))),""))</f>
        <v/>
      </c>
    </row>
    <row r="2658" customFormat="false" ht="15" hidden="false" customHeight="false" outlineLevel="0" collapsed="false">
      <c r="A2658" s="23"/>
      <c r="B2658" s="24"/>
      <c r="C2658" s="25"/>
      <c r="D2658" s="24"/>
      <c r="E2658" s="21" t="str">
        <f aca="false">IF(OR(B2658="",N(N2658)=0,N2658=1000),IF(B2658="","","Check"),INDEX(Rules!$B:$B,N2658))</f>
        <v/>
      </c>
      <c r="F2658" s="21" t="str">
        <f aca="false">IF(OR(B2658="",N(N2658)=0,N2658=1000),"",INDEX(Rules!$C:$C,N2658))</f>
        <v/>
      </c>
      <c r="G2658" s="24"/>
      <c r="H2658" s="24"/>
      <c r="I2658" s="20" t="str">
        <f aca="false">IF(B2658="","",IF(G2658&lt;&gt;"",G2658,E2658))</f>
        <v/>
      </c>
      <c r="J2658" s="21" t="str">
        <f aca="false">IF(B2658="","",IF(H2658&lt;&gt;"",H2658,F2658))</f>
        <v/>
      </c>
      <c r="K2658" s="26" t="str">
        <f aca="false">IF(A2658="","",DATE(YEAR(A2658),MONTH(A2658),1))</f>
        <v/>
      </c>
      <c r="L2658" s="21" t="str">
        <f aca="false">IF(J2658="",IF(B2658="","",IF(N(C2658)&gt;=0,"Income","Expense")),IFERROR(INDEX(Lists!$B$2:$B$30,MATCH(J2658,Lists!$A$2:$A$30,0)),""))</f>
        <v/>
      </c>
      <c r="M2658" s="24"/>
      <c r="N2658" s="27" t="str">
        <f aca="false">IF(B2658="","",IFERROR(1000-SUMPRODUCT(MAX(ISNUMBER(SEARCH(Rules!$A$5:$A$204,B2658))*(Rules!$A$5:$A$204&lt;&gt;"")*(1000-ROW(Rules!$A$5:$A$204)))),""))</f>
        <v/>
      </c>
    </row>
    <row r="2659" customFormat="false" ht="15" hidden="false" customHeight="false" outlineLevel="0" collapsed="false">
      <c r="A2659" s="23"/>
      <c r="B2659" s="24"/>
      <c r="C2659" s="25"/>
      <c r="D2659" s="24"/>
      <c r="E2659" s="21" t="str">
        <f aca="false">IF(OR(B2659="",N(N2659)=0,N2659=1000),IF(B2659="","","Check"),INDEX(Rules!$B:$B,N2659))</f>
        <v/>
      </c>
      <c r="F2659" s="21" t="str">
        <f aca="false">IF(OR(B2659="",N(N2659)=0,N2659=1000),"",INDEX(Rules!$C:$C,N2659))</f>
        <v/>
      </c>
      <c r="G2659" s="24"/>
      <c r="H2659" s="24"/>
      <c r="I2659" s="20" t="str">
        <f aca="false">IF(B2659="","",IF(G2659&lt;&gt;"",G2659,E2659))</f>
        <v/>
      </c>
      <c r="J2659" s="21" t="str">
        <f aca="false">IF(B2659="","",IF(H2659&lt;&gt;"",H2659,F2659))</f>
        <v/>
      </c>
      <c r="K2659" s="26" t="str">
        <f aca="false">IF(A2659="","",DATE(YEAR(A2659),MONTH(A2659),1))</f>
        <v/>
      </c>
      <c r="L2659" s="21" t="str">
        <f aca="false">IF(J2659="",IF(B2659="","",IF(N(C2659)&gt;=0,"Income","Expense")),IFERROR(INDEX(Lists!$B$2:$B$30,MATCH(J2659,Lists!$A$2:$A$30,0)),""))</f>
        <v/>
      </c>
      <c r="M2659" s="24"/>
      <c r="N2659" s="27" t="str">
        <f aca="false">IF(B2659="","",IFERROR(1000-SUMPRODUCT(MAX(ISNUMBER(SEARCH(Rules!$A$5:$A$204,B2659))*(Rules!$A$5:$A$204&lt;&gt;"")*(1000-ROW(Rules!$A$5:$A$204)))),""))</f>
        <v/>
      </c>
    </row>
    <row r="2660" customFormat="false" ht="15" hidden="false" customHeight="false" outlineLevel="0" collapsed="false">
      <c r="A2660" s="23"/>
      <c r="B2660" s="24"/>
      <c r="C2660" s="25"/>
      <c r="D2660" s="24"/>
      <c r="E2660" s="21" t="str">
        <f aca="false">IF(OR(B2660="",N(N2660)=0,N2660=1000),IF(B2660="","","Check"),INDEX(Rules!$B:$B,N2660))</f>
        <v/>
      </c>
      <c r="F2660" s="21" t="str">
        <f aca="false">IF(OR(B2660="",N(N2660)=0,N2660=1000),"",INDEX(Rules!$C:$C,N2660))</f>
        <v/>
      </c>
      <c r="G2660" s="24"/>
      <c r="H2660" s="24"/>
      <c r="I2660" s="20" t="str">
        <f aca="false">IF(B2660="","",IF(G2660&lt;&gt;"",G2660,E2660))</f>
        <v/>
      </c>
      <c r="J2660" s="21" t="str">
        <f aca="false">IF(B2660="","",IF(H2660&lt;&gt;"",H2660,F2660))</f>
        <v/>
      </c>
      <c r="K2660" s="26" t="str">
        <f aca="false">IF(A2660="","",DATE(YEAR(A2660),MONTH(A2660),1))</f>
        <v/>
      </c>
      <c r="L2660" s="21" t="str">
        <f aca="false">IF(J2660="",IF(B2660="","",IF(N(C2660)&gt;=0,"Income","Expense")),IFERROR(INDEX(Lists!$B$2:$B$30,MATCH(J2660,Lists!$A$2:$A$30,0)),""))</f>
        <v/>
      </c>
      <c r="M2660" s="24"/>
      <c r="N2660" s="27" t="str">
        <f aca="false">IF(B2660="","",IFERROR(1000-SUMPRODUCT(MAX(ISNUMBER(SEARCH(Rules!$A$5:$A$204,B2660))*(Rules!$A$5:$A$204&lt;&gt;"")*(1000-ROW(Rules!$A$5:$A$204)))),""))</f>
        <v/>
      </c>
    </row>
    <row r="2661" customFormat="false" ht="15" hidden="false" customHeight="false" outlineLevel="0" collapsed="false">
      <c r="A2661" s="23"/>
      <c r="B2661" s="24"/>
      <c r="C2661" s="25"/>
      <c r="D2661" s="24"/>
      <c r="E2661" s="21" t="str">
        <f aca="false">IF(OR(B2661="",N(N2661)=0,N2661=1000),IF(B2661="","","Check"),INDEX(Rules!$B:$B,N2661))</f>
        <v/>
      </c>
      <c r="F2661" s="21" t="str">
        <f aca="false">IF(OR(B2661="",N(N2661)=0,N2661=1000),"",INDEX(Rules!$C:$C,N2661))</f>
        <v/>
      </c>
      <c r="G2661" s="24"/>
      <c r="H2661" s="24"/>
      <c r="I2661" s="20" t="str">
        <f aca="false">IF(B2661="","",IF(G2661&lt;&gt;"",G2661,E2661))</f>
        <v/>
      </c>
      <c r="J2661" s="21" t="str">
        <f aca="false">IF(B2661="","",IF(H2661&lt;&gt;"",H2661,F2661))</f>
        <v/>
      </c>
      <c r="K2661" s="26" t="str">
        <f aca="false">IF(A2661="","",DATE(YEAR(A2661),MONTH(A2661),1))</f>
        <v/>
      </c>
      <c r="L2661" s="21" t="str">
        <f aca="false">IF(J2661="",IF(B2661="","",IF(N(C2661)&gt;=0,"Income","Expense")),IFERROR(INDEX(Lists!$B$2:$B$30,MATCH(J2661,Lists!$A$2:$A$30,0)),""))</f>
        <v/>
      </c>
      <c r="M2661" s="24"/>
      <c r="N2661" s="27" t="str">
        <f aca="false">IF(B2661="","",IFERROR(1000-SUMPRODUCT(MAX(ISNUMBER(SEARCH(Rules!$A$5:$A$204,B2661))*(Rules!$A$5:$A$204&lt;&gt;"")*(1000-ROW(Rules!$A$5:$A$204)))),""))</f>
        <v/>
      </c>
    </row>
    <row r="2662" customFormat="false" ht="15" hidden="false" customHeight="false" outlineLevel="0" collapsed="false">
      <c r="A2662" s="23"/>
      <c r="B2662" s="24"/>
      <c r="C2662" s="25"/>
      <c r="D2662" s="24"/>
      <c r="E2662" s="21" t="str">
        <f aca="false">IF(OR(B2662="",N(N2662)=0,N2662=1000),IF(B2662="","","Check"),INDEX(Rules!$B:$B,N2662))</f>
        <v/>
      </c>
      <c r="F2662" s="21" t="str">
        <f aca="false">IF(OR(B2662="",N(N2662)=0,N2662=1000),"",INDEX(Rules!$C:$C,N2662))</f>
        <v/>
      </c>
      <c r="G2662" s="24"/>
      <c r="H2662" s="24"/>
      <c r="I2662" s="20" t="str">
        <f aca="false">IF(B2662="","",IF(G2662&lt;&gt;"",G2662,E2662))</f>
        <v/>
      </c>
      <c r="J2662" s="21" t="str">
        <f aca="false">IF(B2662="","",IF(H2662&lt;&gt;"",H2662,F2662))</f>
        <v/>
      </c>
      <c r="K2662" s="26" t="str">
        <f aca="false">IF(A2662="","",DATE(YEAR(A2662),MONTH(A2662),1))</f>
        <v/>
      </c>
      <c r="L2662" s="21" t="str">
        <f aca="false">IF(J2662="",IF(B2662="","",IF(N(C2662)&gt;=0,"Income","Expense")),IFERROR(INDEX(Lists!$B$2:$B$30,MATCH(J2662,Lists!$A$2:$A$30,0)),""))</f>
        <v/>
      </c>
      <c r="M2662" s="24"/>
      <c r="N2662" s="27" t="str">
        <f aca="false">IF(B2662="","",IFERROR(1000-SUMPRODUCT(MAX(ISNUMBER(SEARCH(Rules!$A$5:$A$204,B2662))*(Rules!$A$5:$A$204&lt;&gt;"")*(1000-ROW(Rules!$A$5:$A$204)))),""))</f>
        <v/>
      </c>
    </row>
    <row r="2663" customFormat="false" ht="15" hidden="false" customHeight="false" outlineLevel="0" collapsed="false">
      <c r="A2663" s="23"/>
      <c r="B2663" s="24"/>
      <c r="C2663" s="25"/>
      <c r="D2663" s="24"/>
      <c r="E2663" s="21" t="str">
        <f aca="false">IF(OR(B2663="",N(N2663)=0,N2663=1000),IF(B2663="","","Check"),INDEX(Rules!$B:$B,N2663))</f>
        <v/>
      </c>
      <c r="F2663" s="21" t="str">
        <f aca="false">IF(OR(B2663="",N(N2663)=0,N2663=1000),"",INDEX(Rules!$C:$C,N2663))</f>
        <v/>
      </c>
      <c r="G2663" s="24"/>
      <c r="H2663" s="24"/>
      <c r="I2663" s="20" t="str">
        <f aca="false">IF(B2663="","",IF(G2663&lt;&gt;"",G2663,E2663))</f>
        <v/>
      </c>
      <c r="J2663" s="21" t="str">
        <f aca="false">IF(B2663="","",IF(H2663&lt;&gt;"",H2663,F2663))</f>
        <v/>
      </c>
      <c r="K2663" s="26" t="str">
        <f aca="false">IF(A2663="","",DATE(YEAR(A2663),MONTH(A2663),1))</f>
        <v/>
      </c>
      <c r="L2663" s="21" t="str">
        <f aca="false">IF(J2663="",IF(B2663="","",IF(N(C2663)&gt;=0,"Income","Expense")),IFERROR(INDEX(Lists!$B$2:$B$30,MATCH(J2663,Lists!$A$2:$A$30,0)),""))</f>
        <v/>
      </c>
      <c r="M2663" s="24"/>
      <c r="N2663" s="27" t="str">
        <f aca="false">IF(B2663="","",IFERROR(1000-SUMPRODUCT(MAX(ISNUMBER(SEARCH(Rules!$A$5:$A$204,B2663))*(Rules!$A$5:$A$204&lt;&gt;"")*(1000-ROW(Rules!$A$5:$A$204)))),""))</f>
        <v/>
      </c>
    </row>
    <row r="2664" customFormat="false" ht="15" hidden="false" customHeight="false" outlineLevel="0" collapsed="false">
      <c r="A2664" s="23"/>
      <c r="B2664" s="24"/>
      <c r="C2664" s="25"/>
      <c r="D2664" s="24"/>
      <c r="E2664" s="21" t="str">
        <f aca="false">IF(OR(B2664="",N(N2664)=0,N2664=1000),IF(B2664="","","Check"),INDEX(Rules!$B:$B,N2664))</f>
        <v/>
      </c>
      <c r="F2664" s="21" t="str">
        <f aca="false">IF(OR(B2664="",N(N2664)=0,N2664=1000),"",INDEX(Rules!$C:$C,N2664))</f>
        <v/>
      </c>
      <c r="G2664" s="24"/>
      <c r="H2664" s="24"/>
      <c r="I2664" s="20" t="str">
        <f aca="false">IF(B2664="","",IF(G2664&lt;&gt;"",G2664,E2664))</f>
        <v/>
      </c>
      <c r="J2664" s="21" t="str">
        <f aca="false">IF(B2664="","",IF(H2664&lt;&gt;"",H2664,F2664))</f>
        <v/>
      </c>
      <c r="K2664" s="26" t="str">
        <f aca="false">IF(A2664="","",DATE(YEAR(A2664),MONTH(A2664),1))</f>
        <v/>
      </c>
      <c r="L2664" s="21" t="str">
        <f aca="false">IF(J2664="",IF(B2664="","",IF(N(C2664)&gt;=0,"Income","Expense")),IFERROR(INDEX(Lists!$B$2:$B$30,MATCH(J2664,Lists!$A$2:$A$30,0)),""))</f>
        <v/>
      </c>
      <c r="M2664" s="24"/>
      <c r="N2664" s="27" t="str">
        <f aca="false">IF(B2664="","",IFERROR(1000-SUMPRODUCT(MAX(ISNUMBER(SEARCH(Rules!$A$5:$A$204,B2664))*(Rules!$A$5:$A$204&lt;&gt;"")*(1000-ROW(Rules!$A$5:$A$204)))),""))</f>
        <v/>
      </c>
    </row>
    <row r="2665" customFormat="false" ht="15" hidden="false" customHeight="false" outlineLevel="0" collapsed="false">
      <c r="A2665" s="23"/>
      <c r="B2665" s="24"/>
      <c r="C2665" s="25"/>
      <c r="D2665" s="24"/>
      <c r="E2665" s="21" t="str">
        <f aca="false">IF(OR(B2665="",N(N2665)=0,N2665=1000),IF(B2665="","","Check"),INDEX(Rules!$B:$B,N2665))</f>
        <v/>
      </c>
      <c r="F2665" s="21" t="str">
        <f aca="false">IF(OR(B2665="",N(N2665)=0,N2665=1000),"",INDEX(Rules!$C:$C,N2665))</f>
        <v/>
      </c>
      <c r="G2665" s="24"/>
      <c r="H2665" s="24"/>
      <c r="I2665" s="20" t="str">
        <f aca="false">IF(B2665="","",IF(G2665&lt;&gt;"",G2665,E2665))</f>
        <v/>
      </c>
      <c r="J2665" s="21" t="str">
        <f aca="false">IF(B2665="","",IF(H2665&lt;&gt;"",H2665,F2665))</f>
        <v/>
      </c>
      <c r="K2665" s="26" t="str">
        <f aca="false">IF(A2665="","",DATE(YEAR(A2665),MONTH(A2665),1))</f>
        <v/>
      </c>
      <c r="L2665" s="21" t="str">
        <f aca="false">IF(J2665="",IF(B2665="","",IF(N(C2665)&gt;=0,"Income","Expense")),IFERROR(INDEX(Lists!$B$2:$B$30,MATCH(J2665,Lists!$A$2:$A$30,0)),""))</f>
        <v/>
      </c>
      <c r="M2665" s="24"/>
      <c r="N2665" s="27" t="str">
        <f aca="false">IF(B2665="","",IFERROR(1000-SUMPRODUCT(MAX(ISNUMBER(SEARCH(Rules!$A$5:$A$204,B2665))*(Rules!$A$5:$A$204&lt;&gt;"")*(1000-ROW(Rules!$A$5:$A$204)))),""))</f>
        <v/>
      </c>
    </row>
    <row r="2666" customFormat="false" ht="15" hidden="false" customHeight="false" outlineLevel="0" collapsed="false">
      <c r="A2666" s="23"/>
      <c r="B2666" s="24"/>
      <c r="C2666" s="25"/>
      <c r="D2666" s="24"/>
      <c r="E2666" s="21" t="str">
        <f aca="false">IF(OR(B2666="",N(N2666)=0,N2666=1000),IF(B2666="","","Check"),INDEX(Rules!$B:$B,N2666))</f>
        <v/>
      </c>
      <c r="F2666" s="21" t="str">
        <f aca="false">IF(OR(B2666="",N(N2666)=0,N2666=1000),"",INDEX(Rules!$C:$C,N2666))</f>
        <v/>
      </c>
      <c r="G2666" s="24"/>
      <c r="H2666" s="24"/>
      <c r="I2666" s="20" t="str">
        <f aca="false">IF(B2666="","",IF(G2666&lt;&gt;"",G2666,E2666))</f>
        <v/>
      </c>
      <c r="J2666" s="21" t="str">
        <f aca="false">IF(B2666="","",IF(H2666&lt;&gt;"",H2666,F2666))</f>
        <v/>
      </c>
      <c r="K2666" s="26" t="str">
        <f aca="false">IF(A2666="","",DATE(YEAR(A2666),MONTH(A2666),1))</f>
        <v/>
      </c>
      <c r="L2666" s="21" t="str">
        <f aca="false">IF(J2666="",IF(B2666="","",IF(N(C2666)&gt;=0,"Income","Expense")),IFERROR(INDEX(Lists!$B$2:$B$30,MATCH(J2666,Lists!$A$2:$A$30,0)),""))</f>
        <v/>
      </c>
      <c r="M2666" s="24"/>
      <c r="N2666" s="27" t="str">
        <f aca="false">IF(B2666="","",IFERROR(1000-SUMPRODUCT(MAX(ISNUMBER(SEARCH(Rules!$A$5:$A$204,B2666))*(Rules!$A$5:$A$204&lt;&gt;"")*(1000-ROW(Rules!$A$5:$A$204)))),""))</f>
        <v/>
      </c>
    </row>
    <row r="2667" customFormat="false" ht="15" hidden="false" customHeight="false" outlineLevel="0" collapsed="false">
      <c r="A2667" s="23"/>
      <c r="B2667" s="24"/>
      <c r="C2667" s="25"/>
      <c r="D2667" s="24"/>
      <c r="E2667" s="21" t="str">
        <f aca="false">IF(OR(B2667="",N(N2667)=0,N2667=1000),IF(B2667="","","Check"),INDEX(Rules!$B:$B,N2667))</f>
        <v/>
      </c>
      <c r="F2667" s="21" t="str">
        <f aca="false">IF(OR(B2667="",N(N2667)=0,N2667=1000),"",INDEX(Rules!$C:$C,N2667))</f>
        <v/>
      </c>
      <c r="G2667" s="24"/>
      <c r="H2667" s="24"/>
      <c r="I2667" s="20" t="str">
        <f aca="false">IF(B2667="","",IF(G2667&lt;&gt;"",G2667,E2667))</f>
        <v/>
      </c>
      <c r="J2667" s="21" t="str">
        <f aca="false">IF(B2667="","",IF(H2667&lt;&gt;"",H2667,F2667))</f>
        <v/>
      </c>
      <c r="K2667" s="26" t="str">
        <f aca="false">IF(A2667="","",DATE(YEAR(A2667),MONTH(A2667),1))</f>
        <v/>
      </c>
      <c r="L2667" s="21" t="str">
        <f aca="false">IF(J2667="",IF(B2667="","",IF(N(C2667)&gt;=0,"Income","Expense")),IFERROR(INDEX(Lists!$B$2:$B$30,MATCH(J2667,Lists!$A$2:$A$30,0)),""))</f>
        <v/>
      </c>
      <c r="M2667" s="24"/>
      <c r="N2667" s="27" t="str">
        <f aca="false">IF(B2667="","",IFERROR(1000-SUMPRODUCT(MAX(ISNUMBER(SEARCH(Rules!$A$5:$A$204,B2667))*(Rules!$A$5:$A$204&lt;&gt;"")*(1000-ROW(Rules!$A$5:$A$204)))),""))</f>
        <v/>
      </c>
    </row>
    <row r="2668" customFormat="false" ht="15" hidden="false" customHeight="false" outlineLevel="0" collapsed="false">
      <c r="A2668" s="23"/>
      <c r="B2668" s="24"/>
      <c r="C2668" s="25"/>
      <c r="D2668" s="24"/>
      <c r="E2668" s="21" t="str">
        <f aca="false">IF(OR(B2668="",N(N2668)=0,N2668=1000),IF(B2668="","","Check"),INDEX(Rules!$B:$B,N2668))</f>
        <v/>
      </c>
      <c r="F2668" s="21" t="str">
        <f aca="false">IF(OR(B2668="",N(N2668)=0,N2668=1000),"",INDEX(Rules!$C:$C,N2668))</f>
        <v/>
      </c>
      <c r="G2668" s="24"/>
      <c r="H2668" s="24"/>
      <c r="I2668" s="20" t="str">
        <f aca="false">IF(B2668="","",IF(G2668&lt;&gt;"",G2668,E2668))</f>
        <v/>
      </c>
      <c r="J2668" s="21" t="str">
        <f aca="false">IF(B2668="","",IF(H2668&lt;&gt;"",H2668,F2668))</f>
        <v/>
      </c>
      <c r="K2668" s="26" t="str">
        <f aca="false">IF(A2668="","",DATE(YEAR(A2668),MONTH(A2668),1))</f>
        <v/>
      </c>
      <c r="L2668" s="21" t="str">
        <f aca="false">IF(J2668="",IF(B2668="","",IF(N(C2668)&gt;=0,"Income","Expense")),IFERROR(INDEX(Lists!$B$2:$B$30,MATCH(J2668,Lists!$A$2:$A$30,0)),""))</f>
        <v/>
      </c>
      <c r="M2668" s="24"/>
      <c r="N2668" s="27" t="str">
        <f aca="false">IF(B2668="","",IFERROR(1000-SUMPRODUCT(MAX(ISNUMBER(SEARCH(Rules!$A$5:$A$204,B2668))*(Rules!$A$5:$A$204&lt;&gt;"")*(1000-ROW(Rules!$A$5:$A$204)))),""))</f>
        <v/>
      </c>
    </row>
    <row r="2669" customFormat="false" ht="15" hidden="false" customHeight="false" outlineLevel="0" collapsed="false">
      <c r="A2669" s="23"/>
      <c r="B2669" s="24"/>
      <c r="C2669" s="25"/>
      <c r="D2669" s="24"/>
      <c r="E2669" s="21" t="str">
        <f aca="false">IF(OR(B2669="",N(N2669)=0,N2669=1000),IF(B2669="","","Check"),INDEX(Rules!$B:$B,N2669))</f>
        <v/>
      </c>
      <c r="F2669" s="21" t="str">
        <f aca="false">IF(OR(B2669="",N(N2669)=0,N2669=1000),"",INDEX(Rules!$C:$C,N2669))</f>
        <v/>
      </c>
      <c r="G2669" s="24"/>
      <c r="H2669" s="24"/>
      <c r="I2669" s="20" t="str">
        <f aca="false">IF(B2669="","",IF(G2669&lt;&gt;"",G2669,E2669))</f>
        <v/>
      </c>
      <c r="J2669" s="21" t="str">
        <f aca="false">IF(B2669="","",IF(H2669&lt;&gt;"",H2669,F2669))</f>
        <v/>
      </c>
      <c r="K2669" s="26" t="str">
        <f aca="false">IF(A2669="","",DATE(YEAR(A2669),MONTH(A2669),1))</f>
        <v/>
      </c>
      <c r="L2669" s="21" t="str">
        <f aca="false">IF(J2669="",IF(B2669="","",IF(N(C2669)&gt;=0,"Income","Expense")),IFERROR(INDEX(Lists!$B$2:$B$30,MATCH(J2669,Lists!$A$2:$A$30,0)),""))</f>
        <v/>
      </c>
      <c r="M2669" s="24"/>
      <c r="N2669" s="27" t="str">
        <f aca="false">IF(B2669="","",IFERROR(1000-SUMPRODUCT(MAX(ISNUMBER(SEARCH(Rules!$A$5:$A$204,B2669))*(Rules!$A$5:$A$204&lt;&gt;"")*(1000-ROW(Rules!$A$5:$A$204)))),""))</f>
        <v/>
      </c>
    </row>
    <row r="2670" customFormat="false" ht="15" hidden="false" customHeight="false" outlineLevel="0" collapsed="false">
      <c r="A2670" s="23"/>
      <c r="B2670" s="24"/>
      <c r="C2670" s="25"/>
      <c r="D2670" s="24"/>
      <c r="E2670" s="21" t="str">
        <f aca="false">IF(OR(B2670="",N(N2670)=0,N2670=1000),IF(B2670="","","Check"),INDEX(Rules!$B:$B,N2670))</f>
        <v/>
      </c>
      <c r="F2670" s="21" t="str">
        <f aca="false">IF(OR(B2670="",N(N2670)=0,N2670=1000),"",INDEX(Rules!$C:$C,N2670))</f>
        <v/>
      </c>
      <c r="G2670" s="24"/>
      <c r="H2670" s="24"/>
      <c r="I2670" s="20" t="str">
        <f aca="false">IF(B2670="","",IF(G2670&lt;&gt;"",G2670,E2670))</f>
        <v/>
      </c>
      <c r="J2670" s="21" t="str">
        <f aca="false">IF(B2670="","",IF(H2670&lt;&gt;"",H2670,F2670))</f>
        <v/>
      </c>
      <c r="K2670" s="26" t="str">
        <f aca="false">IF(A2670="","",DATE(YEAR(A2670),MONTH(A2670),1))</f>
        <v/>
      </c>
      <c r="L2670" s="21" t="str">
        <f aca="false">IF(J2670="",IF(B2670="","",IF(N(C2670)&gt;=0,"Income","Expense")),IFERROR(INDEX(Lists!$B$2:$B$30,MATCH(J2670,Lists!$A$2:$A$30,0)),""))</f>
        <v/>
      </c>
      <c r="M2670" s="24"/>
      <c r="N2670" s="27" t="str">
        <f aca="false">IF(B2670="","",IFERROR(1000-SUMPRODUCT(MAX(ISNUMBER(SEARCH(Rules!$A$5:$A$204,B2670))*(Rules!$A$5:$A$204&lt;&gt;"")*(1000-ROW(Rules!$A$5:$A$204)))),""))</f>
        <v/>
      </c>
    </row>
    <row r="2671" customFormat="false" ht="15" hidden="false" customHeight="false" outlineLevel="0" collapsed="false">
      <c r="A2671" s="23"/>
      <c r="B2671" s="24"/>
      <c r="C2671" s="25"/>
      <c r="D2671" s="24"/>
      <c r="E2671" s="21" t="str">
        <f aca="false">IF(OR(B2671="",N(N2671)=0,N2671=1000),IF(B2671="","","Check"),INDEX(Rules!$B:$B,N2671))</f>
        <v/>
      </c>
      <c r="F2671" s="21" t="str">
        <f aca="false">IF(OR(B2671="",N(N2671)=0,N2671=1000),"",INDEX(Rules!$C:$C,N2671))</f>
        <v/>
      </c>
      <c r="G2671" s="24"/>
      <c r="H2671" s="24"/>
      <c r="I2671" s="20" t="str">
        <f aca="false">IF(B2671="","",IF(G2671&lt;&gt;"",G2671,E2671))</f>
        <v/>
      </c>
      <c r="J2671" s="21" t="str">
        <f aca="false">IF(B2671="","",IF(H2671&lt;&gt;"",H2671,F2671))</f>
        <v/>
      </c>
      <c r="K2671" s="26" t="str">
        <f aca="false">IF(A2671="","",DATE(YEAR(A2671),MONTH(A2671),1))</f>
        <v/>
      </c>
      <c r="L2671" s="21" t="str">
        <f aca="false">IF(J2671="",IF(B2671="","",IF(N(C2671)&gt;=0,"Income","Expense")),IFERROR(INDEX(Lists!$B$2:$B$30,MATCH(J2671,Lists!$A$2:$A$30,0)),""))</f>
        <v/>
      </c>
      <c r="M2671" s="24"/>
      <c r="N2671" s="27" t="str">
        <f aca="false">IF(B2671="","",IFERROR(1000-SUMPRODUCT(MAX(ISNUMBER(SEARCH(Rules!$A$5:$A$204,B2671))*(Rules!$A$5:$A$204&lt;&gt;"")*(1000-ROW(Rules!$A$5:$A$204)))),""))</f>
        <v/>
      </c>
    </row>
    <row r="2672" customFormat="false" ht="15" hidden="false" customHeight="false" outlineLevel="0" collapsed="false">
      <c r="A2672" s="23"/>
      <c r="B2672" s="24"/>
      <c r="C2672" s="25"/>
      <c r="D2672" s="24"/>
      <c r="E2672" s="21" t="str">
        <f aca="false">IF(OR(B2672="",N(N2672)=0,N2672=1000),IF(B2672="","","Check"),INDEX(Rules!$B:$B,N2672))</f>
        <v/>
      </c>
      <c r="F2672" s="21" t="str">
        <f aca="false">IF(OR(B2672="",N(N2672)=0,N2672=1000),"",INDEX(Rules!$C:$C,N2672))</f>
        <v/>
      </c>
      <c r="G2672" s="24"/>
      <c r="H2672" s="24"/>
      <c r="I2672" s="20" t="str">
        <f aca="false">IF(B2672="","",IF(G2672&lt;&gt;"",G2672,E2672))</f>
        <v/>
      </c>
      <c r="J2672" s="21" t="str">
        <f aca="false">IF(B2672="","",IF(H2672&lt;&gt;"",H2672,F2672))</f>
        <v/>
      </c>
      <c r="K2672" s="26" t="str">
        <f aca="false">IF(A2672="","",DATE(YEAR(A2672),MONTH(A2672),1))</f>
        <v/>
      </c>
      <c r="L2672" s="21" t="str">
        <f aca="false">IF(J2672="",IF(B2672="","",IF(N(C2672)&gt;=0,"Income","Expense")),IFERROR(INDEX(Lists!$B$2:$B$30,MATCH(J2672,Lists!$A$2:$A$30,0)),""))</f>
        <v/>
      </c>
      <c r="M2672" s="24"/>
      <c r="N2672" s="27" t="str">
        <f aca="false">IF(B2672="","",IFERROR(1000-SUMPRODUCT(MAX(ISNUMBER(SEARCH(Rules!$A$5:$A$204,B2672))*(Rules!$A$5:$A$204&lt;&gt;"")*(1000-ROW(Rules!$A$5:$A$204)))),""))</f>
        <v/>
      </c>
    </row>
    <row r="2673" customFormat="false" ht="15" hidden="false" customHeight="false" outlineLevel="0" collapsed="false">
      <c r="A2673" s="23"/>
      <c r="B2673" s="24"/>
      <c r="C2673" s="25"/>
      <c r="D2673" s="24"/>
      <c r="E2673" s="21" t="str">
        <f aca="false">IF(OR(B2673="",N(N2673)=0,N2673=1000),IF(B2673="","","Check"),INDEX(Rules!$B:$B,N2673))</f>
        <v/>
      </c>
      <c r="F2673" s="21" t="str">
        <f aca="false">IF(OR(B2673="",N(N2673)=0,N2673=1000),"",INDEX(Rules!$C:$C,N2673))</f>
        <v/>
      </c>
      <c r="G2673" s="24"/>
      <c r="H2673" s="24"/>
      <c r="I2673" s="20" t="str">
        <f aca="false">IF(B2673="","",IF(G2673&lt;&gt;"",G2673,E2673))</f>
        <v/>
      </c>
      <c r="J2673" s="21" t="str">
        <f aca="false">IF(B2673="","",IF(H2673&lt;&gt;"",H2673,F2673))</f>
        <v/>
      </c>
      <c r="K2673" s="26" t="str">
        <f aca="false">IF(A2673="","",DATE(YEAR(A2673),MONTH(A2673),1))</f>
        <v/>
      </c>
      <c r="L2673" s="21" t="str">
        <f aca="false">IF(J2673="",IF(B2673="","",IF(N(C2673)&gt;=0,"Income","Expense")),IFERROR(INDEX(Lists!$B$2:$B$30,MATCH(J2673,Lists!$A$2:$A$30,0)),""))</f>
        <v/>
      </c>
      <c r="M2673" s="24"/>
      <c r="N2673" s="27" t="str">
        <f aca="false">IF(B2673="","",IFERROR(1000-SUMPRODUCT(MAX(ISNUMBER(SEARCH(Rules!$A$5:$A$204,B2673))*(Rules!$A$5:$A$204&lt;&gt;"")*(1000-ROW(Rules!$A$5:$A$204)))),""))</f>
        <v/>
      </c>
    </row>
    <row r="2674" customFormat="false" ht="15" hidden="false" customHeight="false" outlineLevel="0" collapsed="false">
      <c r="A2674" s="23"/>
      <c r="B2674" s="24"/>
      <c r="C2674" s="25"/>
      <c r="D2674" s="24"/>
      <c r="E2674" s="21" t="str">
        <f aca="false">IF(OR(B2674="",N(N2674)=0,N2674=1000),IF(B2674="","","Check"),INDEX(Rules!$B:$B,N2674))</f>
        <v/>
      </c>
      <c r="F2674" s="21" t="str">
        <f aca="false">IF(OR(B2674="",N(N2674)=0,N2674=1000),"",INDEX(Rules!$C:$C,N2674))</f>
        <v/>
      </c>
      <c r="G2674" s="24"/>
      <c r="H2674" s="24"/>
      <c r="I2674" s="20" t="str">
        <f aca="false">IF(B2674="","",IF(G2674&lt;&gt;"",G2674,E2674))</f>
        <v/>
      </c>
      <c r="J2674" s="21" t="str">
        <f aca="false">IF(B2674="","",IF(H2674&lt;&gt;"",H2674,F2674))</f>
        <v/>
      </c>
      <c r="K2674" s="26" t="str">
        <f aca="false">IF(A2674="","",DATE(YEAR(A2674),MONTH(A2674),1))</f>
        <v/>
      </c>
      <c r="L2674" s="21" t="str">
        <f aca="false">IF(J2674="",IF(B2674="","",IF(N(C2674)&gt;=0,"Income","Expense")),IFERROR(INDEX(Lists!$B$2:$B$30,MATCH(J2674,Lists!$A$2:$A$30,0)),""))</f>
        <v/>
      </c>
      <c r="M2674" s="24"/>
      <c r="N2674" s="27" t="str">
        <f aca="false">IF(B2674="","",IFERROR(1000-SUMPRODUCT(MAX(ISNUMBER(SEARCH(Rules!$A$5:$A$204,B2674))*(Rules!$A$5:$A$204&lt;&gt;"")*(1000-ROW(Rules!$A$5:$A$204)))),""))</f>
        <v/>
      </c>
    </row>
    <row r="2675" customFormat="false" ht="15" hidden="false" customHeight="false" outlineLevel="0" collapsed="false">
      <c r="A2675" s="23"/>
      <c r="B2675" s="24"/>
      <c r="C2675" s="25"/>
      <c r="D2675" s="24"/>
      <c r="E2675" s="21" t="str">
        <f aca="false">IF(OR(B2675="",N(N2675)=0,N2675=1000),IF(B2675="","","Check"),INDEX(Rules!$B:$B,N2675))</f>
        <v/>
      </c>
      <c r="F2675" s="21" t="str">
        <f aca="false">IF(OR(B2675="",N(N2675)=0,N2675=1000),"",INDEX(Rules!$C:$C,N2675))</f>
        <v/>
      </c>
      <c r="G2675" s="24"/>
      <c r="H2675" s="24"/>
      <c r="I2675" s="20" t="str">
        <f aca="false">IF(B2675="","",IF(G2675&lt;&gt;"",G2675,E2675))</f>
        <v/>
      </c>
      <c r="J2675" s="21" t="str">
        <f aca="false">IF(B2675="","",IF(H2675&lt;&gt;"",H2675,F2675))</f>
        <v/>
      </c>
      <c r="K2675" s="26" t="str">
        <f aca="false">IF(A2675="","",DATE(YEAR(A2675),MONTH(A2675),1))</f>
        <v/>
      </c>
      <c r="L2675" s="21" t="str">
        <f aca="false">IF(J2675="",IF(B2675="","",IF(N(C2675)&gt;=0,"Income","Expense")),IFERROR(INDEX(Lists!$B$2:$B$30,MATCH(J2675,Lists!$A$2:$A$30,0)),""))</f>
        <v/>
      </c>
      <c r="M2675" s="24"/>
      <c r="N2675" s="27" t="str">
        <f aca="false">IF(B2675="","",IFERROR(1000-SUMPRODUCT(MAX(ISNUMBER(SEARCH(Rules!$A$5:$A$204,B2675))*(Rules!$A$5:$A$204&lt;&gt;"")*(1000-ROW(Rules!$A$5:$A$204)))),""))</f>
        <v/>
      </c>
    </row>
    <row r="2676" customFormat="false" ht="15" hidden="false" customHeight="false" outlineLevel="0" collapsed="false">
      <c r="A2676" s="23"/>
      <c r="B2676" s="24"/>
      <c r="C2676" s="25"/>
      <c r="D2676" s="24"/>
      <c r="E2676" s="21" t="str">
        <f aca="false">IF(OR(B2676="",N(N2676)=0,N2676=1000),IF(B2676="","","Check"),INDEX(Rules!$B:$B,N2676))</f>
        <v/>
      </c>
      <c r="F2676" s="21" t="str">
        <f aca="false">IF(OR(B2676="",N(N2676)=0,N2676=1000),"",INDEX(Rules!$C:$C,N2676))</f>
        <v/>
      </c>
      <c r="G2676" s="24"/>
      <c r="H2676" s="24"/>
      <c r="I2676" s="20" t="str">
        <f aca="false">IF(B2676="","",IF(G2676&lt;&gt;"",G2676,E2676))</f>
        <v/>
      </c>
      <c r="J2676" s="21" t="str">
        <f aca="false">IF(B2676="","",IF(H2676&lt;&gt;"",H2676,F2676))</f>
        <v/>
      </c>
      <c r="K2676" s="26" t="str">
        <f aca="false">IF(A2676="","",DATE(YEAR(A2676),MONTH(A2676),1))</f>
        <v/>
      </c>
      <c r="L2676" s="21" t="str">
        <f aca="false">IF(J2676="",IF(B2676="","",IF(N(C2676)&gt;=0,"Income","Expense")),IFERROR(INDEX(Lists!$B$2:$B$30,MATCH(J2676,Lists!$A$2:$A$30,0)),""))</f>
        <v/>
      </c>
      <c r="M2676" s="24"/>
      <c r="N2676" s="27" t="str">
        <f aca="false">IF(B2676="","",IFERROR(1000-SUMPRODUCT(MAX(ISNUMBER(SEARCH(Rules!$A$5:$A$204,B2676))*(Rules!$A$5:$A$204&lt;&gt;"")*(1000-ROW(Rules!$A$5:$A$204)))),""))</f>
        <v/>
      </c>
    </row>
    <row r="2677" customFormat="false" ht="15" hidden="false" customHeight="false" outlineLevel="0" collapsed="false">
      <c r="A2677" s="23"/>
      <c r="B2677" s="24"/>
      <c r="C2677" s="25"/>
      <c r="D2677" s="24"/>
      <c r="E2677" s="21" t="str">
        <f aca="false">IF(OR(B2677="",N(N2677)=0,N2677=1000),IF(B2677="","","Check"),INDEX(Rules!$B:$B,N2677))</f>
        <v/>
      </c>
      <c r="F2677" s="21" t="str">
        <f aca="false">IF(OR(B2677="",N(N2677)=0,N2677=1000),"",INDEX(Rules!$C:$C,N2677))</f>
        <v/>
      </c>
      <c r="G2677" s="24"/>
      <c r="H2677" s="24"/>
      <c r="I2677" s="20" t="str">
        <f aca="false">IF(B2677="","",IF(G2677&lt;&gt;"",G2677,E2677))</f>
        <v/>
      </c>
      <c r="J2677" s="21" t="str">
        <f aca="false">IF(B2677="","",IF(H2677&lt;&gt;"",H2677,F2677))</f>
        <v/>
      </c>
      <c r="K2677" s="26" t="str">
        <f aca="false">IF(A2677="","",DATE(YEAR(A2677),MONTH(A2677),1))</f>
        <v/>
      </c>
      <c r="L2677" s="21" t="str">
        <f aca="false">IF(J2677="",IF(B2677="","",IF(N(C2677)&gt;=0,"Income","Expense")),IFERROR(INDEX(Lists!$B$2:$B$30,MATCH(J2677,Lists!$A$2:$A$30,0)),""))</f>
        <v/>
      </c>
      <c r="M2677" s="24"/>
      <c r="N2677" s="27" t="str">
        <f aca="false">IF(B2677="","",IFERROR(1000-SUMPRODUCT(MAX(ISNUMBER(SEARCH(Rules!$A$5:$A$204,B2677))*(Rules!$A$5:$A$204&lt;&gt;"")*(1000-ROW(Rules!$A$5:$A$204)))),""))</f>
        <v/>
      </c>
    </row>
    <row r="2678" customFormat="false" ht="15" hidden="false" customHeight="false" outlineLevel="0" collapsed="false">
      <c r="A2678" s="23"/>
      <c r="B2678" s="24"/>
      <c r="C2678" s="25"/>
      <c r="D2678" s="24"/>
      <c r="E2678" s="21" t="str">
        <f aca="false">IF(OR(B2678="",N(N2678)=0,N2678=1000),IF(B2678="","","Check"),INDEX(Rules!$B:$B,N2678))</f>
        <v/>
      </c>
      <c r="F2678" s="21" t="str">
        <f aca="false">IF(OR(B2678="",N(N2678)=0,N2678=1000),"",INDEX(Rules!$C:$C,N2678))</f>
        <v/>
      </c>
      <c r="G2678" s="24"/>
      <c r="H2678" s="24"/>
      <c r="I2678" s="20" t="str">
        <f aca="false">IF(B2678="","",IF(G2678&lt;&gt;"",G2678,E2678))</f>
        <v/>
      </c>
      <c r="J2678" s="21" t="str">
        <f aca="false">IF(B2678="","",IF(H2678&lt;&gt;"",H2678,F2678))</f>
        <v/>
      </c>
      <c r="K2678" s="26" t="str">
        <f aca="false">IF(A2678="","",DATE(YEAR(A2678),MONTH(A2678),1))</f>
        <v/>
      </c>
      <c r="L2678" s="21" t="str">
        <f aca="false">IF(J2678="",IF(B2678="","",IF(N(C2678)&gt;=0,"Income","Expense")),IFERROR(INDEX(Lists!$B$2:$B$30,MATCH(J2678,Lists!$A$2:$A$30,0)),""))</f>
        <v/>
      </c>
      <c r="M2678" s="24"/>
      <c r="N2678" s="27" t="str">
        <f aca="false">IF(B2678="","",IFERROR(1000-SUMPRODUCT(MAX(ISNUMBER(SEARCH(Rules!$A$5:$A$204,B2678))*(Rules!$A$5:$A$204&lt;&gt;"")*(1000-ROW(Rules!$A$5:$A$204)))),""))</f>
        <v/>
      </c>
    </row>
    <row r="2679" customFormat="false" ht="15" hidden="false" customHeight="false" outlineLevel="0" collapsed="false">
      <c r="A2679" s="23"/>
      <c r="B2679" s="24"/>
      <c r="C2679" s="25"/>
      <c r="D2679" s="24"/>
      <c r="E2679" s="21" t="str">
        <f aca="false">IF(OR(B2679="",N(N2679)=0,N2679=1000),IF(B2679="","","Check"),INDEX(Rules!$B:$B,N2679))</f>
        <v/>
      </c>
      <c r="F2679" s="21" t="str">
        <f aca="false">IF(OR(B2679="",N(N2679)=0,N2679=1000),"",INDEX(Rules!$C:$C,N2679))</f>
        <v/>
      </c>
      <c r="G2679" s="24"/>
      <c r="H2679" s="24"/>
      <c r="I2679" s="20" t="str">
        <f aca="false">IF(B2679="","",IF(G2679&lt;&gt;"",G2679,E2679))</f>
        <v/>
      </c>
      <c r="J2679" s="21" t="str">
        <f aca="false">IF(B2679="","",IF(H2679&lt;&gt;"",H2679,F2679))</f>
        <v/>
      </c>
      <c r="K2679" s="26" t="str">
        <f aca="false">IF(A2679="","",DATE(YEAR(A2679),MONTH(A2679),1))</f>
        <v/>
      </c>
      <c r="L2679" s="21" t="str">
        <f aca="false">IF(J2679="",IF(B2679="","",IF(N(C2679)&gt;=0,"Income","Expense")),IFERROR(INDEX(Lists!$B$2:$B$30,MATCH(J2679,Lists!$A$2:$A$30,0)),""))</f>
        <v/>
      </c>
      <c r="M2679" s="24"/>
      <c r="N2679" s="27" t="str">
        <f aca="false">IF(B2679="","",IFERROR(1000-SUMPRODUCT(MAX(ISNUMBER(SEARCH(Rules!$A$5:$A$204,B2679))*(Rules!$A$5:$A$204&lt;&gt;"")*(1000-ROW(Rules!$A$5:$A$204)))),""))</f>
        <v/>
      </c>
    </row>
    <row r="2680" customFormat="false" ht="15" hidden="false" customHeight="false" outlineLevel="0" collapsed="false">
      <c r="A2680" s="23"/>
      <c r="B2680" s="24"/>
      <c r="C2680" s="25"/>
      <c r="D2680" s="24"/>
      <c r="E2680" s="21" t="str">
        <f aca="false">IF(OR(B2680="",N(N2680)=0,N2680=1000),IF(B2680="","","Check"),INDEX(Rules!$B:$B,N2680))</f>
        <v/>
      </c>
      <c r="F2680" s="21" t="str">
        <f aca="false">IF(OR(B2680="",N(N2680)=0,N2680=1000),"",INDEX(Rules!$C:$C,N2680))</f>
        <v/>
      </c>
      <c r="G2680" s="24"/>
      <c r="H2680" s="24"/>
      <c r="I2680" s="20" t="str">
        <f aca="false">IF(B2680="","",IF(G2680&lt;&gt;"",G2680,E2680))</f>
        <v/>
      </c>
      <c r="J2680" s="21" t="str">
        <f aca="false">IF(B2680="","",IF(H2680&lt;&gt;"",H2680,F2680))</f>
        <v/>
      </c>
      <c r="K2680" s="26" t="str">
        <f aca="false">IF(A2680="","",DATE(YEAR(A2680),MONTH(A2680),1))</f>
        <v/>
      </c>
      <c r="L2680" s="21" t="str">
        <f aca="false">IF(J2680="",IF(B2680="","",IF(N(C2680)&gt;=0,"Income","Expense")),IFERROR(INDEX(Lists!$B$2:$B$30,MATCH(J2680,Lists!$A$2:$A$30,0)),""))</f>
        <v/>
      </c>
      <c r="M2680" s="24"/>
      <c r="N2680" s="27" t="str">
        <f aca="false">IF(B2680="","",IFERROR(1000-SUMPRODUCT(MAX(ISNUMBER(SEARCH(Rules!$A$5:$A$204,B2680))*(Rules!$A$5:$A$204&lt;&gt;"")*(1000-ROW(Rules!$A$5:$A$204)))),""))</f>
        <v/>
      </c>
    </row>
    <row r="2681" customFormat="false" ht="15" hidden="false" customHeight="false" outlineLevel="0" collapsed="false">
      <c r="A2681" s="23"/>
      <c r="B2681" s="24"/>
      <c r="C2681" s="25"/>
      <c r="D2681" s="24"/>
      <c r="E2681" s="21" t="str">
        <f aca="false">IF(OR(B2681="",N(N2681)=0,N2681=1000),IF(B2681="","","Check"),INDEX(Rules!$B:$B,N2681))</f>
        <v/>
      </c>
      <c r="F2681" s="21" t="str">
        <f aca="false">IF(OR(B2681="",N(N2681)=0,N2681=1000),"",INDEX(Rules!$C:$C,N2681))</f>
        <v/>
      </c>
      <c r="G2681" s="24"/>
      <c r="H2681" s="24"/>
      <c r="I2681" s="20" t="str">
        <f aca="false">IF(B2681="","",IF(G2681&lt;&gt;"",G2681,E2681))</f>
        <v/>
      </c>
      <c r="J2681" s="21" t="str">
        <f aca="false">IF(B2681="","",IF(H2681&lt;&gt;"",H2681,F2681))</f>
        <v/>
      </c>
      <c r="K2681" s="26" t="str">
        <f aca="false">IF(A2681="","",DATE(YEAR(A2681),MONTH(A2681),1))</f>
        <v/>
      </c>
      <c r="L2681" s="21" t="str">
        <f aca="false">IF(J2681="",IF(B2681="","",IF(N(C2681)&gt;=0,"Income","Expense")),IFERROR(INDEX(Lists!$B$2:$B$30,MATCH(J2681,Lists!$A$2:$A$30,0)),""))</f>
        <v/>
      </c>
      <c r="M2681" s="24"/>
      <c r="N2681" s="27" t="str">
        <f aca="false">IF(B2681="","",IFERROR(1000-SUMPRODUCT(MAX(ISNUMBER(SEARCH(Rules!$A$5:$A$204,B2681))*(Rules!$A$5:$A$204&lt;&gt;"")*(1000-ROW(Rules!$A$5:$A$204)))),""))</f>
        <v/>
      </c>
    </row>
    <row r="2682" customFormat="false" ht="15" hidden="false" customHeight="false" outlineLevel="0" collapsed="false">
      <c r="A2682" s="23"/>
      <c r="B2682" s="24"/>
      <c r="C2682" s="25"/>
      <c r="D2682" s="24"/>
      <c r="E2682" s="21" t="str">
        <f aca="false">IF(OR(B2682="",N(N2682)=0,N2682=1000),IF(B2682="","","Check"),INDEX(Rules!$B:$B,N2682))</f>
        <v/>
      </c>
      <c r="F2682" s="21" t="str">
        <f aca="false">IF(OR(B2682="",N(N2682)=0,N2682=1000),"",INDEX(Rules!$C:$C,N2682))</f>
        <v/>
      </c>
      <c r="G2682" s="24"/>
      <c r="H2682" s="24"/>
      <c r="I2682" s="20" t="str">
        <f aca="false">IF(B2682="","",IF(G2682&lt;&gt;"",G2682,E2682))</f>
        <v/>
      </c>
      <c r="J2682" s="21" t="str">
        <f aca="false">IF(B2682="","",IF(H2682&lt;&gt;"",H2682,F2682))</f>
        <v/>
      </c>
      <c r="K2682" s="26" t="str">
        <f aca="false">IF(A2682="","",DATE(YEAR(A2682),MONTH(A2682),1))</f>
        <v/>
      </c>
      <c r="L2682" s="21" t="str">
        <f aca="false">IF(J2682="",IF(B2682="","",IF(N(C2682)&gt;=0,"Income","Expense")),IFERROR(INDEX(Lists!$B$2:$B$30,MATCH(J2682,Lists!$A$2:$A$30,0)),""))</f>
        <v/>
      </c>
      <c r="M2682" s="24"/>
      <c r="N2682" s="27" t="str">
        <f aca="false">IF(B2682="","",IFERROR(1000-SUMPRODUCT(MAX(ISNUMBER(SEARCH(Rules!$A$5:$A$204,B2682))*(Rules!$A$5:$A$204&lt;&gt;"")*(1000-ROW(Rules!$A$5:$A$204)))),""))</f>
        <v/>
      </c>
    </row>
    <row r="2683" customFormat="false" ht="15" hidden="false" customHeight="false" outlineLevel="0" collapsed="false">
      <c r="A2683" s="23"/>
      <c r="B2683" s="24"/>
      <c r="C2683" s="25"/>
      <c r="D2683" s="24"/>
      <c r="E2683" s="21" t="str">
        <f aca="false">IF(OR(B2683="",N(N2683)=0,N2683=1000),IF(B2683="","","Check"),INDEX(Rules!$B:$B,N2683))</f>
        <v/>
      </c>
      <c r="F2683" s="21" t="str">
        <f aca="false">IF(OR(B2683="",N(N2683)=0,N2683=1000),"",INDEX(Rules!$C:$C,N2683))</f>
        <v/>
      </c>
      <c r="G2683" s="24"/>
      <c r="H2683" s="24"/>
      <c r="I2683" s="20" t="str">
        <f aca="false">IF(B2683="","",IF(G2683&lt;&gt;"",G2683,E2683))</f>
        <v/>
      </c>
      <c r="J2683" s="21" t="str">
        <f aca="false">IF(B2683="","",IF(H2683&lt;&gt;"",H2683,F2683))</f>
        <v/>
      </c>
      <c r="K2683" s="26" t="str">
        <f aca="false">IF(A2683="","",DATE(YEAR(A2683),MONTH(A2683),1))</f>
        <v/>
      </c>
      <c r="L2683" s="21" t="str">
        <f aca="false">IF(J2683="",IF(B2683="","",IF(N(C2683)&gt;=0,"Income","Expense")),IFERROR(INDEX(Lists!$B$2:$B$30,MATCH(J2683,Lists!$A$2:$A$30,0)),""))</f>
        <v/>
      </c>
      <c r="M2683" s="24"/>
      <c r="N2683" s="27" t="str">
        <f aca="false">IF(B2683="","",IFERROR(1000-SUMPRODUCT(MAX(ISNUMBER(SEARCH(Rules!$A$5:$A$204,B2683))*(Rules!$A$5:$A$204&lt;&gt;"")*(1000-ROW(Rules!$A$5:$A$204)))),""))</f>
        <v/>
      </c>
    </row>
    <row r="2684" customFormat="false" ht="15" hidden="false" customHeight="false" outlineLevel="0" collapsed="false">
      <c r="A2684" s="23"/>
      <c r="B2684" s="24"/>
      <c r="C2684" s="25"/>
      <c r="D2684" s="24"/>
      <c r="E2684" s="21" t="str">
        <f aca="false">IF(OR(B2684="",N(N2684)=0,N2684=1000),IF(B2684="","","Check"),INDEX(Rules!$B:$B,N2684))</f>
        <v/>
      </c>
      <c r="F2684" s="21" t="str">
        <f aca="false">IF(OR(B2684="",N(N2684)=0,N2684=1000),"",INDEX(Rules!$C:$C,N2684))</f>
        <v/>
      </c>
      <c r="G2684" s="24"/>
      <c r="H2684" s="24"/>
      <c r="I2684" s="20" t="str">
        <f aca="false">IF(B2684="","",IF(G2684&lt;&gt;"",G2684,E2684))</f>
        <v/>
      </c>
      <c r="J2684" s="21" t="str">
        <f aca="false">IF(B2684="","",IF(H2684&lt;&gt;"",H2684,F2684))</f>
        <v/>
      </c>
      <c r="K2684" s="26" t="str">
        <f aca="false">IF(A2684="","",DATE(YEAR(A2684),MONTH(A2684),1))</f>
        <v/>
      </c>
      <c r="L2684" s="21" t="str">
        <f aca="false">IF(J2684="",IF(B2684="","",IF(N(C2684)&gt;=0,"Income","Expense")),IFERROR(INDEX(Lists!$B$2:$B$30,MATCH(J2684,Lists!$A$2:$A$30,0)),""))</f>
        <v/>
      </c>
      <c r="M2684" s="24"/>
      <c r="N2684" s="27" t="str">
        <f aca="false">IF(B2684="","",IFERROR(1000-SUMPRODUCT(MAX(ISNUMBER(SEARCH(Rules!$A$5:$A$204,B2684))*(Rules!$A$5:$A$204&lt;&gt;"")*(1000-ROW(Rules!$A$5:$A$204)))),""))</f>
        <v/>
      </c>
    </row>
    <row r="2685" customFormat="false" ht="15" hidden="false" customHeight="false" outlineLevel="0" collapsed="false">
      <c r="A2685" s="23"/>
      <c r="B2685" s="24"/>
      <c r="C2685" s="25"/>
      <c r="D2685" s="24"/>
      <c r="E2685" s="21" t="str">
        <f aca="false">IF(OR(B2685="",N(N2685)=0,N2685=1000),IF(B2685="","","Check"),INDEX(Rules!$B:$B,N2685))</f>
        <v/>
      </c>
      <c r="F2685" s="21" t="str">
        <f aca="false">IF(OR(B2685="",N(N2685)=0,N2685=1000),"",INDEX(Rules!$C:$C,N2685))</f>
        <v/>
      </c>
      <c r="G2685" s="24"/>
      <c r="H2685" s="24"/>
      <c r="I2685" s="20" t="str">
        <f aca="false">IF(B2685="","",IF(G2685&lt;&gt;"",G2685,E2685))</f>
        <v/>
      </c>
      <c r="J2685" s="21" t="str">
        <f aca="false">IF(B2685="","",IF(H2685&lt;&gt;"",H2685,F2685))</f>
        <v/>
      </c>
      <c r="K2685" s="26" t="str">
        <f aca="false">IF(A2685="","",DATE(YEAR(A2685),MONTH(A2685),1))</f>
        <v/>
      </c>
      <c r="L2685" s="21" t="str">
        <f aca="false">IF(J2685="",IF(B2685="","",IF(N(C2685)&gt;=0,"Income","Expense")),IFERROR(INDEX(Lists!$B$2:$B$30,MATCH(J2685,Lists!$A$2:$A$30,0)),""))</f>
        <v/>
      </c>
      <c r="M2685" s="24"/>
      <c r="N2685" s="27" t="str">
        <f aca="false">IF(B2685="","",IFERROR(1000-SUMPRODUCT(MAX(ISNUMBER(SEARCH(Rules!$A$5:$A$204,B2685))*(Rules!$A$5:$A$204&lt;&gt;"")*(1000-ROW(Rules!$A$5:$A$204)))),""))</f>
        <v/>
      </c>
    </row>
    <row r="2686" customFormat="false" ht="15" hidden="false" customHeight="false" outlineLevel="0" collapsed="false">
      <c r="A2686" s="23"/>
      <c r="B2686" s="24"/>
      <c r="C2686" s="25"/>
      <c r="D2686" s="24"/>
      <c r="E2686" s="21" t="str">
        <f aca="false">IF(OR(B2686="",N(N2686)=0,N2686=1000),IF(B2686="","","Check"),INDEX(Rules!$B:$B,N2686))</f>
        <v/>
      </c>
      <c r="F2686" s="21" t="str">
        <f aca="false">IF(OR(B2686="",N(N2686)=0,N2686=1000),"",INDEX(Rules!$C:$C,N2686))</f>
        <v/>
      </c>
      <c r="G2686" s="24"/>
      <c r="H2686" s="24"/>
      <c r="I2686" s="20" t="str">
        <f aca="false">IF(B2686="","",IF(G2686&lt;&gt;"",G2686,E2686))</f>
        <v/>
      </c>
      <c r="J2686" s="21" t="str">
        <f aca="false">IF(B2686="","",IF(H2686&lt;&gt;"",H2686,F2686))</f>
        <v/>
      </c>
      <c r="K2686" s="26" t="str">
        <f aca="false">IF(A2686="","",DATE(YEAR(A2686),MONTH(A2686),1))</f>
        <v/>
      </c>
      <c r="L2686" s="21" t="str">
        <f aca="false">IF(J2686="",IF(B2686="","",IF(N(C2686)&gt;=0,"Income","Expense")),IFERROR(INDEX(Lists!$B$2:$B$30,MATCH(J2686,Lists!$A$2:$A$30,0)),""))</f>
        <v/>
      </c>
      <c r="M2686" s="24"/>
      <c r="N2686" s="27" t="str">
        <f aca="false">IF(B2686="","",IFERROR(1000-SUMPRODUCT(MAX(ISNUMBER(SEARCH(Rules!$A$5:$A$204,B2686))*(Rules!$A$5:$A$204&lt;&gt;"")*(1000-ROW(Rules!$A$5:$A$204)))),""))</f>
        <v/>
      </c>
    </row>
    <row r="2687" customFormat="false" ht="15" hidden="false" customHeight="false" outlineLevel="0" collapsed="false">
      <c r="A2687" s="23"/>
      <c r="B2687" s="24"/>
      <c r="C2687" s="25"/>
      <c r="D2687" s="24"/>
      <c r="E2687" s="21" t="str">
        <f aca="false">IF(OR(B2687="",N(N2687)=0,N2687=1000),IF(B2687="","","Check"),INDEX(Rules!$B:$B,N2687))</f>
        <v/>
      </c>
      <c r="F2687" s="21" t="str">
        <f aca="false">IF(OR(B2687="",N(N2687)=0,N2687=1000),"",INDEX(Rules!$C:$C,N2687))</f>
        <v/>
      </c>
      <c r="G2687" s="24"/>
      <c r="H2687" s="24"/>
      <c r="I2687" s="20" t="str">
        <f aca="false">IF(B2687="","",IF(G2687&lt;&gt;"",G2687,E2687))</f>
        <v/>
      </c>
      <c r="J2687" s="21" t="str">
        <f aca="false">IF(B2687="","",IF(H2687&lt;&gt;"",H2687,F2687))</f>
        <v/>
      </c>
      <c r="K2687" s="26" t="str">
        <f aca="false">IF(A2687="","",DATE(YEAR(A2687),MONTH(A2687),1))</f>
        <v/>
      </c>
      <c r="L2687" s="21" t="str">
        <f aca="false">IF(J2687="",IF(B2687="","",IF(N(C2687)&gt;=0,"Income","Expense")),IFERROR(INDEX(Lists!$B$2:$B$30,MATCH(J2687,Lists!$A$2:$A$30,0)),""))</f>
        <v/>
      </c>
      <c r="M2687" s="24"/>
      <c r="N2687" s="27" t="str">
        <f aca="false">IF(B2687="","",IFERROR(1000-SUMPRODUCT(MAX(ISNUMBER(SEARCH(Rules!$A$5:$A$204,B2687))*(Rules!$A$5:$A$204&lt;&gt;"")*(1000-ROW(Rules!$A$5:$A$204)))),""))</f>
        <v/>
      </c>
    </row>
    <row r="2688" customFormat="false" ht="15" hidden="false" customHeight="false" outlineLevel="0" collapsed="false">
      <c r="A2688" s="23"/>
      <c r="B2688" s="24"/>
      <c r="C2688" s="25"/>
      <c r="D2688" s="24"/>
      <c r="E2688" s="21" t="str">
        <f aca="false">IF(OR(B2688="",N(N2688)=0,N2688=1000),IF(B2688="","","Check"),INDEX(Rules!$B:$B,N2688))</f>
        <v/>
      </c>
      <c r="F2688" s="21" t="str">
        <f aca="false">IF(OR(B2688="",N(N2688)=0,N2688=1000),"",INDEX(Rules!$C:$C,N2688))</f>
        <v/>
      </c>
      <c r="G2688" s="24"/>
      <c r="H2688" s="24"/>
      <c r="I2688" s="20" t="str">
        <f aca="false">IF(B2688="","",IF(G2688&lt;&gt;"",G2688,E2688))</f>
        <v/>
      </c>
      <c r="J2688" s="21" t="str">
        <f aca="false">IF(B2688="","",IF(H2688&lt;&gt;"",H2688,F2688))</f>
        <v/>
      </c>
      <c r="K2688" s="26" t="str">
        <f aca="false">IF(A2688="","",DATE(YEAR(A2688),MONTH(A2688),1))</f>
        <v/>
      </c>
      <c r="L2688" s="21" t="str">
        <f aca="false">IF(J2688="",IF(B2688="","",IF(N(C2688)&gt;=0,"Income","Expense")),IFERROR(INDEX(Lists!$B$2:$B$30,MATCH(J2688,Lists!$A$2:$A$30,0)),""))</f>
        <v/>
      </c>
      <c r="M2688" s="24"/>
      <c r="N2688" s="27" t="str">
        <f aca="false">IF(B2688="","",IFERROR(1000-SUMPRODUCT(MAX(ISNUMBER(SEARCH(Rules!$A$5:$A$204,B2688))*(Rules!$A$5:$A$204&lt;&gt;"")*(1000-ROW(Rules!$A$5:$A$204)))),""))</f>
        <v/>
      </c>
    </row>
    <row r="2689" customFormat="false" ht="15" hidden="false" customHeight="false" outlineLevel="0" collapsed="false">
      <c r="A2689" s="23"/>
      <c r="B2689" s="24"/>
      <c r="C2689" s="25"/>
      <c r="D2689" s="24"/>
      <c r="E2689" s="21" t="str">
        <f aca="false">IF(OR(B2689="",N(N2689)=0,N2689=1000),IF(B2689="","","Check"),INDEX(Rules!$B:$B,N2689))</f>
        <v/>
      </c>
      <c r="F2689" s="21" t="str">
        <f aca="false">IF(OR(B2689="",N(N2689)=0,N2689=1000),"",INDEX(Rules!$C:$C,N2689))</f>
        <v/>
      </c>
      <c r="G2689" s="24"/>
      <c r="H2689" s="24"/>
      <c r="I2689" s="20" t="str">
        <f aca="false">IF(B2689="","",IF(G2689&lt;&gt;"",G2689,E2689))</f>
        <v/>
      </c>
      <c r="J2689" s="21" t="str">
        <f aca="false">IF(B2689="","",IF(H2689&lt;&gt;"",H2689,F2689))</f>
        <v/>
      </c>
      <c r="K2689" s="26" t="str">
        <f aca="false">IF(A2689="","",DATE(YEAR(A2689),MONTH(A2689),1))</f>
        <v/>
      </c>
      <c r="L2689" s="21" t="str">
        <f aca="false">IF(J2689="",IF(B2689="","",IF(N(C2689)&gt;=0,"Income","Expense")),IFERROR(INDEX(Lists!$B$2:$B$30,MATCH(J2689,Lists!$A$2:$A$30,0)),""))</f>
        <v/>
      </c>
      <c r="M2689" s="24"/>
      <c r="N2689" s="27" t="str">
        <f aca="false">IF(B2689="","",IFERROR(1000-SUMPRODUCT(MAX(ISNUMBER(SEARCH(Rules!$A$5:$A$204,B2689))*(Rules!$A$5:$A$204&lt;&gt;"")*(1000-ROW(Rules!$A$5:$A$204)))),""))</f>
        <v/>
      </c>
    </row>
    <row r="2690" customFormat="false" ht="15" hidden="false" customHeight="false" outlineLevel="0" collapsed="false">
      <c r="A2690" s="23"/>
      <c r="B2690" s="24"/>
      <c r="C2690" s="25"/>
      <c r="D2690" s="24"/>
      <c r="E2690" s="21" t="str">
        <f aca="false">IF(OR(B2690="",N(N2690)=0,N2690=1000),IF(B2690="","","Check"),INDEX(Rules!$B:$B,N2690))</f>
        <v/>
      </c>
      <c r="F2690" s="21" t="str">
        <f aca="false">IF(OR(B2690="",N(N2690)=0,N2690=1000),"",INDEX(Rules!$C:$C,N2690))</f>
        <v/>
      </c>
      <c r="G2690" s="24"/>
      <c r="H2690" s="24"/>
      <c r="I2690" s="20" t="str">
        <f aca="false">IF(B2690="","",IF(G2690&lt;&gt;"",G2690,E2690))</f>
        <v/>
      </c>
      <c r="J2690" s="21" t="str">
        <f aca="false">IF(B2690="","",IF(H2690&lt;&gt;"",H2690,F2690))</f>
        <v/>
      </c>
      <c r="K2690" s="26" t="str">
        <f aca="false">IF(A2690="","",DATE(YEAR(A2690),MONTH(A2690),1))</f>
        <v/>
      </c>
      <c r="L2690" s="21" t="str">
        <f aca="false">IF(J2690="",IF(B2690="","",IF(N(C2690)&gt;=0,"Income","Expense")),IFERROR(INDEX(Lists!$B$2:$B$30,MATCH(J2690,Lists!$A$2:$A$30,0)),""))</f>
        <v/>
      </c>
      <c r="M2690" s="24"/>
      <c r="N2690" s="27" t="str">
        <f aca="false">IF(B2690="","",IFERROR(1000-SUMPRODUCT(MAX(ISNUMBER(SEARCH(Rules!$A$5:$A$204,B2690))*(Rules!$A$5:$A$204&lt;&gt;"")*(1000-ROW(Rules!$A$5:$A$204)))),""))</f>
        <v/>
      </c>
    </row>
    <row r="2691" customFormat="false" ht="15" hidden="false" customHeight="false" outlineLevel="0" collapsed="false">
      <c r="A2691" s="23"/>
      <c r="B2691" s="24"/>
      <c r="C2691" s="25"/>
      <c r="D2691" s="24"/>
      <c r="E2691" s="21" t="str">
        <f aca="false">IF(OR(B2691="",N(N2691)=0,N2691=1000),IF(B2691="","","Check"),INDEX(Rules!$B:$B,N2691))</f>
        <v/>
      </c>
      <c r="F2691" s="21" t="str">
        <f aca="false">IF(OR(B2691="",N(N2691)=0,N2691=1000),"",INDEX(Rules!$C:$C,N2691))</f>
        <v/>
      </c>
      <c r="G2691" s="24"/>
      <c r="H2691" s="24"/>
      <c r="I2691" s="20" t="str">
        <f aca="false">IF(B2691="","",IF(G2691&lt;&gt;"",G2691,E2691))</f>
        <v/>
      </c>
      <c r="J2691" s="21" t="str">
        <f aca="false">IF(B2691="","",IF(H2691&lt;&gt;"",H2691,F2691))</f>
        <v/>
      </c>
      <c r="K2691" s="26" t="str">
        <f aca="false">IF(A2691="","",DATE(YEAR(A2691),MONTH(A2691),1))</f>
        <v/>
      </c>
      <c r="L2691" s="21" t="str">
        <f aca="false">IF(J2691="",IF(B2691="","",IF(N(C2691)&gt;=0,"Income","Expense")),IFERROR(INDEX(Lists!$B$2:$B$30,MATCH(J2691,Lists!$A$2:$A$30,0)),""))</f>
        <v/>
      </c>
      <c r="M2691" s="24"/>
      <c r="N2691" s="27" t="str">
        <f aca="false">IF(B2691="","",IFERROR(1000-SUMPRODUCT(MAX(ISNUMBER(SEARCH(Rules!$A$5:$A$204,B2691))*(Rules!$A$5:$A$204&lt;&gt;"")*(1000-ROW(Rules!$A$5:$A$204)))),""))</f>
        <v/>
      </c>
    </row>
    <row r="2692" customFormat="false" ht="15" hidden="false" customHeight="false" outlineLevel="0" collapsed="false">
      <c r="A2692" s="23"/>
      <c r="B2692" s="24"/>
      <c r="C2692" s="25"/>
      <c r="D2692" s="24"/>
      <c r="E2692" s="21" t="str">
        <f aca="false">IF(OR(B2692="",N(N2692)=0,N2692=1000),IF(B2692="","","Check"),INDEX(Rules!$B:$B,N2692))</f>
        <v/>
      </c>
      <c r="F2692" s="21" t="str">
        <f aca="false">IF(OR(B2692="",N(N2692)=0,N2692=1000),"",INDEX(Rules!$C:$C,N2692))</f>
        <v/>
      </c>
      <c r="G2692" s="24"/>
      <c r="H2692" s="24"/>
      <c r="I2692" s="20" t="str">
        <f aca="false">IF(B2692="","",IF(G2692&lt;&gt;"",G2692,E2692))</f>
        <v/>
      </c>
      <c r="J2692" s="21" t="str">
        <f aca="false">IF(B2692="","",IF(H2692&lt;&gt;"",H2692,F2692))</f>
        <v/>
      </c>
      <c r="K2692" s="26" t="str">
        <f aca="false">IF(A2692="","",DATE(YEAR(A2692),MONTH(A2692),1))</f>
        <v/>
      </c>
      <c r="L2692" s="21" t="str">
        <f aca="false">IF(J2692="",IF(B2692="","",IF(N(C2692)&gt;=0,"Income","Expense")),IFERROR(INDEX(Lists!$B$2:$B$30,MATCH(J2692,Lists!$A$2:$A$30,0)),""))</f>
        <v/>
      </c>
      <c r="M2692" s="24"/>
      <c r="N2692" s="27" t="str">
        <f aca="false">IF(B2692="","",IFERROR(1000-SUMPRODUCT(MAX(ISNUMBER(SEARCH(Rules!$A$5:$A$204,B2692))*(Rules!$A$5:$A$204&lt;&gt;"")*(1000-ROW(Rules!$A$5:$A$204)))),""))</f>
        <v/>
      </c>
    </row>
    <row r="2693" customFormat="false" ht="15" hidden="false" customHeight="false" outlineLevel="0" collapsed="false">
      <c r="A2693" s="23"/>
      <c r="B2693" s="24"/>
      <c r="C2693" s="25"/>
      <c r="D2693" s="24"/>
      <c r="E2693" s="21" t="str">
        <f aca="false">IF(OR(B2693="",N(N2693)=0,N2693=1000),IF(B2693="","","Check"),INDEX(Rules!$B:$B,N2693))</f>
        <v/>
      </c>
      <c r="F2693" s="21" t="str">
        <f aca="false">IF(OR(B2693="",N(N2693)=0,N2693=1000),"",INDEX(Rules!$C:$C,N2693))</f>
        <v/>
      </c>
      <c r="G2693" s="24"/>
      <c r="H2693" s="24"/>
      <c r="I2693" s="20" t="str">
        <f aca="false">IF(B2693="","",IF(G2693&lt;&gt;"",G2693,E2693))</f>
        <v/>
      </c>
      <c r="J2693" s="21" t="str">
        <f aca="false">IF(B2693="","",IF(H2693&lt;&gt;"",H2693,F2693))</f>
        <v/>
      </c>
      <c r="K2693" s="26" t="str">
        <f aca="false">IF(A2693="","",DATE(YEAR(A2693),MONTH(A2693),1))</f>
        <v/>
      </c>
      <c r="L2693" s="21" t="str">
        <f aca="false">IF(J2693="",IF(B2693="","",IF(N(C2693)&gt;=0,"Income","Expense")),IFERROR(INDEX(Lists!$B$2:$B$30,MATCH(J2693,Lists!$A$2:$A$30,0)),""))</f>
        <v/>
      </c>
      <c r="M2693" s="24"/>
      <c r="N2693" s="27" t="str">
        <f aca="false">IF(B2693="","",IFERROR(1000-SUMPRODUCT(MAX(ISNUMBER(SEARCH(Rules!$A$5:$A$204,B2693))*(Rules!$A$5:$A$204&lt;&gt;"")*(1000-ROW(Rules!$A$5:$A$204)))),""))</f>
        <v/>
      </c>
    </row>
    <row r="2694" customFormat="false" ht="15" hidden="false" customHeight="false" outlineLevel="0" collapsed="false">
      <c r="A2694" s="23"/>
      <c r="B2694" s="24"/>
      <c r="C2694" s="25"/>
      <c r="D2694" s="24"/>
      <c r="E2694" s="21" t="str">
        <f aca="false">IF(OR(B2694="",N(N2694)=0,N2694=1000),IF(B2694="","","Check"),INDEX(Rules!$B:$B,N2694))</f>
        <v/>
      </c>
      <c r="F2694" s="21" t="str">
        <f aca="false">IF(OR(B2694="",N(N2694)=0,N2694=1000),"",INDEX(Rules!$C:$C,N2694))</f>
        <v/>
      </c>
      <c r="G2694" s="24"/>
      <c r="H2694" s="24"/>
      <c r="I2694" s="20" t="str">
        <f aca="false">IF(B2694="","",IF(G2694&lt;&gt;"",G2694,E2694))</f>
        <v/>
      </c>
      <c r="J2694" s="21" t="str">
        <f aca="false">IF(B2694="","",IF(H2694&lt;&gt;"",H2694,F2694))</f>
        <v/>
      </c>
      <c r="K2694" s="26" t="str">
        <f aca="false">IF(A2694="","",DATE(YEAR(A2694),MONTH(A2694),1))</f>
        <v/>
      </c>
      <c r="L2694" s="21" t="str">
        <f aca="false">IF(J2694="",IF(B2694="","",IF(N(C2694)&gt;=0,"Income","Expense")),IFERROR(INDEX(Lists!$B$2:$B$30,MATCH(J2694,Lists!$A$2:$A$30,0)),""))</f>
        <v/>
      </c>
      <c r="M2694" s="24"/>
      <c r="N2694" s="27" t="str">
        <f aca="false">IF(B2694="","",IFERROR(1000-SUMPRODUCT(MAX(ISNUMBER(SEARCH(Rules!$A$5:$A$204,B2694))*(Rules!$A$5:$A$204&lt;&gt;"")*(1000-ROW(Rules!$A$5:$A$204)))),""))</f>
        <v/>
      </c>
    </row>
    <row r="2695" customFormat="false" ht="15" hidden="false" customHeight="false" outlineLevel="0" collapsed="false">
      <c r="A2695" s="23"/>
      <c r="B2695" s="24"/>
      <c r="C2695" s="25"/>
      <c r="D2695" s="24"/>
      <c r="E2695" s="21" t="str">
        <f aca="false">IF(OR(B2695="",N(N2695)=0,N2695=1000),IF(B2695="","","Check"),INDEX(Rules!$B:$B,N2695))</f>
        <v/>
      </c>
      <c r="F2695" s="21" t="str">
        <f aca="false">IF(OR(B2695="",N(N2695)=0,N2695=1000),"",INDEX(Rules!$C:$C,N2695))</f>
        <v/>
      </c>
      <c r="G2695" s="24"/>
      <c r="H2695" s="24"/>
      <c r="I2695" s="20" t="str">
        <f aca="false">IF(B2695="","",IF(G2695&lt;&gt;"",G2695,E2695))</f>
        <v/>
      </c>
      <c r="J2695" s="21" t="str">
        <f aca="false">IF(B2695="","",IF(H2695&lt;&gt;"",H2695,F2695))</f>
        <v/>
      </c>
      <c r="K2695" s="26" t="str">
        <f aca="false">IF(A2695="","",DATE(YEAR(A2695),MONTH(A2695),1))</f>
        <v/>
      </c>
      <c r="L2695" s="21" t="str">
        <f aca="false">IF(J2695="",IF(B2695="","",IF(N(C2695)&gt;=0,"Income","Expense")),IFERROR(INDEX(Lists!$B$2:$B$30,MATCH(J2695,Lists!$A$2:$A$30,0)),""))</f>
        <v/>
      </c>
      <c r="M2695" s="24"/>
      <c r="N2695" s="27" t="str">
        <f aca="false">IF(B2695="","",IFERROR(1000-SUMPRODUCT(MAX(ISNUMBER(SEARCH(Rules!$A$5:$A$204,B2695))*(Rules!$A$5:$A$204&lt;&gt;"")*(1000-ROW(Rules!$A$5:$A$204)))),""))</f>
        <v/>
      </c>
    </row>
    <row r="2696" customFormat="false" ht="15" hidden="false" customHeight="false" outlineLevel="0" collapsed="false">
      <c r="A2696" s="23"/>
      <c r="B2696" s="24"/>
      <c r="C2696" s="25"/>
      <c r="D2696" s="24"/>
      <c r="E2696" s="21" t="str">
        <f aca="false">IF(OR(B2696="",N(N2696)=0,N2696=1000),IF(B2696="","","Check"),INDEX(Rules!$B:$B,N2696))</f>
        <v/>
      </c>
      <c r="F2696" s="21" t="str">
        <f aca="false">IF(OR(B2696="",N(N2696)=0,N2696=1000),"",INDEX(Rules!$C:$C,N2696))</f>
        <v/>
      </c>
      <c r="G2696" s="24"/>
      <c r="H2696" s="24"/>
      <c r="I2696" s="20" t="str">
        <f aca="false">IF(B2696="","",IF(G2696&lt;&gt;"",G2696,E2696))</f>
        <v/>
      </c>
      <c r="J2696" s="21" t="str">
        <f aca="false">IF(B2696="","",IF(H2696&lt;&gt;"",H2696,F2696))</f>
        <v/>
      </c>
      <c r="K2696" s="26" t="str">
        <f aca="false">IF(A2696="","",DATE(YEAR(A2696),MONTH(A2696),1))</f>
        <v/>
      </c>
      <c r="L2696" s="21" t="str">
        <f aca="false">IF(J2696="",IF(B2696="","",IF(N(C2696)&gt;=0,"Income","Expense")),IFERROR(INDEX(Lists!$B$2:$B$30,MATCH(J2696,Lists!$A$2:$A$30,0)),""))</f>
        <v/>
      </c>
      <c r="M2696" s="24"/>
      <c r="N2696" s="27" t="str">
        <f aca="false">IF(B2696="","",IFERROR(1000-SUMPRODUCT(MAX(ISNUMBER(SEARCH(Rules!$A$5:$A$204,B2696))*(Rules!$A$5:$A$204&lt;&gt;"")*(1000-ROW(Rules!$A$5:$A$204)))),""))</f>
        <v/>
      </c>
    </row>
    <row r="2697" customFormat="false" ht="15" hidden="false" customHeight="false" outlineLevel="0" collapsed="false">
      <c r="A2697" s="23"/>
      <c r="B2697" s="24"/>
      <c r="C2697" s="25"/>
      <c r="D2697" s="24"/>
      <c r="E2697" s="21" t="str">
        <f aca="false">IF(OR(B2697="",N(N2697)=0,N2697=1000),IF(B2697="","","Check"),INDEX(Rules!$B:$B,N2697))</f>
        <v/>
      </c>
      <c r="F2697" s="21" t="str">
        <f aca="false">IF(OR(B2697="",N(N2697)=0,N2697=1000),"",INDEX(Rules!$C:$C,N2697))</f>
        <v/>
      </c>
      <c r="G2697" s="24"/>
      <c r="H2697" s="24"/>
      <c r="I2697" s="20" t="str">
        <f aca="false">IF(B2697="","",IF(G2697&lt;&gt;"",G2697,E2697))</f>
        <v/>
      </c>
      <c r="J2697" s="21" t="str">
        <f aca="false">IF(B2697="","",IF(H2697&lt;&gt;"",H2697,F2697))</f>
        <v/>
      </c>
      <c r="K2697" s="26" t="str">
        <f aca="false">IF(A2697="","",DATE(YEAR(A2697),MONTH(A2697),1))</f>
        <v/>
      </c>
      <c r="L2697" s="21" t="str">
        <f aca="false">IF(J2697="",IF(B2697="","",IF(N(C2697)&gt;=0,"Income","Expense")),IFERROR(INDEX(Lists!$B$2:$B$30,MATCH(J2697,Lists!$A$2:$A$30,0)),""))</f>
        <v/>
      </c>
      <c r="M2697" s="24"/>
      <c r="N2697" s="27" t="str">
        <f aca="false">IF(B2697="","",IFERROR(1000-SUMPRODUCT(MAX(ISNUMBER(SEARCH(Rules!$A$5:$A$204,B2697))*(Rules!$A$5:$A$204&lt;&gt;"")*(1000-ROW(Rules!$A$5:$A$204)))),""))</f>
        <v/>
      </c>
    </row>
    <row r="2698" customFormat="false" ht="15" hidden="false" customHeight="false" outlineLevel="0" collapsed="false">
      <c r="A2698" s="23"/>
      <c r="B2698" s="24"/>
      <c r="C2698" s="25"/>
      <c r="D2698" s="24"/>
      <c r="E2698" s="21" t="str">
        <f aca="false">IF(OR(B2698="",N(N2698)=0,N2698=1000),IF(B2698="","","Check"),INDEX(Rules!$B:$B,N2698))</f>
        <v/>
      </c>
      <c r="F2698" s="21" t="str">
        <f aca="false">IF(OR(B2698="",N(N2698)=0,N2698=1000),"",INDEX(Rules!$C:$C,N2698))</f>
        <v/>
      </c>
      <c r="G2698" s="24"/>
      <c r="H2698" s="24"/>
      <c r="I2698" s="20" t="str">
        <f aca="false">IF(B2698="","",IF(G2698&lt;&gt;"",G2698,E2698))</f>
        <v/>
      </c>
      <c r="J2698" s="21" t="str">
        <f aca="false">IF(B2698="","",IF(H2698&lt;&gt;"",H2698,F2698))</f>
        <v/>
      </c>
      <c r="K2698" s="26" t="str">
        <f aca="false">IF(A2698="","",DATE(YEAR(A2698),MONTH(A2698),1))</f>
        <v/>
      </c>
      <c r="L2698" s="21" t="str">
        <f aca="false">IF(J2698="",IF(B2698="","",IF(N(C2698)&gt;=0,"Income","Expense")),IFERROR(INDEX(Lists!$B$2:$B$30,MATCH(J2698,Lists!$A$2:$A$30,0)),""))</f>
        <v/>
      </c>
      <c r="M2698" s="24"/>
      <c r="N2698" s="27" t="str">
        <f aca="false">IF(B2698="","",IFERROR(1000-SUMPRODUCT(MAX(ISNUMBER(SEARCH(Rules!$A$5:$A$204,B2698))*(Rules!$A$5:$A$204&lt;&gt;"")*(1000-ROW(Rules!$A$5:$A$204)))),""))</f>
        <v/>
      </c>
    </row>
    <row r="2699" customFormat="false" ht="15" hidden="false" customHeight="false" outlineLevel="0" collapsed="false">
      <c r="A2699" s="23"/>
      <c r="B2699" s="24"/>
      <c r="C2699" s="25"/>
      <c r="D2699" s="24"/>
      <c r="E2699" s="21" t="str">
        <f aca="false">IF(OR(B2699="",N(N2699)=0,N2699=1000),IF(B2699="","","Check"),INDEX(Rules!$B:$B,N2699))</f>
        <v/>
      </c>
      <c r="F2699" s="21" t="str">
        <f aca="false">IF(OR(B2699="",N(N2699)=0,N2699=1000),"",INDEX(Rules!$C:$C,N2699))</f>
        <v/>
      </c>
      <c r="G2699" s="24"/>
      <c r="H2699" s="24"/>
      <c r="I2699" s="20" t="str">
        <f aca="false">IF(B2699="","",IF(G2699&lt;&gt;"",G2699,E2699))</f>
        <v/>
      </c>
      <c r="J2699" s="21" t="str">
        <f aca="false">IF(B2699="","",IF(H2699&lt;&gt;"",H2699,F2699))</f>
        <v/>
      </c>
      <c r="K2699" s="26" t="str">
        <f aca="false">IF(A2699="","",DATE(YEAR(A2699),MONTH(A2699),1))</f>
        <v/>
      </c>
      <c r="L2699" s="21" t="str">
        <f aca="false">IF(J2699="",IF(B2699="","",IF(N(C2699)&gt;=0,"Income","Expense")),IFERROR(INDEX(Lists!$B$2:$B$30,MATCH(J2699,Lists!$A$2:$A$30,0)),""))</f>
        <v/>
      </c>
      <c r="M2699" s="24"/>
      <c r="N2699" s="27" t="str">
        <f aca="false">IF(B2699="","",IFERROR(1000-SUMPRODUCT(MAX(ISNUMBER(SEARCH(Rules!$A$5:$A$204,B2699))*(Rules!$A$5:$A$204&lt;&gt;"")*(1000-ROW(Rules!$A$5:$A$204)))),""))</f>
        <v/>
      </c>
    </row>
    <row r="2700" customFormat="false" ht="15" hidden="false" customHeight="false" outlineLevel="0" collapsed="false">
      <c r="A2700" s="23"/>
      <c r="B2700" s="24"/>
      <c r="C2700" s="25"/>
      <c r="D2700" s="24"/>
      <c r="E2700" s="21" t="str">
        <f aca="false">IF(OR(B2700="",N(N2700)=0,N2700=1000),IF(B2700="","","Check"),INDEX(Rules!$B:$B,N2700))</f>
        <v/>
      </c>
      <c r="F2700" s="21" t="str">
        <f aca="false">IF(OR(B2700="",N(N2700)=0,N2700=1000),"",INDEX(Rules!$C:$C,N2700))</f>
        <v/>
      </c>
      <c r="G2700" s="24"/>
      <c r="H2700" s="24"/>
      <c r="I2700" s="20" t="str">
        <f aca="false">IF(B2700="","",IF(G2700&lt;&gt;"",G2700,E2700))</f>
        <v/>
      </c>
      <c r="J2700" s="21" t="str">
        <f aca="false">IF(B2700="","",IF(H2700&lt;&gt;"",H2700,F2700))</f>
        <v/>
      </c>
      <c r="K2700" s="26" t="str">
        <f aca="false">IF(A2700="","",DATE(YEAR(A2700),MONTH(A2700),1))</f>
        <v/>
      </c>
      <c r="L2700" s="21" t="str">
        <f aca="false">IF(J2700="",IF(B2700="","",IF(N(C2700)&gt;=0,"Income","Expense")),IFERROR(INDEX(Lists!$B$2:$B$30,MATCH(J2700,Lists!$A$2:$A$30,0)),""))</f>
        <v/>
      </c>
      <c r="M2700" s="24"/>
      <c r="N2700" s="27" t="str">
        <f aca="false">IF(B2700="","",IFERROR(1000-SUMPRODUCT(MAX(ISNUMBER(SEARCH(Rules!$A$5:$A$204,B2700))*(Rules!$A$5:$A$204&lt;&gt;"")*(1000-ROW(Rules!$A$5:$A$204)))),""))</f>
        <v/>
      </c>
    </row>
    <row r="2701" customFormat="false" ht="15" hidden="false" customHeight="false" outlineLevel="0" collapsed="false">
      <c r="A2701" s="23"/>
      <c r="B2701" s="24"/>
      <c r="C2701" s="25"/>
      <c r="D2701" s="24"/>
      <c r="E2701" s="21" t="str">
        <f aca="false">IF(OR(B2701="",N(N2701)=0,N2701=1000),IF(B2701="","","Check"),INDEX(Rules!$B:$B,N2701))</f>
        <v/>
      </c>
      <c r="F2701" s="21" t="str">
        <f aca="false">IF(OR(B2701="",N(N2701)=0,N2701=1000),"",INDEX(Rules!$C:$C,N2701))</f>
        <v/>
      </c>
      <c r="G2701" s="24"/>
      <c r="H2701" s="24"/>
      <c r="I2701" s="20" t="str">
        <f aca="false">IF(B2701="","",IF(G2701&lt;&gt;"",G2701,E2701))</f>
        <v/>
      </c>
      <c r="J2701" s="21" t="str">
        <f aca="false">IF(B2701="","",IF(H2701&lt;&gt;"",H2701,F2701))</f>
        <v/>
      </c>
      <c r="K2701" s="26" t="str">
        <f aca="false">IF(A2701="","",DATE(YEAR(A2701),MONTH(A2701),1))</f>
        <v/>
      </c>
      <c r="L2701" s="21" t="str">
        <f aca="false">IF(J2701="",IF(B2701="","",IF(N(C2701)&gt;=0,"Income","Expense")),IFERROR(INDEX(Lists!$B$2:$B$30,MATCH(J2701,Lists!$A$2:$A$30,0)),""))</f>
        <v/>
      </c>
      <c r="M2701" s="24"/>
      <c r="N2701" s="27" t="str">
        <f aca="false">IF(B2701="","",IFERROR(1000-SUMPRODUCT(MAX(ISNUMBER(SEARCH(Rules!$A$5:$A$204,B2701))*(Rules!$A$5:$A$204&lt;&gt;"")*(1000-ROW(Rules!$A$5:$A$204)))),""))</f>
        <v/>
      </c>
    </row>
    <row r="2702" customFormat="false" ht="15" hidden="false" customHeight="false" outlineLevel="0" collapsed="false">
      <c r="A2702" s="23"/>
      <c r="B2702" s="24"/>
      <c r="C2702" s="25"/>
      <c r="D2702" s="24"/>
      <c r="E2702" s="21" t="str">
        <f aca="false">IF(OR(B2702="",N(N2702)=0,N2702=1000),IF(B2702="","","Check"),INDEX(Rules!$B:$B,N2702))</f>
        <v/>
      </c>
      <c r="F2702" s="21" t="str">
        <f aca="false">IF(OR(B2702="",N(N2702)=0,N2702=1000),"",INDEX(Rules!$C:$C,N2702))</f>
        <v/>
      </c>
      <c r="G2702" s="24"/>
      <c r="H2702" s="24"/>
      <c r="I2702" s="20" t="str">
        <f aca="false">IF(B2702="","",IF(G2702&lt;&gt;"",G2702,E2702))</f>
        <v/>
      </c>
      <c r="J2702" s="21" t="str">
        <f aca="false">IF(B2702="","",IF(H2702&lt;&gt;"",H2702,F2702))</f>
        <v/>
      </c>
      <c r="K2702" s="26" t="str">
        <f aca="false">IF(A2702="","",DATE(YEAR(A2702),MONTH(A2702),1))</f>
        <v/>
      </c>
      <c r="L2702" s="21" t="str">
        <f aca="false">IF(J2702="",IF(B2702="","",IF(N(C2702)&gt;=0,"Income","Expense")),IFERROR(INDEX(Lists!$B$2:$B$30,MATCH(J2702,Lists!$A$2:$A$30,0)),""))</f>
        <v/>
      </c>
      <c r="M2702" s="24"/>
      <c r="N2702" s="27" t="str">
        <f aca="false">IF(B2702="","",IFERROR(1000-SUMPRODUCT(MAX(ISNUMBER(SEARCH(Rules!$A$5:$A$204,B2702))*(Rules!$A$5:$A$204&lt;&gt;"")*(1000-ROW(Rules!$A$5:$A$204)))),""))</f>
        <v/>
      </c>
    </row>
    <row r="2703" customFormat="false" ht="15" hidden="false" customHeight="false" outlineLevel="0" collapsed="false">
      <c r="A2703" s="23"/>
      <c r="B2703" s="24"/>
      <c r="C2703" s="25"/>
      <c r="D2703" s="24"/>
      <c r="E2703" s="21" t="str">
        <f aca="false">IF(OR(B2703="",N(N2703)=0,N2703=1000),IF(B2703="","","Check"),INDEX(Rules!$B:$B,N2703))</f>
        <v/>
      </c>
      <c r="F2703" s="21" t="str">
        <f aca="false">IF(OR(B2703="",N(N2703)=0,N2703=1000),"",INDEX(Rules!$C:$C,N2703))</f>
        <v/>
      </c>
      <c r="G2703" s="24"/>
      <c r="H2703" s="24"/>
      <c r="I2703" s="20" t="str">
        <f aca="false">IF(B2703="","",IF(G2703&lt;&gt;"",G2703,E2703))</f>
        <v/>
      </c>
      <c r="J2703" s="21" t="str">
        <f aca="false">IF(B2703="","",IF(H2703&lt;&gt;"",H2703,F2703))</f>
        <v/>
      </c>
      <c r="K2703" s="26" t="str">
        <f aca="false">IF(A2703="","",DATE(YEAR(A2703),MONTH(A2703),1))</f>
        <v/>
      </c>
      <c r="L2703" s="21" t="str">
        <f aca="false">IF(J2703="",IF(B2703="","",IF(N(C2703)&gt;=0,"Income","Expense")),IFERROR(INDEX(Lists!$B$2:$B$30,MATCH(J2703,Lists!$A$2:$A$30,0)),""))</f>
        <v/>
      </c>
      <c r="M2703" s="24"/>
      <c r="N2703" s="27" t="str">
        <f aca="false">IF(B2703="","",IFERROR(1000-SUMPRODUCT(MAX(ISNUMBER(SEARCH(Rules!$A$5:$A$204,B2703))*(Rules!$A$5:$A$204&lt;&gt;"")*(1000-ROW(Rules!$A$5:$A$204)))),""))</f>
        <v/>
      </c>
    </row>
    <row r="2704" customFormat="false" ht="15" hidden="false" customHeight="false" outlineLevel="0" collapsed="false">
      <c r="A2704" s="23"/>
      <c r="B2704" s="24"/>
      <c r="C2704" s="25"/>
      <c r="D2704" s="24"/>
      <c r="E2704" s="21" t="str">
        <f aca="false">IF(OR(B2704="",N(N2704)=0,N2704=1000),IF(B2704="","","Check"),INDEX(Rules!$B:$B,N2704))</f>
        <v/>
      </c>
      <c r="F2704" s="21" t="str">
        <f aca="false">IF(OR(B2704="",N(N2704)=0,N2704=1000),"",INDEX(Rules!$C:$C,N2704))</f>
        <v/>
      </c>
      <c r="G2704" s="24"/>
      <c r="H2704" s="24"/>
      <c r="I2704" s="20" t="str">
        <f aca="false">IF(B2704="","",IF(G2704&lt;&gt;"",G2704,E2704))</f>
        <v/>
      </c>
      <c r="J2704" s="21" t="str">
        <f aca="false">IF(B2704="","",IF(H2704&lt;&gt;"",H2704,F2704))</f>
        <v/>
      </c>
      <c r="K2704" s="26" t="str">
        <f aca="false">IF(A2704="","",DATE(YEAR(A2704),MONTH(A2704),1))</f>
        <v/>
      </c>
      <c r="L2704" s="21" t="str">
        <f aca="false">IF(J2704="",IF(B2704="","",IF(N(C2704)&gt;=0,"Income","Expense")),IFERROR(INDEX(Lists!$B$2:$B$30,MATCH(J2704,Lists!$A$2:$A$30,0)),""))</f>
        <v/>
      </c>
      <c r="M2704" s="24"/>
      <c r="N2704" s="27" t="str">
        <f aca="false">IF(B2704="","",IFERROR(1000-SUMPRODUCT(MAX(ISNUMBER(SEARCH(Rules!$A$5:$A$204,B2704))*(Rules!$A$5:$A$204&lt;&gt;"")*(1000-ROW(Rules!$A$5:$A$204)))),""))</f>
        <v/>
      </c>
    </row>
    <row r="2705" customFormat="false" ht="15" hidden="false" customHeight="false" outlineLevel="0" collapsed="false">
      <c r="A2705" s="23"/>
      <c r="B2705" s="24"/>
      <c r="C2705" s="25"/>
      <c r="D2705" s="24"/>
      <c r="E2705" s="21" t="str">
        <f aca="false">IF(OR(B2705="",N(N2705)=0,N2705=1000),IF(B2705="","","Check"),INDEX(Rules!$B:$B,N2705))</f>
        <v/>
      </c>
      <c r="F2705" s="21" t="str">
        <f aca="false">IF(OR(B2705="",N(N2705)=0,N2705=1000),"",INDEX(Rules!$C:$C,N2705))</f>
        <v/>
      </c>
      <c r="G2705" s="24"/>
      <c r="H2705" s="24"/>
      <c r="I2705" s="20" t="str">
        <f aca="false">IF(B2705="","",IF(G2705&lt;&gt;"",G2705,E2705))</f>
        <v/>
      </c>
      <c r="J2705" s="21" t="str">
        <f aca="false">IF(B2705="","",IF(H2705&lt;&gt;"",H2705,F2705))</f>
        <v/>
      </c>
      <c r="K2705" s="26" t="str">
        <f aca="false">IF(A2705="","",DATE(YEAR(A2705),MONTH(A2705),1))</f>
        <v/>
      </c>
      <c r="L2705" s="21" t="str">
        <f aca="false">IF(J2705="",IF(B2705="","",IF(N(C2705)&gt;=0,"Income","Expense")),IFERROR(INDEX(Lists!$B$2:$B$30,MATCH(J2705,Lists!$A$2:$A$30,0)),""))</f>
        <v/>
      </c>
      <c r="M2705" s="24"/>
      <c r="N2705" s="27" t="str">
        <f aca="false">IF(B2705="","",IFERROR(1000-SUMPRODUCT(MAX(ISNUMBER(SEARCH(Rules!$A$5:$A$204,B2705))*(Rules!$A$5:$A$204&lt;&gt;"")*(1000-ROW(Rules!$A$5:$A$204)))),""))</f>
        <v/>
      </c>
    </row>
    <row r="2706" customFormat="false" ht="15" hidden="false" customHeight="false" outlineLevel="0" collapsed="false">
      <c r="A2706" s="23"/>
      <c r="B2706" s="24"/>
      <c r="C2706" s="25"/>
      <c r="D2706" s="24"/>
      <c r="E2706" s="21" t="str">
        <f aca="false">IF(OR(B2706="",N(N2706)=0,N2706=1000),IF(B2706="","","Check"),INDEX(Rules!$B:$B,N2706))</f>
        <v/>
      </c>
      <c r="F2706" s="21" t="str">
        <f aca="false">IF(OR(B2706="",N(N2706)=0,N2706=1000),"",INDEX(Rules!$C:$C,N2706))</f>
        <v/>
      </c>
      <c r="G2706" s="24"/>
      <c r="H2706" s="24"/>
      <c r="I2706" s="20" t="str">
        <f aca="false">IF(B2706="","",IF(G2706&lt;&gt;"",G2706,E2706))</f>
        <v/>
      </c>
      <c r="J2706" s="21" t="str">
        <f aca="false">IF(B2706="","",IF(H2706&lt;&gt;"",H2706,F2706))</f>
        <v/>
      </c>
      <c r="K2706" s="26" t="str">
        <f aca="false">IF(A2706="","",DATE(YEAR(A2706),MONTH(A2706),1))</f>
        <v/>
      </c>
      <c r="L2706" s="21" t="str">
        <f aca="false">IF(J2706="",IF(B2706="","",IF(N(C2706)&gt;=0,"Income","Expense")),IFERROR(INDEX(Lists!$B$2:$B$30,MATCH(J2706,Lists!$A$2:$A$30,0)),""))</f>
        <v/>
      </c>
      <c r="M2706" s="24"/>
      <c r="N2706" s="27" t="str">
        <f aca="false">IF(B2706="","",IFERROR(1000-SUMPRODUCT(MAX(ISNUMBER(SEARCH(Rules!$A$5:$A$204,B2706))*(Rules!$A$5:$A$204&lt;&gt;"")*(1000-ROW(Rules!$A$5:$A$204)))),""))</f>
        <v/>
      </c>
    </row>
    <row r="2707" customFormat="false" ht="15" hidden="false" customHeight="false" outlineLevel="0" collapsed="false">
      <c r="A2707" s="23"/>
      <c r="B2707" s="24"/>
      <c r="C2707" s="25"/>
      <c r="D2707" s="24"/>
      <c r="E2707" s="21" t="str">
        <f aca="false">IF(OR(B2707="",N(N2707)=0,N2707=1000),IF(B2707="","","Check"),INDEX(Rules!$B:$B,N2707))</f>
        <v/>
      </c>
      <c r="F2707" s="21" t="str">
        <f aca="false">IF(OR(B2707="",N(N2707)=0,N2707=1000),"",INDEX(Rules!$C:$C,N2707))</f>
        <v/>
      </c>
      <c r="G2707" s="24"/>
      <c r="H2707" s="24"/>
      <c r="I2707" s="20" t="str">
        <f aca="false">IF(B2707="","",IF(G2707&lt;&gt;"",G2707,E2707))</f>
        <v/>
      </c>
      <c r="J2707" s="21" t="str">
        <f aca="false">IF(B2707="","",IF(H2707&lt;&gt;"",H2707,F2707))</f>
        <v/>
      </c>
      <c r="K2707" s="26" t="str">
        <f aca="false">IF(A2707="","",DATE(YEAR(A2707),MONTH(A2707),1))</f>
        <v/>
      </c>
      <c r="L2707" s="21" t="str">
        <f aca="false">IF(J2707="",IF(B2707="","",IF(N(C2707)&gt;=0,"Income","Expense")),IFERROR(INDEX(Lists!$B$2:$B$30,MATCH(J2707,Lists!$A$2:$A$30,0)),""))</f>
        <v/>
      </c>
      <c r="M2707" s="24"/>
      <c r="N2707" s="27" t="str">
        <f aca="false">IF(B2707="","",IFERROR(1000-SUMPRODUCT(MAX(ISNUMBER(SEARCH(Rules!$A$5:$A$204,B2707))*(Rules!$A$5:$A$204&lt;&gt;"")*(1000-ROW(Rules!$A$5:$A$204)))),""))</f>
        <v/>
      </c>
    </row>
    <row r="2708" customFormat="false" ht="15" hidden="false" customHeight="false" outlineLevel="0" collapsed="false">
      <c r="A2708" s="23"/>
      <c r="B2708" s="24"/>
      <c r="C2708" s="25"/>
      <c r="D2708" s="24"/>
      <c r="E2708" s="21" t="str">
        <f aca="false">IF(OR(B2708="",N(N2708)=0,N2708=1000),IF(B2708="","","Check"),INDEX(Rules!$B:$B,N2708))</f>
        <v/>
      </c>
      <c r="F2708" s="21" t="str">
        <f aca="false">IF(OR(B2708="",N(N2708)=0,N2708=1000),"",INDEX(Rules!$C:$C,N2708))</f>
        <v/>
      </c>
      <c r="G2708" s="24"/>
      <c r="H2708" s="24"/>
      <c r="I2708" s="20" t="str">
        <f aca="false">IF(B2708="","",IF(G2708&lt;&gt;"",G2708,E2708))</f>
        <v/>
      </c>
      <c r="J2708" s="21" t="str">
        <f aca="false">IF(B2708="","",IF(H2708&lt;&gt;"",H2708,F2708))</f>
        <v/>
      </c>
      <c r="K2708" s="26" t="str">
        <f aca="false">IF(A2708="","",DATE(YEAR(A2708),MONTH(A2708),1))</f>
        <v/>
      </c>
      <c r="L2708" s="21" t="str">
        <f aca="false">IF(J2708="",IF(B2708="","",IF(N(C2708)&gt;=0,"Income","Expense")),IFERROR(INDEX(Lists!$B$2:$B$30,MATCH(J2708,Lists!$A$2:$A$30,0)),""))</f>
        <v/>
      </c>
      <c r="M2708" s="24"/>
      <c r="N2708" s="27" t="str">
        <f aca="false">IF(B2708="","",IFERROR(1000-SUMPRODUCT(MAX(ISNUMBER(SEARCH(Rules!$A$5:$A$204,B2708))*(Rules!$A$5:$A$204&lt;&gt;"")*(1000-ROW(Rules!$A$5:$A$204)))),""))</f>
        <v/>
      </c>
    </row>
    <row r="2709" customFormat="false" ht="15" hidden="false" customHeight="false" outlineLevel="0" collapsed="false">
      <c r="A2709" s="23"/>
      <c r="B2709" s="24"/>
      <c r="C2709" s="25"/>
      <c r="D2709" s="24"/>
      <c r="E2709" s="21" t="str">
        <f aca="false">IF(OR(B2709="",N(N2709)=0,N2709=1000),IF(B2709="","","Check"),INDEX(Rules!$B:$B,N2709))</f>
        <v/>
      </c>
      <c r="F2709" s="21" t="str">
        <f aca="false">IF(OR(B2709="",N(N2709)=0,N2709=1000),"",INDEX(Rules!$C:$C,N2709))</f>
        <v/>
      </c>
      <c r="G2709" s="24"/>
      <c r="H2709" s="24"/>
      <c r="I2709" s="20" t="str">
        <f aca="false">IF(B2709="","",IF(G2709&lt;&gt;"",G2709,E2709))</f>
        <v/>
      </c>
      <c r="J2709" s="21" t="str">
        <f aca="false">IF(B2709="","",IF(H2709&lt;&gt;"",H2709,F2709))</f>
        <v/>
      </c>
      <c r="K2709" s="26" t="str">
        <f aca="false">IF(A2709="","",DATE(YEAR(A2709),MONTH(A2709),1))</f>
        <v/>
      </c>
      <c r="L2709" s="21" t="str">
        <f aca="false">IF(J2709="",IF(B2709="","",IF(N(C2709)&gt;=0,"Income","Expense")),IFERROR(INDEX(Lists!$B$2:$B$30,MATCH(J2709,Lists!$A$2:$A$30,0)),""))</f>
        <v/>
      </c>
      <c r="M2709" s="24"/>
      <c r="N2709" s="27" t="str">
        <f aca="false">IF(B2709="","",IFERROR(1000-SUMPRODUCT(MAX(ISNUMBER(SEARCH(Rules!$A$5:$A$204,B2709))*(Rules!$A$5:$A$204&lt;&gt;"")*(1000-ROW(Rules!$A$5:$A$204)))),""))</f>
        <v/>
      </c>
    </row>
    <row r="2710" customFormat="false" ht="15" hidden="false" customHeight="false" outlineLevel="0" collapsed="false">
      <c r="A2710" s="23"/>
      <c r="B2710" s="24"/>
      <c r="C2710" s="25"/>
      <c r="D2710" s="24"/>
      <c r="E2710" s="21" t="str">
        <f aca="false">IF(OR(B2710="",N(N2710)=0,N2710=1000),IF(B2710="","","Check"),INDEX(Rules!$B:$B,N2710))</f>
        <v/>
      </c>
      <c r="F2710" s="21" t="str">
        <f aca="false">IF(OR(B2710="",N(N2710)=0,N2710=1000),"",INDEX(Rules!$C:$C,N2710))</f>
        <v/>
      </c>
      <c r="G2710" s="24"/>
      <c r="H2710" s="24"/>
      <c r="I2710" s="20" t="str">
        <f aca="false">IF(B2710="","",IF(G2710&lt;&gt;"",G2710,E2710))</f>
        <v/>
      </c>
      <c r="J2710" s="21" t="str">
        <f aca="false">IF(B2710="","",IF(H2710&lt;&gt;"",H2710,F2710))</f>
        <v/>
      </c>
      <c r="K2710" s="26" t="str">
        <f aca="false">IF(A2710="","",DATE(YEAR(A2710),MONTH(A2710),1))</f>
        <v/>
      </c>
      <c r="L2710" s="21" t="str">
        <f aca="false">IF(J2710="",IF(B2710="","",IF(N(C2710)&gt;=0,"Income","Expense")),IFERROR(INDEX(Lists!$B$2:$B$30,MATCH(J2710,Lists!$A$2:$A$30,0)),""))</f>
        <v/>
      </c>
      <c r="M2710" s="24"/>
      <c r="N2710" s="27" t="str">
        <f aca="false">IF(B2710="","",IFERROR(1000-SUMPRODUCT(MAX(ISNUMBER(SEARCH(Rules!$A$5:$A$204,B2710))*(Rules!$A$5:$A$204&lt;&gt;"")*(1000-ROW(Rules!$A$5:$A$204)))),""))</f>
        <v/>
      </c>
    </row>
    <row r="2711" customFormat="false" ht="15" hidden="false" customHeight="false" outlineLevel="0" collapsed="false">
      <c r="A2711" s="23"/>
      <c r="B2711" s="24"/>
      <c r="C2711" s="25"/>
      <c r="D2711" s="24"/>
      <c r="E2711" s="21" t="str">
        <f aca="false">IF(OR(B2711="",N(N2711)=0,N2711=1000),IF(B2711="","","Check"),INDEX(Rules!$B:$B,N2711))</f>
        <v/>
      </c>
      <c r="F2711" s="21" t="str">
        <f aca="false">IF(OR(B2711="",N(N2711)=0,N2711=1000),"",INDEX(Rules!$C:$C,N2711))</f>
        <v/>
      </c>
      <c r="G2711" s="24"/>
      <c r="H2711" s="24"/>
      <c r="I2711" s="20" t="str">
        <f aca="false">IF(B2711="","",IF(G2711&lt;&gt;"",G2711,E2711))</f>
        <v/>
      </c>
      <c r="J2711" s="21" t="str">
        <f aca="false">IF(B2711="","",IF(H2711&lt;&gt;"",H2711,F2711))</f>
        <v/>
      </c>
      <c r="K2711" s="26" t="str">
        <f aca="false">IF(A2711="","",DATE(YEAR(A2711),MONTH(A2711),1))</f>
        <v/>
      </c>
      <c r="L2711" s="21" t="str">
        <f aca="false">IF(J2711="",IF(B2711="","",IF(N(C2711)&gt;=0,"Income","Expense")),IFERROR(INDEX(Lists!$B$2:$B$30,MATCH(J2711,Lists!$A$2:$A$30,0)),""))</f>
        <v/>
      </c>
      <c r="M2711" s="24"/>
      <c r="N2711" s="27" t="str">
        <f aca="false">IF(B2711="","",IFERROR(1000-SUMPRODUCT(MAX(ISNUMBER(SEARCH(Rules!$A$5:$A$204,B2711))*(Rules!$A$5:$A$204&lt;&gt;"")*(1000-ROW(Rules!$A$5:$A$204)))),""))</f>
        <v/>
      </c>
    </row>
    <row r="2712" customFormat="false" ht="15" hidden="false" customHeight="false" outlineLevel="0" collapsed="false">
      <c r="A2712" s="23"/>
      <c r="B2712" s="24"/>
      <c r="C2712" s="25"/>
      <c r="D2712" s="24"/>
      <c r="E2712" s="21" t="str">
        <f aca="false">IF(OR(B2712="",N(N2712)=0,N2712=1000),IF(B2712="","","Check"),INDEX(Rules!$B:$B,N2712))</f>
        <v/>
      </c>
      <c r="F2712" s="21" t="str">
        <f aca="false">IF(OR(B2712="",N(N2712)=0,N2712=1000),"",INDEX(Rules!$C:$C,N2712))</f>
        <v/>
      </c>
      <c r="G2712" s="24"/>
      <c r="H2712" s="24"/>
      <c r="I2712" s="20" t="str">
        <f aca="false">IF(B2712="","",IF(G2712&lt;&gt;"",G2712,E2712))</f>
        <v/>
      </c>
      <c r="J2712" s="21" t="str">
        <f aca="false">IF(B2712="","",IF(H2712&lt;&gt;"",H2712,F2712))</f>
        <v/>
      </c>
      <c r="K2712" s="26" t="str">
        <f aca="false">IF(A2712="","",DATE(YEAR(A2712),MONTH(A2712),1))</f>
        <v/>
      </c>
      <c r="L2712" s="21" t="str">
        <f aca="false">IF(J2712="",IF(B2712="","",IF(N(C2712)&gt;=0,"Income","Expense")),IFERROR(INDEX(Lists!$B$2:$B$30,MATCH(J2712,Lists!$A$2:$A$30,0)),""))</f>
        <v/>
      </c>
      <c r="M2712" s="24"/>
      <c r="N2712" s="27" t="str">
        <f aca="false">IF(B2712="","",IFERROR(1000-SUMPRODUCT(MAX(ISNUMBER(SEARCH(Rules!$A$5:$A$204,B2712))*(Rules!$A$5:$A$204&lt;&gt;"")*(1000-ROW(Rules!$A$5:$A$204)))),""))</f>
        <v/>
      </c>
    </row>
    <row r="2713" customFormat="false" ht="15" hidden="false" customHeight="false" outlineLevel="0" collapsed="false">
      <c r="A2713" s="23"/>
      <c r="B2713" s="24"/>
      <c r="C2713" s="25"/>
      <c r="D2713" s="24"/>
      <c r="E2713" s="21" t="str">
        <f aca="false">IF(OR(B2713="",N(N2713)=0,N2713=1000),IF(B2713="","","Check"),INDEX(Rules!$B:$B,N2713))</f>
        <v/>
      </c>
      <c r="F2713" s="21" t="str">
        <f aca="false">IF(OR(B2713="",N(N2713)=0,N2713=1000),"",INDEX(Rules!$C:$C,N2713))</f>
        <v/>
      </c>
      <c r="G2713" s="24"/>
      <c r="H2713" s="24"/>
      <c r="I2713" s="20" t="str">
        <f aca="false">IF(B2713="","",IF(G2713&lt;&gt;"",G2713,E2713))</f>
        <v/>
      </c>
      <c r="J2713" s="21" t="str">
        <f aca="false">IF(B2713="","",IF(H2713&lt;&gt;"",H2713,F2713))</f>
        <v/>
      </c>
      <c r="K2713" s="26" t="str">
        <f aca="false">IF(A2713="","",DATE(YEAR(A2713),MONTH(A2713),1))</f>
        <v/>
      </c>
      <c r="L2713" s="21" t="str">
        <f aca="false">IF(J2713="",IF(B2713="","",IF(N(C2713)&gt;=0,"Income","Expense")),IFERROR(INDEX(Lists!$B$2:$B$30,MATCH(J2713,Lists!$A$2:$A$30,0)),""))</f>
        <v/>
      </c>
      <c r="M2713" s="24"/>
      <c r="N2713" s="27" t="str">
        <f aca="false">IF(B2713="","",IFERROR(1000-SUMPRODUCT(MAX(ISNUMBER(SEARCH(Rules!$A$5:$A$204,B2713))*(Rules!$A$5:$A$204&lt;&gt;"")*(1000-ROW(Rules!$A$5:$A$204)))),""))</f>
        <v/>
      </c>
    </row>
    <row r="2714" customFormat="false" ht="15" hidden="false" customHeight="false" outlineLevel="0" collapsed="false">
      <c r="A2714" s="23"/>
      <c r="B2714" s="24"/>
      <c r="C2714" s="25"/>
      <c r="D2714" s="24"/>
      <c r="E2714" s="21" t="str">
        <f aca="false">IF(OR(B2714="",N(N2714)=0,N2714=1000),IF(B2714="","","Check"),INDEX(Rules!$B:$B,N2714))</f>
        <v/>
      </c>
      <c r="F2714" s="21" t="str">
        <f aca="false">IF(OR(B2714="",N(N2714)=0,N2714=1000),"",INDEX(Rules!$C:$C,N2714))</f>
        <v/>
      </c>
      <c r="G2714" s="24"/>
      <c r="H2714" s="24"/>
      <c r="I2714" s="20" t="str">
        <f aca="false">IF(B2714="","",IF(G2714&lt;&gt;"",G2714,E2714))</f>
        <v/>
      </c>
      <c r="J2714" s="21" t="str">
        <f aca="false">IF(B2714="","",IF(H2714&lt;&gt;"",H2714,F2714))</f>
        <v/>
      </c>
      <c r="K2714" s="26" t="str">
        <f aca="false">IF(A2714="","",DATE(YEAR(A2714),MONTH(A2714),1))</f>
        <v/>
      </c>
      <c r="L2714" s="21" t="str">
        <f aca="false">IF(J2714="",IF(B2714="","",IF(N(C2714)&gt;=0,"Income","Expense")),IFERROR(INDEX(Lists!$B$2:$B$30,MATCH(J2714,Lists!$A$2:$A$30,0)),""))</f>
        <v/>
      </c>
      <c r="M2714" s="24"/>
      <c r="N2714" s="27" t="str">
        <f aca="false">IF(B2714="","",IFERROR(1000-SUMPRODUCT(MAX(ISNUMBER(SEARCH(Rules!$A$5:$A$204,B2714))*(Rules!$A$5:$A$204&lt;&gt;"")*(1000-ROW(Rules!$A$5:$A$204)))),""))</f>
        <v/>
      </c>
    </row>
    <row r="2715" customFormat="false" ht="15" hidden="false" customHeight="false" outlineLevel="0" collapsed="false">
      <c r="A2715" s="23"/>
      <c r="B2715" s="24"/>
      <c r="C2715" s="25"/>
      <c r="D2715" s="24"/>
      <c r="E2715" s="21" t="str">
        <f aca="false">IF(OR(B2715="",N(N2715)=0,N2715=1000),IF(B2715="","","Check"),INDEX(Rules!$B:$B,N2715))</f>
        <v/>
      </c>
      <c r="F2715" s="21" t="str">
        <f aca="false">IF(OR(B2715="",N(N2715)=0,N2715=1000),"",INDEX(Rules!$C:$C,N2715))</f>
        <v/>
      </c>
      <c r="G2715" s="24"/>
      <c r="H2715" s="24"/>
      <c r="I2715" s="20" t="str">
        <f aca="false">IF(B2715="","",IF(G2715&lt;&gt;"",G2715,E2715))</f>
        <v/>
      </c>
      <c r="J2715" s="21" t="str">
        <f aca="false">IF(B2715="","",IF(H2715&lt;&gt;"",H2715,F2715))</f>
        <v/>
      </c>
      <c r="K2715" s="26" t="str">
        <f aca="false">IF(A2715="","",DATE(YEAR(A2715),MONTH(A2715),1))</f>
        <v/>
      </c>
      <c r="L2715" s="21" t="str">
        <f aca="false">IF(J2715="",IF(B2715="","",IF(N(C2715)&gt;=0,"Income","Expense")),IFERROR(INDEX(Lists!$B$2:$B$30,MATCH(J2715,Lists!$A$2:$A$30,0)),""))</f>
        <v/>
      </c>
      <c r="M2715" s="24"/>
      <c r="N2715" s="27" t="str">
        <f aca="false">IF(B2715="","",IFERROR(1000-SUMPRODUCT(MAX(ISNUMBER(SEARCH(Rules!$A$5:$A$204,B2715))*(Rules!$A$5:$A$204&lt;&gt;"")*(1000-ROW(Rules!$A$5:$A$204)))),""))</f>
        <v/>
      </c>
    </row>
    <row r="2716" customFormat="false" ht="15" hidden="false" customHeight="false" outlineLevel="0" collapsed="false">
      <c r="A2716" s="23"/>
      <c r="B2716" s="24"/>
      <c r="C2716" s="25"/>
      <c r="D2716" s="24"/>
      <c r="E2716" s="21" t="str">
        <f aca="false">IF(OR(B2716="",N(N2716)=0,N2716=1000),IF(B2716="","","Check"),INDEX(Rules!$B:$B,N2716))</f>
        <v/>
      </c>
      <c r="F2716" s="21" t="str">
        <f aca="false">IF(OR(B2716="",N(N2716)=0,N2716=1000),"",INDEX(Rules!$C:$C,N2716))</f>
        <v/>
      </c>
      <c r="G2716" s="24"/>
      <c r="H2716" s="24"/>
      <c r="I2716" s="20" t="str">
        <f aca="false">IF(B2716="","",IF(G2716&lt;&gt;"",G2716,E2716))</f>
        <v/>
      </c>
      <c r="J2716" s="21" t="str">
        <f aca="false">IF(B2716="","",IF(H2716&lt;&gt;"",H2716,F2716))</f>
        <v/>
      </c>
      <c r="K2716" s="26" t="str">
        <f aca="false">IF(A2716="","",DATE(YEAR(A2716),MONTH(A2716),1))</f>
        <v/>
      </c>
      <c r="L2716" s="21" t="str">
        <f aca="false">IF(J2716="",IF(B2716="","",IF(N(C2716)&gt;=0,"Income","Expense")),IFERROR(INDEX(Lists!$B$2:$B$30,MATCH(J2716,Lists!$A$2:$A$30,0)),""))</f>
        <v/>
      </c>
      <c r="M2716" s="24"/>
      <c r="N2716" s="27" t="str">
        <f aca="false">IF(B2716="","",IFERROR(1000-SUMPRODUCT(MAX(ISNUMBER(SEARCH(Rules!$A$5:$A$204,B2716))*(Rules!$A$5:$A$204&lt;&gt;"")*(1000-ROW(Rules!$A$5:$A$204)))),""))</f>
        <v/>
      </c>
    </row>
    <row r="2717" customFormat="false" ht="15" hidden="false" customHeight="false" outlineLevel="0" collapsed="false">
      <c r="A2717" s="23"/>
      <c r="B2717" s="24"/>
      <c r="C2717" s="25"/>
      <c r="D2717" s="24"/>
      <c r="E2717" s="21" t="str">
        <f aca="false">IF(OR(B2717="",N(N2717)=0,N2717=1000),IF(B2717="","","Check"),INDEX(Rules!$B:$B,N2717))</f>
        <v/>
      </c>
      <c r="F2717" s="21" t="str">
        <f aca="false">IF(OR(B2717="",N(N2717)=0,N2717=1000),"",INDEX(Rules!$C:$C,N2717))</f>
        <v/>
      </c>
      <c r="G2717" s="24"/>
      <c r="H2717" s="24"/>
      <c r="I2717" s="20" t="str">
        <f aca="false">IF(B2717="","",IF(G2717&lt;&gt;"",G2717,E2717))</f>
        <v/>
      </c>
      <c r="J2717" s="21" t="str">
        <f aca="false">IF(B2717="","",IF(H2717&lt;&gt;"",H2717,F2717))</f>
        <v/>
      </c>
      <c r="K2717" s="26" t="str">
        <f aca="false">IF(A2717="","",DATE(YEAR(A2717),MONTH(A2717),1))</f>
        <v/>
      </c>
      <c r="L2717" s="21" t="str">
        <f aca="false">IF(J2717="",IF(B2717="","",IF(N(C2717)&gt;=0,"Income","Expense")),IFERROR(INDEX(Lists!$B$2:$B$30,MATCH(J2717,Lists!$A$2:$A$30,0)),""))</f>
        <v/>
      </c>
      <c r="M2717" s="24"/>
      <c r="N2717" s="27" t="str">
        <f aca="false">IF(B2717="","",IFERROR(1000-SUMPRODUCT(MAX(ISNUMBER(SEARCH(Rules!$A$5:$A$204,B2717))*(Rules!$A$5:$A$204&lt;&gt;"")*(1000-ROW(Rules!$A$5:$A$204)))),""))</f>
        <v/>
      </c>
    </row>
    <row r="2718" customFormat="false" ht="15" hidden="false" customHeight="false" outlineLevel="0" collapsed="false">
      <c r="A2718" s="23"/>
      <c r="B2718" s="24"/>
      <c r="C2718" s="25"/>
      <c r="D2718" s="24"/>
      <c r="E2718" s="21" t="str">
        <f aca="false">IF(OR(B2718="",N(N2718)=0,N2718=1000),IF(B2718="","","Check"),INDEX(Rules!$B:$B,N2718))</f>
        <v/>
      </c>
      <c r="F2718" s="21" t="str">
        <f aca="false">IF(OR(B2718="",N(N2718)=0,N2718=1000),"",INDEX(Rules!$C:$C,N2718))</f>
        <v/>
      </c>
      <c r="G2718" s="24"/>
      <c r="H2718" s="24"/>
      <c r="I2718" s="20" t="str">
        <f aca="false">IF(B2718="","",IF(G2718&lt;&gt;"",G2718,E2718))</f>
        <v/>
      </c>
      <c r="J2718" s="21" t="str">
        <f aca="false">IF(B2718="","",IF(H2718&lt;&gt;"",H2718,F2718))</f>
        <v/>
      </c>
      <c r="K2718" s="26" t="str">
        <f aca="false">IF(A2718="","",DATE(YEAR(A2718),MONTH(A2718),1))</f>
        <v/>
      </c>
      <c r="L2718" s="21" t="str">
        <f aca="false">IF(J2718="",IF(B2718="","",IF(N(C2718)&gt;=0,"Income","Expense")),IFERROR(INDEX(Lists!$B$2:$B$30,MATCH(J2718,Lists!$A$2:$A$30,0)),""))</f>
        <v/>
      </c>
      <c r="M2718" s="24"/>
      <c r="N2718" s="27" t="str">
        <f aca="false">IF(B2718="","",IFERROR(1000-SUMPRODUCT(MAX(ISNUMBER(SEARCH(Rules!$A$5:$A$204,B2718))*(Rules!$A$5:$A$204&lt;&gt;"")*(1000-ROW(Rules!$A$5:$A$204)))),""))</f>
        <v/>
      </c>
    </row>
    <row r="2719" customFormat="false" ht="15" hidden="false" customHeight="false" outlineLevel="0" collapsed="false">
      <c r="A2719" s="23"/>
      <c r="B2719" s="24"/>
      <c r="C2719" s="25"/>
      <c r="D2719" s="24"/>
      <c r="E2719" s="21" t="str">
        <f aca="false">IF(OR(B2719="",N(N2719)=0,N2719=1000),IF(B2719="","","Check"),INDEX(Rules!$B:$B,N2719))</f>
        <v/>
      </c>
      <c r="F2719" s="21" t="str">
        <f aca="false">IF(OR(B2719="",N(N2719)=0,N2719=1000),"",INDEX(Rules!$C:$C,N2719))</f>
        <v/>
      </c>
      <c r="G2719" s="24"/>
      <c r="H2719" s="24"/>
      <c r="I2719" s="20" t="str">
        <f aca="false">IF(B2719="","",IF(G2719&lt;&gt;"",G2719,E2719))</f>
        <v/>
      </c>
      <c r="J2719" s="21" t="str">
        <f aca="false">IF(B2719="","",IF(H2719&lt;&gt;"",H2719,F2719))</f>
        <v/>
      </c>
      <c r="K2719" s="26" t="str">
        <f aca="false">IF(A2719="","",DATE(YEAR(A2719),MONTH(A2719),1))</f>
        <v/>
      </c>
      <c r="L2719" s="21" t="str">
        <f aca="false">IF(J2719="",IF(B2719="","",IF(N(C2719)&gt;=0,"Income","Expense")),IFERROR(INDEX(Lists!$B$2:$B$30,MATCH(J2719,Lists!$A$2:$A$30,0)),""))</f>
        <v/>
      </c>
      <c r="M2719" s="24"/>
      <c r="N2719" s="27" t="str">
        <f aca="false">IF(B2719="","",IFERROR(1000-SUMPRODUCT(MAX(ISNUMBER(SEARCH(Rules!$A$5:$A$204,B2719))*(Rules!$A$5:$A$204&lt;&gt;"")*(1000-ROW(Rules!$A$5:$A$204)))),""))</f>
        <v/>
      </c>
    </row>
    <row r="2720" customFormat="false" ht="15" hidden="false" customHeight="false" outlineLevel="0" collapsed="false">
      <c r="A2720" s="23"/>
      <c r="B2720" s="24"/>
      <c r="C2720" s="25"/>
      <c r="D2720" s="24"/>
      <c r="E2720" s="21" t="str">
        <f aca="false">IF(OR(B2720="",N(N2720)=0,N2720=1000),IF(B2720="","","Check"),INDEX(Rules!$B:$B,N2720))</f>
        <v/>
      </c>
      <c r="F2720" s="21" t="str">
        <f aca="false">IF(OR(B2720="",N(N2720)=0,N2720=1000),"",INDEX(Rules!$C:$C,N2720))</f>
        <v/>
      </c>
      <c r="G2720" s="24"/>
      <c r="H2720" s="24"/>
      <c r="I2720" s="20" t="str">
        <f aca="false">IF(B2720="","",IF(G2720&lt;&gt;"",G2720,E2720))</f>
        <v/>
      </c>
      <c r="J2720" s="21" t="str">
        <f aca="false">IF(B2720="","",IF(H2720&lt;&gt;"",H2720,F2720))</f>
        <v/>
      </c>
      <c r="K2720" s="26" t="str">
        <f aca="false">IF(A2720="","",DATE(YEAR(A2720),MONTH(A2720),1))</f>
        <v/>
      </c>
      <c r="L2720" s="21" t="str">
        <f aca="false">IF(J2720="",IF(B2720="","",IF(N(C2720)&gt;=0,"Income","Expense")),IFERROR(INDEX(Lists!$B$2:$B$30,MATCH(J2720,Lists!$A$2:$A$30,0)),""))</f>
        <v/>
      </c>
      <c r="M2720" s="24"/>
      <c r="N2720" s="27" t="str">
        <f aca="false">IF(B2720="","",IFERROR(1000-SUMPRODUCT(MAX(ISNUMBER(SEARCH(Rules!$A$5:$A$204,B2720))*(Rules!$A$5:$A$204&lt;&gt;"")*(1000-ROW(Rules!$A$5:$A$204)))),""))</f>
        <v/>
      </c>
    </row>
    <row r="2721" customFormat="false" ht="15" hidden="false" customHeight="false" outlineLevel="0" collapsed="false">
      <c r="A2721" s="23"/>
      <c r="B2721" s="24"/>
      <c r="C2721" s="25"/>
      <c r="D2721" s="24"/>
      <c r="E2721" s="21" t="str">
        <f aca="false">IF(OR(B2721="",N(N2721)=0,N2721=1000),IF(B2721="","","Check"),INDEX(Rules!$B:$B,N2721))</f>
        <v/>
      </c>
      <c r="F2721" s="21" t="str">
        <f aca="false">IF(OR(B2721="",N(N2721)=0,N2721=1000),"",INDEX(Rules!$C:$C,N2721))</f>
        <v/>
      </c>
      <c r="G2721" s="24"/>
      <c r="H2721" s="24"/>
      <c r="I2721" s="20" t="str">
        <f aca="false">IF(B2721="","",IF(G2721&lt;&gt;"",G2721,E2721))</f>
        <v/>
      </c>
      <c r="J2721" s="21" t="str">
        <f aca="false">IF(B2721="","",IF(H2721&lt;&gt;"",H2721,F2721))</f>
        <v/>
      </c>
      <c r="K2721" s="26" t="str">
        <f aca="false">IF(A2721="","",DATE(YEAR(A2721),MONTH(A2721),1))</f>
        <v/>
      </c>
      <c r="L2721" s="21" t="str">
        <f aca="false">IF(J2721="",IF(B2721="","",IF(N(C2721)&gt;=0,"Income","Expense")),IFERROR(INDEX(Lists!$B$2:$B$30,MATCH(J2721,Lists!$A$2:$A$30,0)),""))</f>
        <v/>
      </c>
      <c r="M2721" s="24"/>
      <c r="N2721" s="27" t="str">
        <f aca="false">IF(B2721="","",IFERROR(1000-SUMPRODUCT(MAX(ISNUMBER(SEARCH(Rules!$A$5:$A$204,B2721))*(Rules!$A$5:$A$204&lt;&gt;"")*(1000-ROW(Rules!$A$5:$A$204)))),""))</f>
        <v/>
      </c>
    </row>
    <row r="2722" customFormat="false" ht="15" hidden="false" customHeight="false" outlineLevel="0" collapsed="false">
      <c r="A2722" s="23"/>
      <c r="B2722" s="24"/>
      <c r="C2722" s="25"/>
      <c r="D2722" s="24"/>
      <c r="E2722" s="21" t="str">
        <f aca="false">IF(OR(B2722="",N(N2722)=0,N2722=1000),IF(B2722="","","Check"),INDEX(Rules!$B:$B,N2722))</f>
        <v/>
      </c>
      <c r="F2722" s="21" t="str">
        <f aca="false">IF(OR(B2722="",N(N2722)=0,N2722=1000),"",INDEX(Rules!$C:$C,N2722))</f>
        <v/>
      </c>
      <c r="G2722" s="24"/>
      <c r="H2722" s="24"/>
      <c r="I2722" s="20" t="str">
        <f aca="false">IF(B2722="","",IF(G2722&lt;&gt;"",G2722,E2722))</f>
        <v/>
      </c>
      <c r="J2722" s="21" t="str">
        <f aca="false">IF(B2722="","",IF(H2722&lt;&gt;"",H2722,F2722))</f>
        <v/>
      </c>
      <c r="K2722" s="26" t="str">
        <f aca="false">IF(A2722="","",DATE(YEAR(A2722),MONTH(A2722),1))</f>
        <v/>
      </c>
      <c r="L2722" s="21" t="str">
        <f aca="false">IF(J2722="",IF(B2722="","",IF(N(C2722)&gt;=0,"Income","Expense")),IFERROR(INDEX(Lists!$B$2:$B$30,MATCH(J2722,Lists!$A$2:$A$30,0)),""))</f>
        <v/>
      </c>
      <c r="M2722" s="24"/>
      <c r="N2722" s="27" t="str">
        <f aca="false">IF(B2722="","",IFERROR(1000-SUMPRODUCT(MAX(ISNUMBER(SEARCH(Rules!$A$5:$A$204,B2722))*(Rules!$A$5:$A$204&lt;&gt;"")*(1000-ROW(Rules!$A$5:$A$204)))),""))</f>
        <v/>
      </c>
    </row>
    <row r="2723" customFormat="false" ht="15" hidden="false" customHeight="false" outlineLevel="0" collapsed="false">
      <c r="A2723" s="23"/>
      <c r="B2723" s="24"/>
      <c r="C2723" s="25"/>
      <c r="D2723" s="24"/>
      <c r="E2723" s="21" t="str">
        <f aca="false">IF(OR(B2723="",N(N2723)=0,N2723=1000),IF(B2723="","","Check"),INDEX(Rules!$B:$B,N2723))</f>
        <v/>
      </c>
      <c r="F2723" s="21" t="str">
        <f aca="false">IF(OR(B2723="",N(N2723)=0,N2723=1000),"",INDEX(Rules!$C:$C,N2723))</f>
        <v/>
      </c>
      <c r="G2723" s="24"/>
      <c r="H2723" s="24"/>
      <c r="I2723" s="20" t="str">
        <f aca="false">IF(B2723="","",IF(G2723&lt;&gt;"",G2723,E2723))</f>
        <v/>
      </c>
      <c r="J2723" s="21" t="str">
        <f aca="false">IF(B2723="","",IF(H2723&lt;&gt;"",H2723,F2723))</f>
        <v/>
      </c>
      <c r="K2723" s="26" t="str">
        <f aca="false">IF(A2723="","",DATE(YEAR(A2723),MONTH(A2723),1))</f>
        <v/>
      </c>
      <c r="L2723" s="21" t="str">
        <f aca="false">IF(J2723="",IF(B2723="","",IF(N(C2723)&gt;=0,"Income","Expense")),IFERROR(INDEX(Lists!$B$2:$B$30,MATCH(J2723,Lists!$A$2:$A$30,0)),""))</f>
        <v/>
      </c>
      <c r="M2723" s="24"/>
      <c r="N2723" s="27" t="str">
        <f aca="false">IF(B2723="","",IFERROR(1000-SUMPRODUCT(MAX(ISNUMBER(SEARCH(Rules!$A$5:$A$204,B2723))*(Rules!$A$5:$A$204&lt;&gt;"")*(1000-ROW(Rules!$A$5:$A$204)))),""))</f>
        <v/>
      </c>
    </row>
    <row r="2724" customFormat="false" ht="15" hidden="false" customHeight="false" outlineLevel="0" collapsed="false">
      <c r="A2724" s="23"/>
      <c r="B2724" s="24"/>
      <c r="C2724" s="25"/>
      <c r="D2724" s="24"/>
      <c r="E2724" s="21" t="str">
        <f aca="false">IF(OR(B2724="",N(N2724)=0,N2724=1000),IF(B2724="","","Check"),INDEX(Rules!$B:$B,N2724))</f>
        <v/>
      </c>
      <c r="F2724" s="21" t="str">
        <f aca="false">IF(OR(B2724="",N(N2724)=0,N2724=1000),"",INDEX(Rules!$C:$C,N2724))</f>
        <v/>
      </c>
      <c r="G2724" s="24"/>
      <c r="H2724" s="24"/>
      <c r="I2724" s="20" t="str">
        <f aca="false">IF(B2724="","",IF(G2724&lt;&gt;"",G2724,E2724))</f>
        <v/>
      </c>
      <c r="J2724" s="21" t="str">
        <f aca="false">IF(B2724="","",IF(H2724&lt;&gt;"",H2724,F2724))</f>
        <v/>
      </c>
      <c r="K2724" s="26" t="str">
        <f aca="false">IF(A2724="","",DATE(YEAR(A2724),MONTH(A2724),1))</f>
        <v/>
      </c>
      <c r="L2724" s="21" t="str">
        <f aca="false">IF(J2724="",IF(B2724="","",IF(N(C2724)&gt;=0,"Income","Expense")),IFERROR(INDEX(Lists!$B$2:$B$30,MATCH(J2724,Lists!$A$2:$A$30,0)),""))</f>
        <v/>
      </c>
      <c r="M2724" s="24"/>
      <c r="N2724" s="27" t="str">
        <f aca="false">IF(B2724="","",IFERROR(1000-SUMPRODUCT(MAX(ISNUMBER(SEARCH(Rules!$A$5:$A$204,B2724))*(Rules!$A$5:$A$204&lt;&gt;"")*(1000-ROW(Rules!$A$5:$A$204)))),""))</f>
        <v/>
      </c>
    </row>
    <row r="2725" customFormat="false" ht="15" hidden="false" customHeight="false" outlineLevel="0" collapsed="false">
      <c r="A2725" s="23"/>
      <c r="B2725" s="24"/>
      <c r="C2725" s="25"/>
      <c r="D2725" s="24"/>
      <c r="E2725" s="21" t="str">
        <f aca="false">IF(OR(B2725="",N(N2725)=0,N2725=1000),IF(B2725="","","Check"),INDEX(Rules!$B:$B,N2725))</f>
        <v/>
      </c>
      <c r="F2725" s="21" t="str">
        <f aca="false">IF(OR(B2725="",N(N2725)=0,N2725=1000),"",INDEX(Rules!$C:$C,N2725))</f>
        <v/>
      </c>
      <c r="G2725" s="24"/>
      <c r="H2725" s="24"/>
      <c r="I2725" s="20" t="str">
        <f aca="false">IF(B2725="","",IF(G2725&lt;&gt;"",G2725,E2725))</f>
        <v/>
      </c>
      <c r="J2725" s="21" t="str">
        <f aca="false">IF(B2725="","",IF(H2725&lt;&gt;"",H2725,F2725))</f>
        <v/>
      </c>
      <c r="K2725" s="26" t="str">
        <f aca="false">IF(A2725="","",DATE(YEAR(A2725),MONTH(A2725),1))</f>
        <v/>
      </c>
      <c r="L2725" s="21" t="str">
        <f aca="false">IF(J2725="",IF(B2725="","",IF(N(C2725)&gt;=0,"Income","Expense")),IFERROR(INDEX(Lists!$B$2:$B$30,MATCH(J2725,Lists!$A$2:$A$30,0)),""))</f>
        <v/>
      </c>
      <c r="M2725" s="24"/>
      <c r="N2725" s="27" t="str">
        <f aca="false">IF(B2725="","",IFERROR(1000-SUMPRODUCT(MAX(ISNUMBER(SEARCH(Rules!$A$5:$A$204,B2725))*(Rules!$A$5:$A$204&lt;&gt;"")*(1000-ROW(Rules!$A$5:$A$204)))),""))</f>
        <v/>
      </c>
    </row>
    <row r="2726" customFormat="false" ht="15" hidden="false" customHeight="false" outlineLevel="0" collapsed="false">
      <c r="A2726" s="23"/>
      <c r="B2726" s="24"/>
      <c r="C2726" s="25"/>
      <c r="D2726" s="24"/>
      <c r="E2726" s="21" t="str">
        <f aca="false">IF(OR(B2726="",N(N2726)=0,N2726=1000),IF(B2726="","","Check"),INDEX(Rules!$B:$B,N2726))</f>
        <v/>
      </c>
      <c r="F2726" s="21" t="str">
        <f aca="false">IF(OR(B2726="",N(N2726)=0,N2726=1000),"",INDEX(Rules!$C:$C,N2726))</f>
        <v/>
      </c>
      <c r="G2726" s="24"/>
      <c r="H2726" s="24"/>
      <c r="I2726" s="20" t="str">
        <f aca="false">IF(B2726="","",IF(G2726&lt;&gt;"",G2726,E2726))</f>
        <v/>
      </c>
      <c r="J2726" s="21" t="str">
        <f aca="false">IF(B2726="","",IF(H2726&lt;&gt;"",H2726,F2726))</f>
        <v/>
      </c>
      <c r="K2726" s="26" t="str">
        <f aca="false">IF(A2726="","",DATE(YEAR(A2726),MONTH(A2726),1))</f>
        <v/>
      </c>
      <c r="L2726" s="21" t="str">
        <f aca="false">IF(J2726="",IF(B2726="","",IF(N(C2726)&gt;=0,"Income","Expense")),IFERROR(INDEX(Lists!$B$2:$B$30,MATCH(J2726,Lists!$A$2:$A$30,0)),""))</f>
        <v/>
      </c>
      <c r="M2726" s="24"/>
      <c r="N2726" s="27" t="str">
        <f aca="false">IF(B2726="","",IFERROR(1000-SUMPRODUCT(MAX(ISNUMBER(SEARCH(Rules!$A$5:$A$204,B2726))*(Rules!$A$5:$A$204&lt;&gt;"")*(1000-ROW(Rules!$A$5:$A$204)))),""))</f>
        <v/>
      </c>
    </row>
    <row r="2727" customFormat="false" ht="15" hidden="false" customHeight="false" outlineLevel="0" collapsed="false">
      <c r="A2727" s="23"/>
      <c r="B2727" s="24"/>
      <c r="C2727" s="25"/>
      <c r="D2727" s="24"/>
      <c r="E2727" s="21" t="str">
        <f aca="false">IF(OR(B2727="",N(N2727)=0,N2727=1000),IF(B2727="","","Check"),INDEX(Rules!$B:$B,N2727))</f>
        <v/>
      </c>
      <c r="F2727" s="21" t="str">
        <f aca="false">IF(OR(B2727="",N(N2727)=0,N2727=1000),"",INDEX(Rules!$C:$C,N2727))</f>
        <v/>
      </c>
      <c r="G2727" s="24"/>
      <c r="H2727" s="24"/>
      <c r="I2727" s="20" t="str">
        <f aca="false">IF(B2727="","",IF(G2727&lt;&gt;"",G2727,E2727))</f>
        <v/>
      </c>
      <c r="J2727" s="21" t="str">
        <f aca="false">IF(B2727="","",IF(H2727&lt;&gt;"",H2727,F2727))</f>
        <v/>
      </c>
      <c r="K2727" s="26" t="str">
        <f aca="false">IF(A2727="","",DATE(YEAR(A2727),MONTH(A2727),1))</f>
        <v/>
      </c>
      <c r="L2727" s="21" t="str">
        <f aca="false">IF(J2727="",IF(B2727="","",IF(N(C2727)&gt;=0,"Income","Expense")),IFERROR(INDEX(Lists!$B$2:$B$30,MATCH(J2727,Lists!$A$2:$A$30,0)),""))</f>
        <v/>
      </c>
      <c r="M2727" s="24"/>
      <c r="N2727" s="27" t="str">
        <f aca="false">IF(B2727="","",IFERROR(1000-SUMPRODUCT(MAX(ISNUMBER(SEARCH(Rules!$A$5:$A$204,B2727))*(Rules!$A$5:$A$204&lt;&gt;"")*(1000-ROW(Rules!$A$5:$A$204)))),""))</f>
        <v/>
      </c>
    </row>
    <row r="2728" customFormat="false" ht="15" hidden="false" customHeight="false" outlineLevel="0" collapsed="false">
      <c r="A2728" s="23"/>
      <c r="B2728" s="24"/>
      <c r="C2728" s="25"/>
      <c r="D2728" s="24"/>
      <c r="E2728" s="21" t="str">
        <f aca="false">IF(OR(B2728="",N(N2728)=0,N2728=1000),IF(B2728="","","Check"),INDEX(Rules!$B:$B,N2728))</f>
        <v/>
      </c>
      <c r="F2728" s="21" t="str">
        <f aca="false">IF(OR(B2728="",N(N2728)=0,N2728=1000),"",INDEX(Rules!$C:$C,N2728))</f>
        <v/>
      </c>
      <c r="G2728" s="24"/>
      <c r="H2728" s="24"/>
      <c r="I2728" s="20" t="str">
        <f aca="false">IF(B2728="","",IF(G2728&lt;&gt;"",G2728,E2728))</f>
        <v/>
      </c>
      <c r="J2728" s="21" t="str">
        <f aca="false">IF(B2728="","",IF(H2728&lt;&gt;"",H2728,F2728))</f>
        <v/>
      </c>
      <c r="K2728" s="26" t="str">
        <f aca="false">IF(A2728="","",DATE(YEAR(A2728),MONTH(A2728),1))</f>
        <v/>
      </c>
      <c r="L2728" s="21" t="str">
        <f aca="false">IF(J2728="",IF(B2728="","",IF(N(C2728)&gt;=0,"Income","Expense")),IFERROR(INDEX(Lists!$B$2:$B$30,MATCH(J2728,Lists!$A$2:$A$30,0)),""))</f>
        <v/>
      </c>
      <c r="M2728" s="24"/>
      <c r="N2728" s="27" t="str">
        <f aca="false">IF(B2728="","",IFERROR(1000-SUMPRODUCT(MAX(ISNUMBER(SEARCH(Rules!$A$5:$A$204,B2728))*(Rules!$A$5:$A$204&lt;&gt;"")*(1000-ROW(Rules!$A$5:$A$204)))),""))</f>
        <v/>
      </c>
    </row>
    <row r="2729" customFormat="false" ht="15" hidden="false" customHeight="false" outlineLevel="0" collapsed="false">
      <c r="A2729" s="23"/>
      <c r="B2729" s="24"/>
      <c r="C2729" s="25"/>
      <c r="D2729" s="24"/>
      <c r="E2729" s="21" t="str">
        <f aca="false">IF(OR(B2729="",N(N2729)=0,N2729=1000),IF(B2729="","","Check"),INDEX(Rules!$B:$B,N2729))</f>
        <v/>
      </c>
      <c r="F2729" s="21" t="str">
        <f aca="false">IF(OR(B2729="",N(N2729)=0,N2729=1000),"",INDEX(Rules!$C:$C,N2729))</f>
        <v/>
      </c>
      <c r="G2729" s="24"/>
      <c r="H2729" s="24"/>
      <c r="I2729" s="20" t="str">
        <f aca="false">IF(B2729="","",IF(G2729&lt;&gt;"",G2729,E2729))</f>
        <v/>
      </c>
      <c r="J2729" s="21" t="str">
        <f aca="false">IF(B2729="","",IF(H2729&lt;&gt;"",H2729,F2729))</f>
        <v/>
      </c>
      <c r="K2729" s="26" t="str">
        <f aca="false">IF(A2729="","",DATE(YEAR(A2729),MONTH(A2729),1))</f>
        <v/>
      </c>
      <c r="L2729" s="21" t="str">
        <f aca="false">IF(J2729="",IF(B2729="","",IF(N(C2729)&gt;=0,"Income","Expense")),IFERROR(INDEX(Lists!$B$2:$B$30,MATCH(J2729,Lists!$A$2:$A$30,0)),""))</f>
        <v/>
      </c>
      <c r="M2729" s="24"/>
      <c r="N2729" s="27" t="str">
        <f aca="false">IF(B2729="","",IFERROR(1000-SUMPRODUCT(MAX(ISNUMBER(SEARCH(Rules!$A$5:$A$204,B2729))*(Rules!$A$5:$A$204&lt;&gt;"")*(1000-ROW(Rules!$A$5:$A$204)))),""))</f>
        <v/>
      </c>
    </row>
    <row r="2730" customFormat="false" ht="15" hidden="false" customHeight="false" outlineLevel="0" collapsed="false">
      <c r="A2730" s="23"/>
      <c r="B2730" s="24"/>
      <c r="C2730" s="25"/>
      <c r="D2730" s="24"/>
      <c r="E2730" s="21" t="str">
        <f aca="false">IF(OR(B2730="",N(N2730)=0,N2730=1000),IF(B2730="","","Check"),INDEX(Rules!$B:$B,N2730))</f>
        <v/>
      </c>
      <c r="F2730" s="21" t="str">
        <f aca="false">IF(OR(B2730="",N(N2730)=0,N2730=1000),"",INDEX(Rules!$C:$C,N2730))</f>
        <v/>
      </c>
      <c r="G2730" s="24"/>
      <c r="H2730" s="24"/>
      <c r="I2730" s="20" t="str">
        <f aca="false">IF(B2730="","",IF(G2730&lt;&gt;"",G2730,E2730))</f>
        <v/>
      </c>
      <c r="J2730" s="21" t="str">
        <f aca="false">IF(B2730="","",IF(H2730&lt;&gt;"",H2730,F2730))</f>
        <v/>
      </c>
      <c r="K2730" s="26" t="str">
        <f aca="false">IF(A2730="","",DATE(YEAR(A2730),MONTH(A2730),1))</f>
        <v/>
      </c>
      <c r="L2730" s="21" t="str">
        <f aca="false">IF(J2730="",IF(B2730="","",IF(N(C2730)&gt;=0,"Income","Expense")),IFERROR(INDEX(Lists!$B$2:$B$30,MATCH(J2730,Lists!$A$2:$A$30,0)),""))</f>
        <v/>
      </c>
      <c r="M2730" s="24"/>
      <c r="N2730" s="27" t="str">
        <f aca="false">IF(B2730="","",IFERROR(1000-SUMPRODUCT(MAX(ISNUMBER(SEARCH(Rules!$A$5:$A$204,B2730))*(Rules!$A$5:$A$204&lt;&gt;"")*(1000-ROW(Rules!$A$5:$A$204)))),""))</f>
        <v/>
      </c>
    </row>
    <row r="2731" customFormat="false" ht="15" hidden="false" customHeight="false" outlineLevel="0" collapsed="false">
      <c r="A2731" s="23"/>
      <c r="B2731" s="24"/>
      <c r="C2731" s="25"/>
      <c r="D2731" s="24"/>
      <c r="E2731" s="21" t="str">
        <f aca="false">IF(OR(B2731="",N(N2731)=0,N2731=1000),IF(B2731="","","Check"),INDEX(Rules!$B:$B,N2731))</f>
        <v/>
      </c>
      <c r="F2731" s="21" t="str">
        <f aca="false">IF(OR(B2731="",N(N2731)=0,N2731=1000),"",INDEX(Rules!$C:$C,N2731))</f>
        <v/>
      </c>
      <c r="G2731" s="24"/>
      <c r="H2731" s="24"/>
      <c r="I2731" s="20" t="str">
        <f aca="false">IF(B2731="","",IF(G2731&lt;&gt;"",G2731,E2731))</f>
        <v/>
      </c>
      <c r="J2731" s="21" t="str">
        <f aca="false">IF(B2731="","",IF(H2731&lt;&gt;"",H2731,F2731))</f>
        <v/>
      </c>
      <c r="K2731" s="26" t="str">
        <f aca="false">IF(A2731="","",DATE(YEAR(A2731),MONTH(A2731),1))</f>
        <v/>
      </c>
      <c r="L2731" s="21" t="str">
        <f aca="false">IF(J2731="",IF(B2731="","",IF(N(C2731)&gt;=0,"Income","Expense")),IFERROR(INDEX(Lists!$B$2:$B$30,MATCH(J2731,Lists!$A$2:$A$30,0)),""))</f>
        <v/>
      </c>
      <c r="M2731" s="24"/>
      <c r="N2731" s="27" t="str">
        <f aca="false">IF(B2731="","",IFERROR(1000-SUMPRODUCT(MAX(ISNUMBER(SEARCH(Rules!$A$5:$A$204,B2731))*(Rules!$A$5:$A$204&lt;&gt;"")*(1000-ROW(Rules!$A$5:$A$204)))),""))</f>
        <v/>
      </c>
    </row>
    <row r="2732" customFormat="false" ht="15" hidden="false" customHeight="false" outlineLevel="0" collapsed="false">
      <c r="A2732" s="23"/>
      <c r="B2732" s="24"/>
      <c r="C2732" s="25"/>
      <c r="D2732" s="24"/>
      <c r="E2732" s="21" t="str">
        <f aca="false">IF(OR(B2732="",N(N2732)=0,N2732=1000),IF(B2732="","","Check"),INDEX(Rules!$B:$B,N2732))</f>
        <v/>
      </c>
      <c r="F2732" s="21" t="str">
        <f aca="false">IF(OR(B2732="",N(N2732)=0,N2732=1000),"",INDEX(Rules!$C:$C,N2732))</f>
        <v/>
      </c>
      <c r="G2732" s="24"/>
      <c r="H2732" s="24"/>
      <c r="I2732" s="20" t="str">
        <f aca="false">IF(B2732="","",IF(G2732&lt;&gt;"",G2732,E2732))</f>
        <v/>
      </c>
      <c r="J2732" s="21" t="str">
        <f aca="false">IF(B2732="","",IF(H2732&lt;&gt;"",H2732,F2732))</f>
        <v/>
      </c>
      <c r="K2732" s="26" t="str">
        <f aca="false">IF(A2732="","",DATE(YEAR(A2732),MONTH(A2732),1))</f>
        <v/>
      </c>
      <c r="L2732" s="21" t="str">
        <f aca="false">IF(J2732="",IF(B2732="","",IF(N(C2732)&gt;=0,"Income","Expense")),IFERROR(INDEX(Lists!$B$2:$B$30,MATCH(J2732,Lists!$A$2:$A$30,0)),""))</f>
        <v/>
      </c>
      <c r="M2732" s="24"/>
      <c r="N2732" s="27" t="str">
        <f aca="false">IF(B2732="","",IFERROR(1000-SUMPRODUCT(MAX(ISNUMBER(SEARCH(Rules!$A$5:$A$204,B2732))*(Rules!$A$5:$A$204&lt;&gt;"")*(1000-ROW(Rules!$A$5:$A$204)))),""))</f>
        <v/>
      </c>
    </row>
    <row r="2733" customFormat="false" ht="15" hidden="false" customHeight="false" outlineLevel="0" collapsed="false">
      <c r="A2733" s="23"/>
      <c r="B2733" s="24"/>
      <c r="C2733" s="25"/>
      <c r="D2733" s="24"/>
      <c r="E2733" s="21" t="str">
        <f aca="false">IF(OR(B2733="",N(N2733)=0,N2733=1000),IF(B2733="","","Check"),INDEX(Rules!$B:$B,N2733))</f>
        <v/>
      </c>
      <c r="F2733" s="21" t="str">
        <f aca="false">IF(OR(B2733="",N(N2733)=0,N2733=1000),"",INDEX(Rules!$C:$C,N2733))</f>
        <v/>
      </c>
      <c r="G2733" s="24"/>
      <c r="H2733" s="24"/>
      <c r="I2733" s="20" t="str">
        <f aca="false">IF(B2733="","",IF(G2733&lt;&gt;"",G2733,E2733))</f>
        <v/>
      </c>
      <c r="J2733" s="21" t="str">
        <f aca="false">IF(B2733="","",IF(H2733&lt;&gt;"",H2733,F2733))</f>
        <v/>
      </c>
      <c r="K2733" s="26" t="str">
        <f aca="false">IF(A2733="","",DATE(YEAR(A2733),MONTH(A2733),1))</f>
        <v/>
      </c>
      <c r="L2733" s="21" t="str">
        <f aca="false">IF(J2733="",IF(B2733="","",IF(N(C2733)&gt;=0,"Income","Expense")),IFERROR(INDEX(Lists!$B$2:$B$30,MATCH(J2733,Lists!$A$2:$A$30,0)),""))</f>
        <v/>
      </c>
      <c r="M2733" s="24"/>
      <c r="N2733" s="27" t="str">
        <f aca="false">IF(B2733="","",IFERROR(1000-SUMPRODUCT(MAX(ISNUMBER(SEARCH(Rules!$A$5:$A$204,B2733))*(Rules!$A$5:$A$204&lt;&gt;"")*(1000-ROW(Rules!$A$5:$A$204)))),""))</f>
        <v/>
      </c>
    </row>
    <row r="2734" customFormat="false" ht="15" hidden="false" customHeight="false" outlineLevel="0" collapsed="false">
      <c r="A2734" s="23"/>
      <c r="B2734" s="24"/>
      <c r="C2734" s="25"/>
      <c r="D2734" s="24"/>
      <c r="E2734" s="21" t="str">
        <f aca="false">IF(OR(B2734="",N(N2734)=0,N2734=1000),IF(B2734="","","Check"),INDEX(Rules!$B:$B,N2734))</f>
        <v/>
      </c>
      <c r="F2734" s="21" t="str">
        <f aca="false">IF(OR(B2734="",N(N2734)=0,N2734=1000),"",INDEX(Rules!$C:$C,N2734))</f>
        <v/>
      </c>
      <c r="G2734" s="24"/>
      <c r="H2734" s="24"/>
      <c r="I2734" s="20" t="str">
        <f aca="false">IF(B2734="","",IF(G2734&lt;&gt;"",G2734,E2734))</f>
        <v/>
      </c>
      <c r="J2734" s="21" t="str">
        <f aca="false">IF(B2734="","",IF(H2734&lt;&gt;"",H2734,F2734))</f>
        <v/>
      </c>
      <c r="K2734" s="26" t="str">
        <f aca="false">IF(A2734="","",DATE(YEAR(A2734),MONTH(A2734),1))</f>
        <v/>
      </c>
      <c r="L2734" s="21" t="str">
        <f aca="false">IF(J2734="",IF(B2734="","",IF(N(C2734)&gt;=0,"Income","Expense")),IFERROR(INDEX(Lists!$B$2:$B$30,MATCH(J2734,Lists!$A$2:$A$30,0)),""))</f>
        <v/>
      </c>
      <c r="M2734" s="24"/>
      <c r="N2734" s="27" t="str">
        <f aca="false">IF(B2734="","",IFERROR(1000-SUMPRODUCT(MAX(ISNUMBER(SEARCH(Rules!$A$5:$A$204,B2734))*(Rules!$A$5:$A$204&lt;&gt;"")*(1000-ROW(Rules!$A$5:$A$204)))),""))</f>
        <v/>
      </c>
    </row>
    <row r="2735" customFormat="false" ht="15" hidden="false" customHeight="false" outlineLevel="0" collapsed="false">
      <c r="A2735" s="23"/>
      <c r="B2735" s="24"/>
      <c r="C2735" s="25"/>
      <c r="D2735" s="24"/>
      <c r="E2735" s="21" t="str">
        <f aca="false">IF(OR(B2735="",N(N2735)=0,N2735=1000),IF(B2735="","","Check"),INDEX(Rules!$B:$B,N2735))</f>
        <v/>
      </c>
      <c r="F2735" s="21" t="str">
        <f aca="false">IF(OR(B2735="",N(N2735)=0,N2735=1000),"",INDEX(Rules!$C:$C,N2735))</f>
        <v/>
      </c>
      <c r="G2735" s="24"/>
      <c r="H2735" s="24"/>
      <c r="I2735" s="20" t="str">
        <f aca="false">IF(B2735="","",IF(G2735&lt;&gt;"",G2735,E2735))</f>
        <v/>
      </c>
      <c r="J2735" s="21" t="str">
        <f aca="false">IF(B2735="","",IF(H2735&lt;&gt;"",H2735,F2735))</f>
        <v/>
      </c>
      <c r="K2735" s="26" t="str">
        <f aca="false">IF(A2735="","",DATE(YEAR(A2735),MONTH(A2735),1))</f>
        <v/>
      </c>
      <c r="L2735" s="21" t="str">
        <f aca="false">IF(J2735="",IF(B2735="","",IF(N(C2735)&gt;=0,"Income","Expense")),IFERROR(INDEX(Lists!$B$2:$B$30,MATCH(J2735,Lists!$A$2:$A$30,0)),""))</f>
        <v/>
      </c>
      <c r="M2735" s="24"/>
      <c r="N2735" s="27" t="str">
        <f aca="false">IF(B2735="","",IFERROR(1000-SUMPRODUCT(MAX(ISNUMBER(SEARCH(Rules!$A$5:$A$204,B2735))*(Rules!$A$5:$A$204&lt;&gt;"")*(1000-ROW(Rules!$A$5:$A$204)))),""))</f>
        <v/>
      </c>
    </row>
    <row r="2736" customFormat="false" ht="15" hidden="false" customHeight="false" outlineLevel="0" collapsed="false">
      <c r="A2736" s="23"/>
      <c r="B2736" s="24"/>
      <c r="C2736" s="25"/>
      <c r="D2736" s="24"/>
      <c r="E2736" s="21" t="str">
        <f aca="false">IF(OR(B2736="",N(N2736)=0,N2736=1000),IF(B2736="","","Check"),INDEX(Rules!$B:$B,N2736))</f>
        <v/>
      </c>
      <c r="F2736" s="21" t="str">
        <f aca="false">IF(OR(B2736="",N(N2736)=0,N2736=1000),"",INDEX(Rules!$C:$C,N2736))</f>
        <v/>
      </c>
      <c r="G2736" s="24"/>
      <c r="H2736" s="24"/>
      <c r="I2736" s="20" t="str">
        <f aca="false">IF(B2736="","",IF(G2736&lt;&gt;"",G2736,E2736))</f>
        <v/>
      </c>
      <c r="J2736" s="21" t="str">
        <f aca="false">IF(B2736="","",IF(H2736&lt;&gt;"",H2736,F2736))</f>
        <v/>
      </c>
      <c r="K2736" s="26" t="str">
        <f aca="false">IF(A2736="","",DATE(YEAR(A2736),MONTH(A2736),1))</f>
        <v/>
      </c>
      <c r="L2736" s="21" t="str">
        <f aca="false">IF(J2736="",IF(B2736="","",IF(N(C2736)&gt;=0,"Income","Expense")),IFERROR(INDEX(Lists!$B$2:$B$30,MATCH(J2736,Lists!$A$2:$A$30,0)),""))</f>
        <v/>
      </c>
      <c r="M2736" s="24"/>
      <c r="N2736" s="27" t="str">
        <f aca="false">IF(B2736="","",IFERROR(1000-SUMPRODUCT(MAX(ISNUMBER(SEARCH(Rules!$A$5:$A$204,B2736))*(Rules!$A$5:$A$204&lt;&gt;"")*(1000-ROW(Rules!$A$5:$A$204)))),""))</f>
        <v/>
      </c>
    </row>
    <row r="2737" customFormat="false" ht="15" hidden="false" customHeight="false" outlineLevel="0" collapsed="false">
      <c r="A2737" s="23"/>
      <c r="B2737" s="24"/>
      <c r="C2737" s="25"/>
      <c r="D2737" s="24"/>
      <c r="E2737" s="21" t="str">
        <f aca="false">IF(OR(B2737="",N(N2737)=0,N2737=1000),IF(B2737="","","Check"),INDEX(Rules!$B:$B,N2737))</f>
        <v/>
      </c>
      <c r="F2737" s="21" t="str">
        <f aca="false">IF(OR(B2737="",N(N2737)=0,N2737=1000),"",INDEX(Rules!$C:$C,N2737))</f>
        <v/>
      </c>
      <c r="G2737" s="24"/>
      <c r="H2737" s="24"/>
      <c r="I2737" s="20" t="str">
        <f aca="false">IF(B2737="","",IF(G2737&lt;&gt;"",G2737,E2737))</f>
        <v/>
      </c>
      <c r="J2737" s="21" t="str">
        <f aca="false">IF(B2737="","",IF(H2737&lt;&gt;"",H2737,F2737))</f>
        <v/>
      </c>
      <c r="K2737" s="26" t="str">
        <f aca="false">IF(A2737="","",DATE(YEAR(A2737),MONTH(A2737),1))</f>
        <v/>
      </c>
      <c r="L2737" s="21" t="str">
        <f aca="false">IF(J2737="",IF(B2737="","",IF(N(C2737)&gt;=0,"Income","Expense")),IFERROR(INDEX(Lists!$B$2:$B$30,MATCH(J2737,Lists!$A$2:$A$30,0)),""))</f>
        <v/>
      </c>
      <c r="M2737" s="24"/>
      <c r="N2737" s="27" t="str">
        <f aca="false">IF(B2737="","",IFERROR(1000-SUMPRODUCT(MAX(ISNUMBER(SEARCH(Rules!$A$5:$A$204,B2737))*(Rules!$A$5:$A$204&lt;&gt;"")*(1000-ROW(Rules!$A$5:$A$204)))),""))</f>
        <v/>
      </c>
    </row>
    <row r="2738" customFormat="false" ht="15" hidden="false" customHeight="false" outlineLevel="0" collapsed="false">
      <c r="A2738" s="23"/>
      <c r="B2738" s="24"/>
      <c r="C2738" s="25"/>
      <c r="D2738" s="24"/>
      <c r="E2738" s="21" t="str">
        <f aca="false">IF(OR(B2738="",N(N2738)=0,N2738=1000),IF(B2738="","","Check"),INDEX(Rules!$B:$B,N2738))</f>
        <v/>
      </c>
      <c r="F2738" s="21" t="str">
        <f aca="false">IF(OR(B2738="",N(N2738)=0,N2738=1000),"",INDEX(Rules!$C:$C,N2738))</f>
        <v/>
      </c>
      <c r="G2738" s="24"/>
      <c r="H2738" s="24"/>
      <c r="I2738" s="20" t="str">
        <f aca="false">IF(B2738="","",IF(G2738&lt;&gt;"",G2738,E2738))</f>
        <v/>
      </c>
      <c r="J2738" s="21" t="str">
        <f aca="false">IF(B2738="","",IF(H2738&lt;&gt;"",H2738,F2738))</f>
        <v/>
      </c>
      <c r="K2738" s="26" t="str">
        <f aca="false">IF(A2738="","",DATE(YEAR(A2738),MONTH(A2738),1))</f>
        <v/>
      </c>
      <c r="L2738" s="21" t="str">
        <f aca="false">IF(J2738="",IF(B2738="","",IF(N(C2738)&gt;=0,"Income","Expense")),IFERROR(INDEX(Lists!$B$2:$B$30,MATCH(J2738,Lists!$A$2:$A$30,0)),""))</f>
        <v/>
      </c>
      <c r="M2738" s="24"/>
      <c r="N2738" s="27" t="str">
        <f aca="false">IF(B2738="","",IFERROR(1000-SUMPRODUCT(MAX(ISNUMBER(SEARCH(Rules!$A$5:$A$204,B2738))*(Rules!$A$5:$A$204&lt;&gt;"")*(1000-ROW(Rules!$A$5:$A$204)))),""))</f>
        <v/>
      </c>
    </row>
    <row r="2739" customFormat="false" ht="15" hidden="false" customHeight="false" outlineLevel="0" collapsed="false">
      <c r="A2739" s="23"/>
      <c r="B2739" s="24"/>
      <c r="C2739" s="25"/>
      <c r="D2739" s="24"/>
      <c r="E2739" s="21" t="str">
        <f aca="false">IF(OR(B2739="",N(N2739)=0,N2739=1000),IF(B2739="","","Check"),INDEX(Rules!$B:$B,N2739))</f>
        <v/>
      </c>
      <c r="F2739" s="21" t="str">
        <f aca="false">IF(OR(B2739="",N(N2739)=0,N2739=1000),"",INDEX(Rules!$C:$C,N2739))</f>
        <v/>
      </c>
      <c r="G2739" s="24"/>
      <c r="H2739" s="24"/>
      <c r="I2739" s="20" t="str">
        <f aca="false">IF(B2739="","",IF(G2739&lt;&gt;"",G2739,E2739))</f>
        <v/>
      </c>
      <c r="J2739" s="21" t="str">
        <f aca="false">IF(B2739="","",IF(H2739&lt;&gt;"",H2739,F2739))</f>
        <v/>
      </c>
      <c r="K2739" s="26" t="str">
        <f aca="false">IF(A2739="","",DATE(YEAR(A2739),MONTH(A2739),1))</f>
        <v/>
      </c>
      <c r="L2739" s="21" t="str">
        <f aca="false">IF(J2739="",IF(B2739="","",IF(N(C2739)&gt;=0,"Income","Expense")),IFERROR(INDEX(Lists!$B$2:$B$30,MATCH(J2739,Lists!$A$2:$A$30,0)),""))</f>
        <v/>
      </c>
      <c r="M2739" s="24"/>
      <c r="N2739" s="27" t="str">
        <f aca="false">IF(B2739="","",IFERROR(1000-SUMPRODUCT(MAX(ISNUMBER(SEARCH(Rules!$A$5:$A$204,B2739))*(Rules!$A$5:$A$204&lt;&gt;"")*(1000-ROW(Rules!$A$5:$A$204)))),""))</f>
        <v/>
      </c>
    </row>
    <row r="2740" customFormat="false" ht="15" hidden="false" customHeight="false" outlineLevel="0" collapsed="false">
      <c r="A2740" s="23"/>
      <c r="B2740" s="24"/>
      <c r="C2740" s="25"/>
      <c r="D2740" s="24"/>
      <c r="E2740" s="21" t="str">
        <f aca="false">IF(OR(B2740="",N(N2740)=0,N2740=1000),IF(B2740="","","Check"),INDEX(Rules!$B:$B,N2740))</f>
        <v/>
      </c>
      <c r="F2740" s="21" t="str">
        <f aca="false">IF(OR(B2740="",N(N2740)=0,N2740=1000),"",INDEX(Rules!$C:$C,N2740))</f>
        <v/>
      </c>
      <c r="G2740" s="24"/>
      <c r="H2740" s="24"/>
      <c r="I2740" s="20" t="str">
        <f aca="false">IF(B2740="","",IF(G2740&lt;&gt;"",G2740,E2740))</f>
        <v/>
      </c>
      <c r="J2740" s="21" t="str">
        <f aca="false">IF(B2740="","",IF(H2740&lt;&gt;"",H2740,F2740))</f>
        <v/>
      </c>
      <c r="K2740" s="26" t="str">
        <f aca="false">IF(A2740="","",DATE(YEAR(A2740),MONTH(A2740),1))</f>
        <v/>
      </c>
      <c r="L2740" s="21" t="str">
        <f aca="false">IF(J2740="",IF(B2740="","",IF(N(C2740)&gt;=0,"Income","Expense")),IFERROR(INDEX(Lists!$B$2:$B$30,MATCH(J2740,Lists!$A$2:$A$30,0)),""))</f>
        <v/>
      </c>
      <c r="M2740" s="24"/>
      <c r="N2740" s="27" t="str">
        <f aca="false">IF(B2740="","",IFERROR(1000-SUMPRODUCT(MAX(ISNUMBER(SEARCH(Rules!$A$5:$A$204,B2740))*(Rules!$A$5:$A$204&lt;&gt;"")*(1000-ROW(Rules!$A$5:$A$204)))),""))</f>
        <v/>
      </c>
    </row>
    <row r="2741" customFormat="false" ht="15" hidden="false" customHeight="false" outlineLevel="0" collapsed="false">
      <c r="A2741" s="23"/>
      <c r="B2741" s="24"/>
      <c r="C2741" s="25"/>
      <c r="D2741" s="24"/>
      <c r="E2741" s="21" t="str">
        <f aca="false">IF(OR(B2741="",N(N2741)=0,N2741=1000),IF(B2741="","","Check"),INDEX(Rules!$B:$B,N2741))</f>
        <v/>
      </c>
      <c r="F2741" s="21" t="str">
        <f aca="false">IF(OR(B2741="",N(N2741)=0,N2741=1000),"",INDEX(Rules!$C:$C,N2741))</f>
        <v/>
      </c>
      <c r="G2741" s="24"/>
      <c r="H2741" s="24"/>
      <c r="I2741" s="20" t="str">
        <f aca="false">IF(B2741="","",IF(G2741&lt;&gt;"",G2741,E2741))</f>
        <v/>
      </c>
      <c r="J2741" s="21" t="str">
        <f aca="false">IF(B2741="","",IF(H2741&lt;&gt;"",H2741,F2741))</f>
        <v/>
      </c>
      <c r="K2741" s="26" t="str">
        <f aca="false">IF(A2741="","",DATE(YEAR(A2741),MONTH(A2741),1))</f>
        <v/>
      </c>
      <c r="L2741" s="21" t="str">
        <f aca="false">IF(J2741="",IF(B2741="","",IF(N(C2741)&gt;=0,"Income","Expense")),IFERROR(INDEX(Lists!$B$2:$B$30,MATCH(J2741,Lists!$A$2:$A$30,0)),""))</f>
        <v/>
      </c>
      <c r="M2741" s="24"/>
      <c r="N2741" s="27" t="str">
        <f aca="false">IF(B2741="","",IFERROR(1000-SUMPRODUCT(MAX(ISNUMBER(SEARCH(Rules!$A$5:$A$204,B2741))*(Rules!$A$5:$A$204&lt;&gt;"")*(1000-ROW(Rules!$A$5:$A$204)))),""))</f>
        <v/>
      </c>
    </row>
    <row r="2742" customFormat="false" ht="15" hidden="false" customHeight="false" outlineLevel="0" collapsed="false">
      <c r="A2742" s="23"/>
      <c r="B2742" s="24"/>
      <c r="C2742" s="25"/>
      <c r="D2742" s="24"/>
      <c r="E2742" s="21" t="str">
        <f aca="false">IF(OR(B2742="",N(N2742)=0,N2742=1000),IF(B2742="","","Check"),INDEX(Rules!$B:$B,N2742))</f>
        <v/>
      </c>
      <c r="F2742" s="21" t="str">
        <f aca="false">IF(OR(B2742="",N(N2742)=0,N2742=1000),"",INDEX(Rules!$C:$C,N2742))</f>
        <v/>
      </c>
      <c r="G2742" s="24"/>
      <c r="H2742" s="24"/>
      <c r="I2742" s="20" t="str">
        <f aca="false">IF(B2742="","",IF(G2742&lt;&gt;"",G2742,E2742))</f>
        <v/>
      </c>
      <c r="J2742" s="21" t="str">
        <f aca="false">IF(B2742="","",IF(H2742&lt;&gt;"",H2742,F2742))</f>
        <v/>
      </c>
      <c r="K2742" s="26" t="str">
        <f aca="false">IF(A2742="","",DATE(YEAR(A2742),MONTH(A2742),1))</f>
        <v/>
      </c>
      <c r="L2742" s="21" t="str">
        <f aca="false">IF(J2742="",IF(B2742="","",IF(N(C2742)&gt;=0,"Income","Expense")),IFERROR(INDEX(Lists!$B$2:$B$30,MATCH(J2742,Lists!$A$2:$A$30,0)),""))</f>
        <v/>
      </c>
      <c r="M2742" s="24"/>
      <c r="N2742" s="27" t="str">
        <f aca="false">IF(B2742="","",IFERROR(1000-SUMPRODUCT(MAX(ISNUMBER(SEARCH(Rules!$A$5:$A$204,B2742))*(Rules!$A$5:$A$204&lt;&gt;"")*(1000-ROW(Rules!$A$5:$A$204)))),""))</f>
        <v/>
      </c>
    </row>
    <row r="2743" customFormat="false" ht="15" hidden="false" customHeight="false" outlineLevel="0" collapsed="false">
      <c r="A2743" s="23"/>
      <c r="B2743" s="24"/>
      <c r="C2743" s="25"/>
      <c r="D2743" s="24"/>
      <c r="E2743" s="21" t="str">
        <f aca="false">IF(OR(B2743="",N(N2743)=0,N2743=1000),IF(B2743="","","Check"),INDEX(Rules!$B:$B,N2743))</f>
        <v/>
      </c>
      <c r="F2743" s="21" t="str">
        <f aca="false">IF(OR(B2743="",N(N2743)=0,N2743=1000),"",INDEX(Rules!$C:$C,N2743))</f>
        <v/>
      </c>
      <c r="G2743" s="24"/>
      <c r="H2743" s="24"/>
      <c r="I2743" s="20" t="str">
        <f aca="false">IF(B2743="","",IF(G2743&lt;&gt;"",G2743,E2743))</f>
        <v/>
      </c>
      <c r="J2743" s="21" t="str">
        <f aca="false">IF(B2743="","",IF(H2743&lt;&gt;"",H2743,F2743))</f>
        <v/>
      </c>
      <c r="K2743" s="26" t="str">
        <f aca="false">IF(A2743="","",DATE(YEAR(A2743),MONTH(A2743),1))</f>
        <v/>
      </c>
      <c r="L2743" s="21" t="str">
        <f aca="false">IF(J2743="",IF(B2743="","",IF(N(C2743)&gt;=0,"Income","Expense")),IFERROR(INDEX(Lists!$B$2:$B$30,MATCH(J2743,Lists!$A$2:$A$30,0)),""))</f>
        <v/>
      </c>
      <c r="M2743" s="24"/>
      <c r="N2743" s="27" t="str">
        <f aca="false">IF(B2743="","",IFERROR(1000-SUMPRODUCT(MAX(ISNUMBER(SEARCH(Rules!$A$5:$A$204,B2743))*(Rules!$A$5:$A$204&lt;&gt;"")*(1000-ROW(Rules!$A$5:$A$204)))),""))</f>
        <v/>
      </c>
    </row>
    <row r="2744" customFormat="false" ht="15" hidden="false" customHeight="false" outlineLevel="0" collapsed="false">
      <c r="A2744" s="23"/>
      <c r="B2744" s="24"/>
      <c r="C2744" s="25"/>
      <c r="D2744" s="24"/>
      <c r="E2744" s="21" t="str">
        <f aca="false">IF(OR(B2744="",N(N2744)=0,N2744=1000),IF(B2744="","","Check"),INDEX(Rules!$B:$B,N2744))</f>
        <v/>
      </c>
      <c r="F2744" s="21" t="str">
        <f aca="false">IF(OR(B2744="",N(N2744)=0,N2744=1000),"",INDEX(Rules!$C:$C,N2744))</f>
        <v/>
      </c>
      <c r="G2744" s="24"/>
      <c r="H2744" s="24"/>
      <c r="I2744" s="20" t="str">
        <f aca="false">IF(B2744="","",IF(G2744&lt;&gt;"",G2744,E2744))</f>
        <v/>
      </c>
      <c r="J2744" s="21" t="str">
        <f aca="false">IF(B2744="","",IF(H2744&lt;&gt;"",H2744,F2744))</f>
        <v/>
      </c>
      <c r="K2744" s="26" t="str">
        <f aca="false">IF(A2744="","",DATE(YEAR(A2744),MONTH(A2744),1))</f>
        <v/>
      </c>
      <c r="L2744" s="21" t="str">
        <f aca="false">IF(J2744="",IF(B2744="","",IF(N(C2744)&gt;=0,"Income","Expense")),IFERROR(INDEX(Lists!$B$2:$B$30,MATCH(J2744,Lists!$A$2:$A$30,0)),""))</f>
        <v/>
      </c>
      <c r="M2744" s="24"/>
      <c r="N2744" s="27" t="str">
        <f aca="false">IF(B2744="","",IFERROR(1000-SUMPRODUCT(MAX(ISNUMBER(SEARCH(Rules!$A$5:$A$204,B2744))*(Rules!$A$5:$A$204&lt;&gt;"")*(1000-ROW(Rules!$A$5:$A$204)))),""))</f>
        <v/>
      </c>
    </row>
    <row r="2745" customFormat="false" ht="15" hidden="false" customHeight="false" outlineLevel="0" collapsed="false">
      <c r="A2745" s="23"/>
      <c r="B2745" s="24"/>
      <c r="C2745" s="25"/>
      <c r="D2745" s="24"/>
      <c r="E2745" s="21" t="str">
        <f aca="false">IF(OR(B2745="",N(N2745)=0,N2745=1000),IF(B2745="","","Check"),INDEX(Rules!$B:$B,N2745))</f>
        <v/>
      </c>
      <c r="F2745" s="21" t="str">
        <f aca="false">IF(OR(B2745="",N(N2745)=0,N2745=1000),"",INDEX(Rules!$C:$C,N2745))</f>
        <v/>
      </c>
      <c r="G2745" s="24"/>
      <c r="H2745" s="24"/>
      <c r="I2745" s="20" t="str">
        <f aca="false">IF(B2745="","",IF(G2745&lt;&gt;"",G2745,E2745))</f>
        <v/>
      </c>
      <c r="J2745" s="21" t="str">
        <f aca="false">IF(B2745="","",IF(H2745&lt;&gt;"",H2745,F2745))</f>
        <v/>
      </c>
      <c r="K2745" s="26" t="str">
        <f aca="false">IF(A2745="","",DATE(YEAR(A2745),MONTH(A2745),1))</f>
        <v/>
      </c>
      <c r="L2745" s="21" t="str">
        <f aca="false">IF(J2745="",IF(B2745="","",IF(N(C2745)&gt;=0,"Income","Expense")),IFERROR(INDEX(Lists!$B$2:$B$30,MATCH(J2745,Lists!$A$2:$A$30,0)),""))</f>
        <v/>
      </c>
      <c r="M2745" s="24"/>
      <c r="N2745" s="27" t="str">
        <f aca="false">IF(B2745="","",IFERROR(1000-SUMPRODUCT(MAX(ISNUMBER(SEARCH(Rules!$A$5:$A$204,B2745))*(Rules!$A$5:$A$204&lt;&gt;"")*(1000-ROW(Rules!$A$5:$A$204)))),""))</f>
        <v/>
      </c>
    </row>
    <row r="2746" customFormat="false" ht="15" hidden="false" customHeight="false" outlineLevel="0" collapsed="false">
      <c r="A2746" s="23"/>
      <c r="B2746" s="24"/>
      <c r="C2746" s="25"/>
      <c r="D2746" s="24"/>
      <c r="E2746" s="21" t="str">
        <f aca="false">IF(OR(B2746="",N(N2746)=0,N2746=1000),IF(B2746="","","Check"),INDEX(Rules!$B:$B,N2746))</f>
        <v/>
      </c>
      <c r="F2746" s="21" t="str">
        <f aca="false">IF(OR(B2746="",N(N2746)=0,N2746=1000),"",INDEX(Rules!$C:$C,N2746))</f>
        <v/>
      </c>
      <c r="G2746" s="24"/>
      <c r="H2746" s="24"/>
      <c r="I2746" s="20" t="str">
        <f aca="false">IF(B2746="","",IF(G2746&lt;&gt;"",G2746,E2746))</f>
        <v/>
      </c>
      <c r="J2746" s="21" t="str">
        <f aca="false">IF(B2746="","",IF(H2746&lt;&gt;"",H2746,F2746))</f>
        <v/>
      </c>
      <c r="K2746" s="26" t="str">
        <f aca="false">IF(A2746="","",DATE(YEAR(A2746),MONTH(A2746),1))</f>
        <v/>
      </c>
      <c r="L2746" s="21" t="str">
        <f aca="false">IF(J2746="",IF(B2746="","",IF(N(C2746)&gt;=0,"Income","Expense")),IFERROR(INDEX(Lists!$B$2:$B$30,MATCH(J2746,Lists!$A$2:$A$30,0)),""))</f>
        <v/>
      </c>
      <c r="M2746" s="24"/>
      <c r="N2746" s="27" t="str">
        <f aca="false">IF(B2746="","",IFERROR(1000-SUMPRODUCT(MAX(ISNUMBER(SEARCH(Rules!$A$5:$A$204,B2746))*(Rules!$A$5:$A$204&lt;&gt;"")*(1000-ROW(Rules!$A$5:$A$204)))),""))</f>
        <v/>
      </c>
    </row>
    <row r="2747" customFormat="false" ht="15" hidden="false" customHeight="false" outlineLevel="0" collapsed="false">
      <c r="A2747" s="23"/>
      <c r="B2747" s="24"/>
      <c r="C2747" s="25"/>
      <c r="D2747" s="24"/>
      <c r="E2747" s="21" t="str">
        <f aca="false">IF(OR(B2747="",N(N2747)=0,N2747=1000),IF(B2747="","","Check"),INDEX(Rules!$B:$B,N2747))</f>
        <v/>
      </c>
      <c r="F2747" s="21" t="str">
        <f aca="false">IF(OR(B2747="",N(N2747)=0,N2747=1000),"",INDEX(Rules!$C:$C,N2747))</f>
        <v/>
      </c>
      <c r="G2747" s="24"/>
      <c r="H2747" s="24"/>
      <c r="I2747" s="20" t="str">
        <f aca="false">IF(B2747="","",IF(G2747&lt;&gt;"",G2747,E2747))</f>
        <v/>
      </c>
      <c r="J2747" s="21" t="str">
        <f aca="false">IF(B2747="","",IF(H2747&lt;&gt;"",H2747,F2747))</f>
        <v/>
      </c>
      <c r="K2747" s="26" t="str">
        <f aca="false">IF(A2747="","",DATE(YEAR(A2747),MONTH(A2747),1))</f>
        <v/>
      </c>
      <c r="L2747" s="21" t="str">
        <f aca="false">IF(J2747="",IF(B2747="","",IF(N(C2747)&gt;=0,"Income","Expense")),IFERROR(INDEX(Lists!$B$2:$B$30,MATCH(J2747,Lists!$A$2:$A$30,0)),""))</f>
        <v/>
      </c>
      <c r="M2747" s="24"/>
      <c r="N2747" s="27" t="str">
        <f aca="false">IF(B2747="","",IFERROR(1000-SUMPRODUCT(MAX(ISNUMBER(SEARCH(Rules!$A$5:$A$204,B2747))*(Rules!$A$5:$A$204&lt;&gt;"")*(1000-ROW(Rules!$A$5:$A$204)))),""))</f>
        <v/>
      </c>
    </row>
    <row r="2748" customFormat="false" ht="15" hidden="false" customHeight="false" outlineLevel="0" collapsed="false">
      <c r="A2748" s="23"/>
      <c r="B2748" s="24"/>
      <c r="C2748" s="25"/>
      <c r="D2748" s="24"/>
      <c r="E2748" s="21" t="str">
        <f aca="false">IF(OR(B2748="",N(N2748)=0,N2748=1000),IF(B2748="","","Check"),INDEX(Rules!$B:$B,N2748))</f>
        <v/>
      </c>
      <c r="F2748" s="21" t="str">
        <f aca="false">IF(OR(B2748="",N(N2748)=0,N2748=1000),"",INDEX(Rules!$C:$C,N2748))</f>
        <v/>
      </c>
      <c r="G2748" s="24"/>
      <c r="H2748" s="24"/>
      <c r="I2748" s="20" t="str">
        <f aca="false">IF(B2748="","",IF(G2748&lt;&gt;"",G2748,E2748))</f>
        <v/>
      </c>
      <c r="J2748" s="21" t="str">
        <f aca="false">IF(B2748="","",IF(H2748&lt;&gt;"",H2748,F2748))</f>
        <v/>
      </c>
      <c r="K2748" s="26" t="str">
        <f aca="false">IF(A2748="","",DATE(YEAR(A2748),MONTH(A2748),1))</f>
        <v/>
      </c>
      <c r="L2748" s="21" t="str">
        <f aca="false">IF(J2748="",IF(B2748="","",IF(N(C2748)&gt;=0,"Income","Expense")),IFERROR(INDEX(Lists!$B$2:$B$30,MATCH(J2748,Lists!$A$2:$A$30,0)),""))</f>
        <v/>
      </c>
      <c r="M2748" s="24"/>
      <c r="N2748" s="27" t="str">
        <f aca="false">IF(B2748="","",IFERROR(1000-SUMPRODUCT(MAX(ISNUMBER(SEARCH(Rules!$A$5:$A$204,B2748))*(Rules!$A$5:$A$204&lt;&gt;"")*(1000-ROW(Rules!$A$5:$A$204)))),""))</f>
        <v/>
      </c>
    </row>
    <row r="2749" customFormat="false" ht="15" hidden="false" customHeight="false" outlineLevel="0" collapsed="false">
      <c r="A2749" s="23"/>
      <c r="B2749" s="24"/>
      <c r="C2749" s="25"/>
      <c r="D2749" s="24"/>
      <c r="E2749" s="21" t="str">
        <f aca="false">IF(OR(B2749="",N(N2749)=0,N2749=1000),IF(B2749="","","Check"),INDEX(Rules!$B:$B,N2749))</f>
        <v/>
      </c>
      <c r="F2749" s="21" t="str">
        <f aca="false">IF(OR(B2749="",N(N2749)=0,N2749=1000),"",INDEX(Rules!$C:$C,N2749))</f>
        <v/>
      </c>
      <c r="G2749" s="24"/>
      <c r="H2749" s="24"/>
      <c r="I2749" s="20" t="str">
        <f aca="false">IF(B2749="","",IF(G2749&lt;&gt;"",G2749,E2749))</f>
        <v/>
      </c>
      <c r="J2749" s="21" t="str">
        <f aca="false">IF(B2749="","",IF(H2749&lt;&gt;"",H2749,F2749))</f>
        <v/>
      </c>
      <c r="K2749" s="26" t="str">
        <f aca="false">IF(A2749="","",DATE(YEAR(A2749),MONTH(A2749),1))</f>
        <v/>
      </c>
      <c r="L2749" s="21" t="str">
        <f aca="false">IF(J2749="",IF(B2749="","",IF(N(C2749)&gt;=0,"Income","Expense")),IFERROR(INDEX(Lists!$B$2:$B$30,MATCH(J2749,Lists!$A$2:$A$30,0)),""))</f>
        <v/>
      </c>
      <c r="M2749" s="24"/>
      <c r="N2749" s="27" t="str">
        <f aca="false">IF(B2749="","",IFERROR(1000-SUMPRODUCT(MAX(ISNUMBER(SEARCH(Rules!$A$5:$A$204,B2749))*(Rules!$A$5:$A$204&lt;&gt;"")*(1000-ROW(Rules!$A$5:$A$204)))),""))</f>
        <v/>
      </c>
    </row>
    <row r="2750" customFormat="false" ht="15" hidden="false" customHeight="false" outlineLevel="0" collapsed="false">
      <c r="A2750" s="23"/>
      <c r="B2750" s="24"/>
      <c r="C2750" s="25"/>
      <c r="D2750" s="24"/>
      <c r="E2750" s="21" t="str">
        <f aca="false">IF(OR(B2750="",N(N2750)=0,N2750=1000),IF(B2750="","","Check"),INDEX(Rules!$B:$B,N2750))</f>
        <v/>
      </c>
      <c r="F2750" s="21" t="str">
        <f aca="false">IF(OR(B2750="",N(N2750)=0,N2750=1000),"",INDEX(Rules!$C:$C,N2750))</f>
        <v/>
      </c>
      <c r="G2750" s="24"/>
      <c r="H2750" s="24"/>
      <c r="I2750" s="20" t="str">
        <f aca="false">IF(B2750="","",IF(G2750&lt;&gt;"",G2750,E2750))</f>
        <v/>
      </c>
      <c r="J2750" s="21" t="str">
        <f aca="false">IF(B2750="","",IF(H2750&lt;&gt;"",H2750,F2750))</f>
        <v/>
      </c>
      <c r="K2750" s="26" t="str">
        <f aca="false">IF(A2750="","",DATE(YEAR(A2750),MONTH(A2750),1))</f>
        <v/>
      </c>
      <c r="L2750" s="21" t="str">
        <f aca="false">IF(J2750="",IF(B2750="","",IF(N(C2750)&gt;=0,"Income","Expense")),IFERROR(INDEX(Lists!$B$2:$B$30,MATCH(J2750,Lists!$A$2:$A$30,0)),""))</f>
        <v/>
      </c>
      <c r="M2750" s="24"/>
      <c r="N2750" s="27" t="str">
        <f aca="false">IF(B2750="","",IFERROR(1000-SUMPRODUCT(MAX(ISNUMBER(SEARCH(Rules!$A$5:$A$204,B2750))*(Rules!$A$5:$A$204&lt;&gt;"")*(1000-ROW(Rules!$A$5:$A$204)))),""))</f>
        <v/>
      </c>
    </row>
    <row r="2751" customFormat="false" ht="15" hidden="false" customHeight="false" outlineLevel="0" collapsed="false">
      <c r="A2751" s="23"/>
      <c r="B2751" s="24"/>
      <c r="C2751" s="25"/>
      <c r="D2751" s="24"/>
      <c r="E2751" s="21" t="str">
        <f aca="false">IF(OR(B2751="",N(N2751)=0,N2751=1000),IF(B2751="","","Check"),INDEX(Rules!$B:$B,N2751))</f>
        <v/>
      </c>
      <c r="F2751" s="21" t="str">
        <f aca="false">IF(OR(B2751="",N(N2751)=0,N2751=1000),"",INDEX(Rules!$C:$C,N2751))</f>
        <v/>
      </c>
      <c r="G2751" s="24"/>
      <c r="H2751" s="24"/>
      <c r="I2751" s="20" t="str">
        <f aca="false">IF(B2751="","",IF(G2751&lt;&gt;"",G2751,E2751))</f>
        <v/>
      </c>
      <c r="J2751" s="21" t="str">
        <f aca="false">IF(B2751="","",IF(H2751&lt;&gt;"",H2751,F2751))</f>
        <v/>
      </c>
      <c r="K2751" s="26" t="str">
        <f aca="false">IF(A2751="","",DATE(YEAR(A2751),MONTH(A2751),1))</f>
        <v/>
      </c>
      <c r="L2751" s="21" t="str">
        <f aca="false">IF(J2751="",IF(B2751="","",IF(N(C2751)&gt;=0,"Income","Expense")),IFERROR(INDEX(Lists!$B$2:$B$30,MATCH(J2751,Lists!$A$2:$A$30,0)),""))</f>
        <v/>
      </c>
      <c r="M2751" s="24"/>
      <c r="N2751" s="27" t="str">
        <f aca="false">IF(B2751="","",IFERROR(1000-SUMPRODUCT(MAX(ISNUMBER(SEARCH(Rules!$A$5:$A$204,B2751))*(Rules!$A$5:$A$204&lt;&gt;"")*(1000-ROW(Rules!$A$5:$A$204)))),""))</f>
        <v/>
      </c>
    </row>
    <row r="2752" customFormat="false" ht="15" hidden="false" customHeight="false" outlineLevel="0" collapsed="false">
      <c r="A2752" s="23"/>
      <c r="B2752" s="24"/>
      <c r="C2752" s="25"/>
      <c r="D2752" s="24"/>
      <c r="E2752" s="21" t="str">
        <f aca="false">IF(OR(B2752="",N(N2752)=0,N2752=1000),IF(B2752="","","Check"),INDEX(Rules!$B:$B,N2752))</f>
        <v/>
      </c>
      <c r="F2752" s="21" t="str">
        <f aca="false">IF(OR(B2752="",N(N2752)=0,N2752=1000),"",INDEX(Rules!$C:$C,N2752))</f>
        <v/>
      </c>
      <c r="G2752" s="24"/>
      <c r="H2752" s="24"/>
      <c r="I2752" s="20" t="str">
        <f aca="false">IF(B2752="","",IF(G2752&lt;&gt;"",G2752,E2752))</f>
        <v/>
      </c>
      <c r="J2752" s="21" t="str">
        <f aca="false">IF(B2752="","",IF(H2752&lt;&gt;"",H2752,F2752))</f>
        <v/>
      </c>
      <c r="K2752" s="26" t="str">
        <f aca="false">IF(A2752="","",DATE(YEAR(A2752),MONTH(A2752),1))</f>
        <v/>
      </c>
      <c r="L2752" s="21" t="str">
        <f aca="false">IF(J2752="",IF(B2752="","",IF(N(C2752)&gt;=0,"Income","Expense")),IFERROR(INDEX(Lists!$B$2:$B$30,MATCH(J2752,Lists!$A$2:$A$30,0)),""))</f>
        <v/>
      </c>
      <c r="M2752" s="24"/>
      <c r="N2752" s="27" t="str">
        <f aca="false">IF(B2752="","",IFERROR(1000-SUMPRODUCT(MAX(ISNUMBER(SEARCH(Rules!$A$5:$A$204,B2752))*(Rules!$A$5:$A$204&lt;&gt;"")*(1000-ROW(Rules!$A$5:$A$204)))),""))</f>
        <v/>
      </c>
    </row>
    <row r="2753" customFormat="false" ht="15" hidden="false" customHeight="false" outlineLevel="0" collapsed="false">
      <c r="A2753" s="23"/>
      <c r="B2753" s="24"/>
      <c r="C2753" s="25"/>
      <c r="D2753" s="24"/>
      <c r="E2753" s="21" t="str">
        <f aca="false">IF(OR(B2753="",N(N2753)=0,N2753=1000),IF(B2753="","","Check"),INDEX(Rules!$B:$B,N2753))</f>
        <v/>
      </c>
      <c r="F2753" s="21" t="str">
        <f aca="false">IF(OR(B2753="",N(N2753)=0,N2753=1000),"",INDEX(Rules!$C:$C,N2753))</f>
        <v/>
      </c>
      <c r="G2753" s="24"/>
      <c r="H2753" s="24"/>
      <c r="I2753" s="20" t="str">
        <f aca="false">IF(B2753="","",IF(G2753&lt;&gt;"",G2753,E2753))</f>
        <v/>
      </c>
      <c r="J2753" s="21" t="str">
        <f aca="false">IF(B2753="","",IF(H2753&lt;&gt;"",H2753,F2753))</f>
        <v/>
      </c>
      <c r="K2753" s="26" t="str">
        <f aca="false">IF(A2753="","",DATE(YEAR(A2753),MONTH(A2753),1))</f>
        <v/>
      </c>
      <c r="L2753" s="21" t="str">
        <f aca="false">IF(J2753="",IF(B2753="","",IF(N(C2753)&gt;=0,"Income","Expense")),IFERROR(INDEX(Lists!$B$2:$B$30,MATCH(J2753,Lists!$A$2:$A$30,0)),""))</f>
        <v/>
      </c>
      <c r="M2753" s="24"/>
      <c r="N2753" s="27" t="str">
        <f aca="false">IF(B2753="","",IFERROR(1000-SUMPRODUCT(MAX(ISNUMBER(SEARCH(Rules!$A$5:$A$204,B2753))*(Rules!$A$5:$A$204&lt;&gt;"")*(1000-ROW(Rules!$A$5:$A$204)))),""))</f>
        <v/>
      </c>
    </row>
    <row r="2754" customFormat="false" ht="15" hidden="false" customHeight="false" outlineLevel="0" collapsed="false">
      <c r="A2754" s="23"/>
      <c r="B2754" s="24"/>
      <c r="C2754" s="25"/>
      <c r="D2754" s="24"/>
      <c r="E2754" s="21" t="str">
        <f aca="false">IF(OR(B2754="",N(N2754)=0,N2754=1000),IF(B2754="","","Check"),INDEX(Rules!$B:$B,N2754))</f>
        <v/>
      </c>
      <c r="F2754" s="21" t="str">
        <f aca="false">IF(OR(B2754="",N(N2754)=0,N2754=1000),"",INDEX(Rules!$C:$C,N2754))</f>
        <v/>
      </c>
      <c r="G2754" s="24"/>
      <c r="H2754" s="24"/>
      <c r="I2754" s="20" t="str">
        <f aca="false">IF(B2754="","",IF(G2754&lt;&gt;"",G2754,E2754))</f>
        <v/>
      </c>
      <c r="J2754" s="21" t="str">
        <f aca="false">IF(B2754="","",IF(H2754&lt;&gt;"",H2754,F2754))</f>
        <v/>
      </c>
      <c r="K2754" s="26" t="str">
        <f aca="false">IF(A2754="","",DATE(YEAR(A2754),MONTH(A2754),1))</f>
        <v/>
      </c>
      <c r="L2754" s="21" t="str">
        <f aca="false">IF(J2754="",IF(B2754="","",IF(N(C2754)&gt;=0,"Income","Expense")),IFERROR(INDEX(Lists!$B$2:$B$30,MATCH(J2754,Lists!$A$2:$A$30,0)),""))</f>
        <v/>
      </c>
      <c r="M2754" s="24"/>
      <c r="N2754" s="27" t="str">
        <f aca="false">IF(B2754="","",IFERROR(1000-SUMPRODUCT(MAX(ISNUMBER(SEARCH(Rules!$A$5:$A$204,B2754))*(Rules!$A$5:$A$204&lt;&gt;"")*(1000-ROW(Rules!$A$5:$A$204)))),""))</f>
        <v/>
      </c>
    </row>
    <row r="2755" customFormat="false" ht="15" hidden="false" customHeight="false" outlineLevel="0" collapsed="false">
      <c r="A2755" s="23"/>
      <c r="B2755" s="24"/>
      <c r="C2755" s="25"/>
      <c r="D2755" s="24"/>
      <c r="E2755" s="21" t="str">
        <f aca="false">IF(OR(B2755="",N(N2755)=0,N2755=1000),IF(B2755="","","Check"),INDEX(Rules!$B:$B,N2755))</f>
        <v/>
      </c>
      <c r="F2755" s="21" t="str">
        <f aca="false">IF(OR(B2755="",N(N2755)=0,N2755=1000),"",INDEX(Rules!$C:$C,N2755))</f>
        <v/>
      </c>
      <c r="G2755" s="24"/>
      <c r="H2755" s="24"/>
      <c r="I2755" s="20" t="str">
        <f aca="false">IF(B2755="","",IF(G2755&lt;&gt;"",G2755,E2755))</f>
        <v/>
      </c>
      <c r="J2755" s="21" t="str">
        <f aca="false">IF(B2755="","",IF(H2755&lt;&gt;"",H2755,F2755))</f>
        <v/>
      </c>
      <c r="K2755" s="26" t="str">
        <f aca="false">IF(A2755="","",DATE(YEAR(A2755),MONTH(A2755),1))</f>
        <v/>
      </c>
      <c r="L2755" s="21" t="str">
        <f aca="false">IF(J2755="",IF(B2755="","",IF(N(C2755)&gt;=0,"Income","Expense")),IFERROR(INDEX(Lists!$B$2:$B$30,MATCH(J2755,Lists!$A$2:$A$30,0)),""))</f>
        <v/>
      </c>
      <c r="M2755" s="24"/>
      <c r="N2755" s="27" t="str">
        <f aca="false">IF(B2755="","",IFERROR(1000-SUMPRODUCT(MAX(ISNUMBER(SEARCH(Rules!$A$5:$A$204,B2755))*(Rules!$A$5:$A$204&lt;&gt;"")*(1000-ROW(Rules!$A$5:$A$204)))),""))</f>
        <v/>
      </c>
    </row>
    <row r="2756" customFormat="false" ht="15" hidden="false" customHeight="false" outlineLevel="0" collapsed="false">
      <c r="A2756" s="23"/>
      <c r="B2756" s="24"/>
      <c r="C2756" s="25"/>
      <c r="D2756" s="24"/>
      <c r="E2756" s="21" t="str">
        <f aca="false">IF(OR(B2756="",N(N2756)=0,N2756=1000),IF(B2756="","","Check"),INDEX(Rules!$B:$B,N2756))</f>
        <v/>
      </c>
      <c r="F2756" s="21" t="str">
        <f aca="false">IF(OR(B2756="",N(N2756)=0,N2756=1000),"",INDEX(Rules!$C:$C,N2756))</f>
        <v/>
      </c>
      <c r="G2756" s="24"/>
      <c r="H2756" s="24"/>
      <c r="I2756" s="20" t="str">
        <f aca="false">IF(B2756="","",IF(G2756&lt;&gt;"",G2756,E2756))</f>
        <v/>
      </c>
      <c r="J2756" s="21" t="str">
        <f aca="false">IF(B2756="","",IF(H2756&lt;&gt;"",H2756,F2756))</f>
        <v/>
      </c>
      <c r="K2756" s="26" t="str">
        <f aca="false">IF(A2756="","",DATE(YEAR(A2756),MONTH(A2756),1))</f>
        <v/>
      </c>
      <c r="L2756" s="21" t="str">
        <f aca="false">IF(J2756="",IF(B2756="","",IF(N(C2756)&gt;=0,"Income","Expense")),IFERROR(INDEX(Lists!$B$2:$B$30,MATCH(J2756,Lists!$A$2:$A$30,0)),""))</f>
        <v/>
      </c>
      <c r="M2756" s="24"/>
      <c r="N2756" s="27" t="str">
        <f aca="false">IF(B2756="","",IFERROR(1000-SUMPRODUCT(MAX(ISNUMBER(SEARCH(Rules!$A$5:$A$204,B2756))*(Rules!$A$5:$A$204&lt;&gt;"")*(1000-ROW(Rules!$A$5:$A$204)))),""))</f>
        <v/>
      </c>
    </row>
    <row r="2757" customFormat="false" ht="15" hidden="false" customHeight="false" outlineLevel="0" collapsed="false">
      <c r="A2757" s="23"/>
      <c r="B2757" s="24"/>
      <c r="C2757" s="25"/>
      <c r="D2757" s="24"/>
      <c r="E2757" s="21" t="str">
        <f aca="false">IF(OR(B2757="",N(N2757)=0,N2757=1000),IF(B2757="","","Check"),INDEX(Rules!$B:$B,N2757))</f>
        <v/>
      </c>
      <c r="F2757" s="21" t="str">
        <f aca="false">IF(OR(B2757="",N(N2757)=0,N2757=1000),"",INDEX(Rules!$C:$C,N2757))</f>
        <v/>
      </c>
      <c r="G2757" s="24"/>
      <c r="H2757" s="24"/>
      <c r="I2757" s="20" t="str">
        <f aca="false">IF(B2757="","",IF(G2757&lt;&gt;"",G2757,E2757))</f>
        <v/>
      </c>
      <c r="J2757" s="21" t="str">
        <f aca="false">IF(B2757="","",IF(H2757&lt;&gt;"",H2757,F2757))</f>
        <v/>
      </c>
      <c r="K2757" s="26" t="str">
        <f aca="false">IF(A2757="","",DATE(YEAR(A2757),MONTH(A2757),1))</f>
        <v/>
      </c>
      <c r="L2757" s="21" t="str">
        <f aca="false">IF(J2757="",IF(B2757="","",IF(N(C2757)&gt;=0,"Income","Expense")),IFERROR(INDEX(Lists!$B$2:$B$30,MATCH(J2757,Lists!$A$2:$A$30,0)),""))</f>
        <v/>
      </c>
      <c r="M2757" s="24"/>
      <c r="N2757" s="27" t="str">
        <f aca="false">IF(B2757="","",IFERROR(1000-SUMPRODUCT(MAX(ISNUMBER(SEARCH(Rules!$A$5:$A$204,B2757))*(Rules!$A$5:$A$204&lt;&gt;"")*(1000-ROW(Rules!$A$5:$A$204)))),""))</f>
        <v/>
      </c>
    </row>
    <row r="2758" customFormat="false" ht="15" hidden="false" customHeight="false" outlineLevel="0" collapsed="false">
      <c r="A2758" s="23"/>
      <c r="B2758" s="24"/>
      <c r="C2758" s="25"/>
      <c r="D2758" s="24"/>
      <c r="E2758" s="21" t="str">
        <f aca="false">IF(OR(B2758="",N(N2758)=0,N2758=1000),IF(B2758="","","Check"),INDEX(Rules!$B:$B,N2758))</f>
        <v/>
      </c>
      <c r="F2758" s="21" t="str">
        <f aca="false">IF(OR(B2758="",N(N2758)=0,N2758=1000),"",INDEX(Rules!$C:$C,N2758))</f>
        <v/>
      </c>
      <c r="G2758" s="24"/>
      <c r="H2758" s="24"/>
      <c r="I2758" s="20" t="str">
        <f aca="false">IF(B2758="","",IF(G2758&lt;&gt;"",G2758,E2758))</f>
        <v/>
      </c>
      <c r="J2758" s="21" t="str">
        <f aca="false">IF(B2758="","",IF(H2758&lt;&gt;"",H2758,F2758))</f>
        <v/>
      </c>
      <c r="K2758" s="26" t="str">
        <f aca="false">IF(A2758="","",DATE(YEAR(A2758),MONTH(A2758),1))</f>
        <v/>
      </c>
      <c r="L2758" s="21" t="str">
        <f aca="false">IF(J2758="",IF(B2758="","",IF(N(C2758)&gt;=0,"Income","Expense")),IFERROR(INDEX(Lists!$B$2:$B$30,MATCH(J2758,Lists!$A$2:$A$30,0)),""))</f>
        <v/>
      </c>
      <c r="M2758" s="24"/>
      <c r="N2758" s="27" t="str">
        <f aca="false">IF(B2758="","",IFERROR(1000-SUMPRODUCT(MAX(ISNUMBER(SEARCH(Rules!$A$5:$A$204,B2758))*(Rules!$A$5:$A$204&lt;&gt;"")*(1000-ROW(Rules!$A$5:$A$204)))),""))</f>
        <v/>
      </c>
    </row>
    <row r="2759" customFormat="false" ht="15" hidden="false" customHeight="false" outlineLevel="0" collapsed="false">
      <c r="A2759" s="23"/>
      <c r="B2759" s="24"/>
      <c r="C2759" s="25"/>
      <c r="D2759" s="24"/>
      <c r="E2759" s="21" t="str">
        <f aca="false">IF(OR(B2759="",N(N2759)=0,N2759=1000),IF(B2759="","","Check"),INDEX(Rules!$B:$B,N2759))</f>
        <v/>
      </c>
      <c r="F2759" s="21" t="str">
        <f aca="false">IF(OR(B2759="",N(N2759)=0,N2759=1000),"",INDEX(Rules!$C:$C,N2759))</f>
        <v/>
      </c>
      <c r="G2759" s="24"/>
      <c r="H2759" s="24"/>
      <c r="I2759" s="20" t="str">
        <f aca="false">IF(B2759="","",IF(G2759&lt;&gt;"",G2759,E2759))</f>
        <v/>
      </c>
      <c r="J2759" s="21" t="str">
        <f aca="false">IF(B2759="","",IF(H2759&lt;&gt;"",H2759,F2759))</f>
        <v/>
      </c>
      <c r="K2759" s="26" t="str">
        <f aca="false">IF(A2759="","",DATE(YEAR(A2759),MONTH(A2759),1))</f>
        <v/>
      </c>
      <c r="L2759" s="21" t="str">
        <f aca="false">IF(J2759="",IF(B2759="","",IF(N(C2759)&gt;=0,"Income","Expense")),IFERROR(INDEX(Lists!$B$2:$B$30,MATCH(J2759,Lists!$A$2:$A$30,0)),""))</f>
        <v/>
      </c>
      <c r="M2759" s="24"/>
      <c r="N2759" s="27" t="str">
        <f aca="false">IF(B2759="","",IFERROR(1000-SUMPRODUCT(MAX(ISNUMBER(SEARCH(Rules!$A$5:$A$204,B2759))*(Rules!$A$5:$A$204&lt;&gt;"")*(1000-ROW(Rules!$A$5:$A$204)))),""))</f>
        <v/>
      </c>
    </row>
    <row r="2760" customFormat="false" ht="15" hidden="false" customHeight="false" outlineLevel="0" collapsed="false">
      <c r="A2760" s="23"/>
      <c r="B2760" s="24"/>
      <c r="C2760" s="25"/>
      <c r="D2760" s="24"/>
      <c r="E2760" s="21" t="str">
        <f aca="false">IF(OR(B2760="",N(N2760)=0,N2760=1000),IF(B2760="","","Check"),INDEX(Rules!$B:$B,N2760))</f>
        <v/>
      </c>
      <c r="F2760" s="21" t="str">
        <f aca="false">IF(OR(B2760="",N(N2760)=0,N2760=1000),"",INDEX(Rules!$C:$C,N2760))</f>
        <v/>
      </c>
      <c r="G2760" s="24"/>
      <c r="H2760" s="24"/>
      <c r="I2760" s="20" t="str">
        <f aca="false">IF(B2760="","",IF(G2760&lt;&gt;"",G2760,E2760))</f>
        <v/>
      </c>
      <c r="J2760" s="21" t="str">
        <f aca="false">IF(B2760="","",IF(H2760&lt;&gt;"",H2760,F2760))</f>
        <v/>
      </c>
      <c r="K2760" s="26" t="str">
        <f aca="false">IF(A2760="","",DATE(YEAR(A2760),MONTH(A2760),1))</f>
        <v/>
      </c>
      <c r="L2760" s="21" t="str">
        <f aca="false">IF(J2760="",IF(B2760="","",IF(N(C2760)&gt;=0,"Income","Expense")),IFERROR(INDEX(Lists!$B$2:$B$30,MATCH(J2760,Lists!$A$2:$A$30,0)),""))</f>
        <v/>
      </c>
      <c r="M2760" s="24"/>
      <c r="N2760" s="27" t="str">
        <f aca="false">IF(B2760="","",IFERROR(1000-SUMPRODUCT(MAX(ISNUMBER(SEARCH(Rules!$A$5:$A$204,B2760))*(Rules!$A$5:$A$204&lt;&gt;"")*(1000-ROW(Rules!$A$5:$A$204)))),""))</f>
        <v/>
      </c>
    </row>
    <row r="2761" customFormat="false" ht="15" hidden="false" customHeight="false" outlineLevel="0" collapsed="false">
      <c r="A2761" s="23"/>
      <c r="B2761" s="24"/>
      <c r="C2761" s="25"/>
      <c r="D2761" s="24"/>
      <c r="E2761" s="21" t="str">
        <f aca="false">IF(OR(B2761="",N(N2761)=0,N2761=1000),IF(B2761="","","Check"),INDEX(Rules!$B:$B,N2761))</f>
        <v/>
      </c>
      <c r="F2761" s="21" t="str">
        <f aca="false">IF(OR(B2761="",N(N2761)=0,N2761=1000),"",INDEX(Rules!$C:$C,N2761))</f>
        <v/>
      </c>
      <c r="G2761" s="24"/>
      <c r="H2761" s="24"/>
      <c r="I2761" s="20" t="str">
        <f aca="false">IF(B2761="","",IF(G2761&lt;&gt;"",G2761,E2761))</f>
        <v/>
      </c>
      <c r="J2761" s="21" t="str">
        <f aca="false">IF(B2761="","",IF(H2761&lt;&gt;"",H2761,F2761))</f>
        <v/>
      </c>
      <c r="K2761" s="26" t="str">
        <f aca="false">IF(A2761="","",DATE(YEAR(A2761),MONTH(A2761),1))</f>
        <v/>
      </c>
      <c r="L2761" s="21" t="str">
        <f aca="false">IF(J2761="",IF(B2761="","",IF(N(C2761)&gt;=0,"Income","Expense")),IFERROR(INDEX(Lists!$B$2:$B$30,MATCH(J2761,Lists!$A$2:$A$30,0)),""))</f>
        <v/>
      </c>
      <c r="M2761" s="24"/>
      <c r="N2761" s="27" t="str">
        <f aca="false">IF(B2761="","",IFERROR(1000-SUMPRODUCT(MAX(ISNUMBER(SEARCH(Rules!$A$5:$A$204,B2761))*(Rules!$A$5:$A$204&lt;&gt;"")*(1000-ROW(Rules!$A$5:$A$204)))),""))</f>
        <v/>
      </c>
    </row>
    <row r="2762" customFormat="false" ht="15" hidden="false" customHeight="false" outlineLevel="0" collapsed="false">
      <c r="A2762" s="23"/>
      <c r="B2762" s="24"/>
      <c r="C2762" s="25"/>
      <c r="D2762" s="24"/>
      <c r="E2762" s="21" t="str">
        <f aca="false">IF(OR(B2762="",N(N2762)=0,N2762=1000),IF(B2762="","","Check"),INDEX(Rules!$B:$B,N2762))</f>
        <v/>
      </c>
      <c r="F2762" s="21" t="str">
        <f aca="false">IF(OR(B2762="",N(N2762)=0,N2762=1000),"",INDEX(Rules!$C:$C,N2762))</f>
        <v/>
      </c>
      <c r="G2762" s="24"/>
      <c r="H2762" s="24"/>
      <c r="I2762" s="20" t="str">
        <f aca="false">IF(B2762="","",IF(G2762&lt;&gt;"",G2762,E2762))</f>
        <v/>
      </c>
      <c r="J2762" s="21" t="str">
        <f aca="false">IF(B2762="","",IF(H2762&lt;&gt;"",H2762,F2762))</f>
        <v/>
      </c>
      <c r="K2762" s="26" t="str">
        <f aca="false">IF(A2762="","",DATE(YEAR(A2762),MONTH(A2762),1))</f>
        <v/>
      </c>
      <c r="L2762" s="21" t="str">
        <f aca="false">IF(J2762="",IF(B2762="","",IF(N(C2762)&gt;=0,"Income","Expense")),IFERROR(INDEX(Lists!$B$2:$B$30,MATCH(J2762,Lists!$A$2:$A$30,0)),""))</f>
        <v/>
      </c>
      <c r="M2762" s="24"/>
      <c r="N2762" s="27" t="str">
        <f aca="false">IF(B2762="","",IFERROR(1000-SUMPRODUCT(MAX(ISNUMBER(SEARCH(Rules!$A$5:$A$204,B2762))*(Rules!$A$5:$A$204&lt;&gt;"")*(1000-ROW(Rules!$A$5:$A$204)))),""))</f>
        <v/>
      </c>
    </row>
    <row r="2763" customFormat="false" ht="15" hidden="false" customHeight="false" outlineLevel="0" collapsed="false">
      <c r="A2763" s="23"/>
      <c r="B2763" s="24"/>
      <c r="C2763" s="25"/>
      <c r="D2763" s="24"/>
      <c r="E2763" s="21" t="str">
        <f aca="false">IF(OR(B2763="",N(N2763)=0,N2763=1000),IF(B2763="","","Check"),INDEX(Rules!$B:$B,N2763))</f>
        <v/>
      </c>
      <c r="F2763" s="21" t="str">
        <f aca="false">IF(OR(B2763="",N(N2763)=0,N2763=1000),"",INDEX(Rules!$C:$C,N2763))</f>
        <v/>
      </c>
      <c r="G2763" s="24"/>
      <c r="H2763" s="24"/>
      <c r="I2763" s="20" t="str">
        <f aca="false">IF(B2763="","",IF(G2763&lt;&gt;"",G2763,E2763))</f>
        <v/>
      </c>
      <c r="J2763" s="21" t="str">
        <f aca="false">IF(B2763="","",IF(H2763&lt;&gt;"",H2763,F2763))</f>
        <v/>
      </c>
      <c r="K2763" s="26" t="str">
        <f aca="false">IF(A2763="","",DATE(YEAR(A2763),MONTH(A2763),1))</f>
        <v/>
      </c>
      <c r="L2763" s="21" t="str">
        <f aca="false">IF(J2763="",IF(B2763="","",IF(N(C2763)&gt;=0,"Income","Expense")),IFERROR(INDEX(Lists!$B$2:$B$30,MATCH(J2763,Lists!$A$2:$A$30,0)),""))</f>
        <v/>
      </c>
      <c r="M2763" s="24"/>
      <c r="N2763" s="27" t="str">
        <f aca="false">IF(B2763="","",IFERROR(1000-SUMPRODUCT(MAX(ISNUMBER(SEARCH(Rules!$A$5:$A$204,B2763))*(Rules!$A$5:$A$204&lt;&gt;"")*(1000-ROW(Rules!$A$5:$A$204)))),""))</f>
        <v/>
      </c>
    </row>
    <row r="2764" customFormat="false" ht="15" hidden="false" customHeight="false" outlineLevel="0" collapsed="false">
      <c r="A2764" s="23"/>
      <c r="B2764" s="24"/>
      <c r="C2764" s="25"/>
      <c r="D2764" s="24"/>
      <c r="E2764" s="21" t="str">
        <f aca="false">IF(OR(B2764="",N(N2764)=0,N2764=1000),IF(B2764="","","Check"),INDEX(Rules!$B:$B,N2764))</f>
        <v/>
      </c>
      <c r="F2764" s="21" t="str">
        <f aca="false">IF(OR(B2764="",N(N2764)=0,N2764=1000),"",INDEX(Rules!$C:$C,N2764))</f>
        <v/>
      </c>
      <c r="G2764" s="24"/>
      <c r="H2764" s="24"/>
      <c r="I2764" s="20" t="str">
        <f aca="false">IF(B2764="","",IF(G2764&lt;&gt;"",G2764,E2764))</f>
        <v/>
      </c>
      <c r="J2764" s="21" t="str">
        <f aca="false">IF(B2764="","",IF(H2764&lt;&gt;"",H2764,F2764))</f>
        <v/>
      </c>
      <c r="K2764" s="26" t="str">
        <f aca="false">IF(A2764="","",DATE(YEAR(A2764),MONTH(A2764),1))</f>
        <v/>
      </c>
      <c r="L2764" s="21" t="str">
        <f aca="false">IF(J2764="",IF(B2764="","",IF(N(C2764)&gt;=0,"Income","Expense")),IFERROR(INDEX(Lists!$B$2:$B$30,MATCH(J2764,Lists!$A$2:$A$30,0)),""))</f>
        <v/>
      </c>
      <c r="M2764" s="24"/>
      <c r="N2764" s="27" t="str">
        <f aca="false">IF(B2764="","",IFERROR(1000-SUMPRODUCT(MAX(ISNUMBER(SEARCH(Rules!$A$5:$A$204,B2764))*(Rules!$A$5:$A$204&lt;&gt;"")*(1000-ROW(Rules!$A$5:$A$204)))),""))</f>
        <v/>
      </c>
    </row>
    <row r="2765" customFormat="false" ht="15" hidden="false" customHeight="false" outlineLevel="0" collapsed="false">
      <c r="A2765" s="23"/>
      <c r="B2765" s="24"/>
      <c r="C2765" s="25"/>
      <c r="D2765" s="24"/>
      <c r="E2765" s="21" t="str">
        <f aca="false">IF(OR(B2765="",N(N2765)=0,N2765=1000),IF(B2765="","","Check"),INDEX(Rules!$B:$B,N2765))</f>
        <v/>
      </c>
      <c r="F2765" s="21" t="str">
        <f aca="false">IF(OR(B2765="",N(N2765)=0,N2765=1000),"",INDEX(Rules!$C:$C,N2765))</f>
        <v/>
      </c>
      <c r="G2765" s="24"/>
      <c r="H2765" s="24"/>
      <c r="I2765" s="20" t="str">
        <f aca="false">IF(B2765="","",IF(G2765&lt;&gt;"",G2765,E2765))</f>
        <v/>
      </c>
      <c r="J2765" s="21" t="str">
        <f aca="false">IF(B2765="","",IF(H2765&lt;&gt;"",H2765,F2765))</f>
        <v/>
      </c>
      <c r="K2765" s="26" t="str">
        <f aca="false">IF(A2765="","",DATE(YEAR(A2765),MONTH(A2765),1))</f>
        <v/>
      </c>
      <c r="L2765" s="21" t="str">
        <f aca="false">IF(J2765="",IF(B2765="","",IF(N(C2765)&gt;=0,"Income","Expense")),IFERROR(INDEX(Lists!$B$2:$B$30,MATCH(J2765,Lists!$A$2:$A$30,0)),""))</f>
        <v/>
      </c>
      <c r="M2765" s="24"/>
      <c r="N2765" s="27" t="str">
        <f aca="false">IF(B2765="","",IFERROR(1000-SUMPRODUCT(MAX(ISNUMBER(SEARCH(Rules!$A$5:$A$204,B2765))*(Rules!$A$5:$A$204&lt;&gt;"")*(1000-ROW(Rules!$A$5:$A$204)))),""))</f>
        <v/>
      </c>
    </row>
    <row r="2766" customFormat="false" ht="15" hidden="false" customHeight="false" outlineLevel="0" collapsed="false">
      <c r="A2766" s="23"/>
      <c r="B2766" s="24"/>
      <c r="C2766" s="25"/>
      <c r="D2766" s="24"/>
      <c r="E2766" s="21" t="str">
        <f aca="false">IF(OR(B2766="",N(N2766)=0,N2766=1000),IF(B2766="","","Check"),INDEX(Rules!$B:$B,N2766))</f>
        <v/>
      </c>
      <c r="F2766" s="21" t="str">
        <f aca="false">IF(OR(B2766="",N(N2766)=0,N2766=1000),"",INDEX(Rules!$C:$C,N2766))</f>
        <v/>
      </c>
      <c r="G2766" s="24"/>
      <c r="H2766" s="24"/>
      <c r="I2766" s="20" t="str">
        <f aca="false">IF(B2766="","",IF(G2766&lt;&gt;"",G2766,E2766))</f>
        <v/>
      </c>
      <c r="J2766" s="21" t="str">
        <f aca="false">IF(B2766="","",IF(H2766&lt;&gt;"",H2766,F2766))</f>
        <v/>
      </c>
      <c r="K2766" s="26" t="str">
        <f aca="false">IF(A2766="","",DATE(YEAR(A2766),MONTH(A2766),1))</f>
        <v/>
      </c>
      <c r="L2766" s="21" t="str">
        <f aca="false">IF(J2766="",IF(B2766="","",IF(N(C2766)&gt;=0,"Income","Expense")),IFERROR(INDEX(Lists!$B$2:$B$30,MATCH(J2766,Lists!$A$2:$A$30,0)),""))</f>
        <v/>
      </c>
      <c r="M2766" s="24"/>
      <c r="N2766" s="27" t="str">
        <f aca="false">IF(B2766="","",IFERROR(1000-SUMPRODUCT(MAX(ISNUMBER(SEARCH(Rules!$A$5:$A$204,B2766))*(Rules!$A$5:$A$204&lt;&gt;"")*(1000-ROW(Rules!$A$5:$A$204)))),""))</f>
        <v/>
      </c>
    </row>
    <row r="2767" customFormat="false" ht="15" hidden="false" customHeight="false" outlineLevel="0" collapsed="false">
      <c r="A2767" s="23"/>
      <c r="B2767" s="24"/>
      <c r="C2767" s="25"/>
      <c r="D2767" s="24"/>
      <c r="E2767" s="21" t="str">
        <f aca="false">IF(OR(B2767="",N(N2767)=0,N2767=1000),IF(B2767="","","Check"),INDEX(Rules!$B:$B,N2767))</f>
        <v/>
      </c>
      <c r="F2767" s="21" t="str">
        <f aca="false">IF(OR(B2767="",N(N2767)=0,N2767=1000),"",INDEX(Rules!$C:$C,N2767))</f>
        <v/>
      </c>
      <c r="G2767" s="24"/>
      <c r="H2767" s="24"/>
      <c r="I2767" s="20" t="str">
        <f aca="false">IF(B2767="","",IF(G2767&lt;&gt;"",G2767,E2767))</f>
        <v/>
      </c>
      <c r="J2767" s="21" t="str">
        <f aca="false">IF(B2767="","",IF(H2767&lt;&gt;"",H2767,F2767))</f>
        <v/>
      </c>
      <c r="K2767" s="26" t="str">
        <f aca="false">IF(A2767="","",DATE(YEAR(A2767),MONTH(A2767),1))</f>
        <v/>
      </c>
      <c r="L2767" s="21" t="str">
        <f aca="false">IF(J2767="",IF(B2767="","",IF(N(C2767)&gt;=0,"Income","Expense")),IFERROR(INDEX(Lists!$B$2:$B$30,MATCH(J2767,Lists!$A$2:$A$30,0)),""))</f>
        <v/>
      </c>
      <c r="M2767" s="24"/>
      <c r="N2767" s="27" t="str">
        <f aca="false">IF(B2767="","",IFERROR(1000-SUMPRODUCT(MAX(ISNUMBER(SEARCH(Rules!$A$5:$A$204,B2767))*(Rules!$A$5:$A$204&lt;&gt;"")*(1000-ROW(Rules!$A$5:$A$204)))),""))</f>
        <v/>
      </c>
    </row>
    <row r="2768" customFormat="false" ht="15" hidden="false" customHeight="false" outlineLevel="0" collapsed="false">
      <c r="A2768" s="23"/>
      <c r="B2768" s="24"/>
      <c r="C2768" s="25"/>
      <c r="D2768" s="24"/>
      <c r="E2768" s="21" t="str">
        <f aca="false">IF(OR(B2768="",N(N2768)=0,N2768=1000),IF(B2768="","","Check"),INDEX(Rules!$B:$B,N2768))</f>
        <v/>
      </c>
      <c r="F2768" s="21" t="str">
        <f aca="false">IF(OR(B2768="",N(N2768)=0,N2768=1000),"",INDEX(Rules!$C:$C,N2768))</f>
        <v/>
      </c>
      <c r="G2768" s="24"/>
      <c r="H2768" s="24"/>
      <c r="I2768" s="20" t="str">
        <f aca="false">IF(B2768="","",IF(G2768&lt;&gt;"",G2768,E2768))</f>
        <v/>
      </c>
      <c r="J2768" s="21" t="str">
        <f aca="false">IF(B2768="","",IF(H2768&lt;&gt;"",H2768,F2768))</f>
        <v/>
      </c>
      <c r="K2768" s="26" t="str">
        <f aca="false">IF(A2768="","",DATE(YEAR(A2768),MONTH(A2768),1))</f>
        <v/>
      </c>
      <c r="L2768" s="21" t="str">
        <f aca="false">IF(J2768="",IF(B2768="","",IF(N(C2768)&gt;=0,"Income","Expense")),IFERROR(INDEX(Lists!$B$2:$B$30,MATCH(J2768,Lists!$A$2:$A$30,0)),""))</f>
        <v/>
      </c>
      <c r="M2768" s="24"/>
      <c r="N2768" s="27" t="str">
        <f aca="false">IF(B2768="","",IFERROR(1000-SUMPRODUCT(MAX(ISNUMBER(SEARCH(Rules!$A$5:$A$204,B2768))*(Rules!$A$5:$A$204&lt;&gt;"")*(1000-ROW(Rules!$A$5:$A$204)))),""))</f>
        <v/>
      </c>
    </row>
    <row r="2769" customFormat="false" ht="15" hidden="false" customHeight="false" outlineLevel="0" collapsed="false">
      <c r="A2769" s="23"/>
      <c r="B2769" s="24"/>
      <c r="C2769" s="25"/>
      <c r="D2769" s="24"/>
      <c r="E2769" s="21" t="str">
        <f aca="false">IF(OR(B2769="",N(N2769)=0,N2769=1000),IF(B2769="","","Check"),INDEX(Rules!$B:$B,N2769))</f>
        <v/>
      </c>
      <c r="F2769" s="21" t="str">
        <f aca="false">IF(OR(B2769="",N(N2769)=0,N2769=1000),"",INDEX(Rules!$C:$C,N2769))</f>
        <v/>
      </c>
      <c r="G2769" s="24"/>
      <c r="H2769" s="24"/>
      <c r="I2769" s="20" t="str">
        <f aca="false">IF(B2769="","",IF(G2769&lt;&gt;"",G2769,E2769))</f>
        <v/>
      </c>
      <c r="J2769" s="21" t="str">
        <f aca="false">IF(B2769="","",IF(H2769&lt;&gt;"",H2769,F2769))</f>
        <v/>
      </c>
      <c r="K2769" s="26" t="str">
        <f aca="false">IF(A2769="","",DATE(YEAR(A2769),MONTH(A2769),1))</f>
        <v/>
      </c>
      <c r="L2769" s="21" t="str">
        <f aca="false">IF(J2769="",IF(B2769="","",IF(N(C2769)&gt;=0,"Income","Expense")),IFERROR(INDEX(Lists!$B$2:$B$30,MATCH(J2769,Lists!$A$2:$A$30,0)),""))</f>
        <v/>
      </c>
      <c r="M2769" s="24"/>
      <c r="N2769" s="27" t="str">
        <f aca="false">IF(B2769="","",IFERROR(1000-SUMPRODUCT(MAX(ISNUMBER(SEARCH(Rules!$A$5:$A$204,B2769))*(Rules!$A$5:$A$204&lt;&gt;"")*(1000-ROW(Rules!$A$5:$A$204)))),""))</f>
        <v/>
      </c>
    </row>
    <row r="2770" customFormat="false" ht="15" hidden="false" customHeight="false" outlineLevel="0" collapsed="false">
      <c r="A2770" s="23"/>
      <c r="B2770" s="24"/>
      <c r="C2770" s="25"/>
      <c r="D2770" s="24"/>
      <c r="E2770" s="21" t="str">
        <f aca="false">IF(OR(B2770="",N(N2770)=0,N2770=1000),IF(B2770="","","Check"),INDEX(Rules!$B:$B,N2770))</f>
        <v/>
      </c>
      <c r="F2770" s="21" t="str">
        <f aca="false">IF(OR(B2770="",N(N2770)=0,N2770=1000),"",INDEX(Rules!$C:$C,N2770))</f>
        <v/>
      </c>
      <c r="G2770" s="24"/>
      <c r="H2770" s="24"/>
      <c r="I2770" s="20" t="str">
        <f aca="false">IF(B2770="","",IF(G2770&lt;&gt;"",G2770,E2770))</f>
        <v/>
      </c>
      <c r="J2770" s="21" t="str">
        <f aca="false">IF(B2770="","",IF(H2770&lt;&gt;"",H2770,F2770))</f>
        <v/>
      </c>
      <c r="K2770" s="26" t="str">
        <f aca="false">IF(A2770="","",DATE(YEAR(A2770),MONTH(A2770),1))</f>
        <v/>
      </c>
      <c r="L2770" s="21" t="str">
        <f aca="false">IF(J2770="",IF(B2770="","",IF(N(C2770)&gt;=0,"Income","Expense")),IFERROR(INDEX(Lists!$B$2:$B$30,MATCH(J2770,Lists!$A$2:$A$30,0)),""))</f>
        <v/>
      </c>
      <c r="M2770" s="24"/>
      <c r="N2770" s="27" t="str">
        <f aca="false">IF(B2770="","",IFERROR(1000-SUMPRODUCT(MAX(ISNUMBER(SEARCH(Rules!$A$5:$A$204,B2770))*(Rules!$A$5:$A$204&lt;&gt;"")*(1000-ROW(Rules!$A$5:$A$204)))),""))</f>
        <v/>
      </c>
    </row>
    <row r="2771" customFormat="false" ht="15" hidden="false" customHeight="false" outlineLevel="0" collapsed="false">
      <c r="A2771" s="23"/>
      <c r="B2771" s="24"/>
      <c r="C2771" s="25"/>
      <c r="D2771" s="24"/>
      <c r="E2771" s="21" t="str">
        <f aca="false">IF(OR(B2771="",N(N2771)=0,N2771=1000),IF(B2771="","","Check"),INDEX(Rules!$B:$B,N2771))</f>
        <v/>
      </c>
      <c r="F2771" s="21" t="str">
        <f aca="false">IF(OR(B2771="",N(N2771)=0,N2771=1000),"",INDEX(Rules!$C:$C,N2771))</f>
        <v/>
      </c>
      <c r="G2771" s="24"/>
      <c r="H2771" s="24"/>
      <c r="I2771" s="20" t="str">
        <f aca="false">IF(B2771="","",IF(G2771&lt;&gt;"",G2771,E2771))</f>
        <v/>
      </c>
      <c r="J2771" s="21" t="str">
        <f aca="false">IF(B2771="","",IF(H2771&lt;&gt;"",H2771,F2771))</f>
        <v/>
      </c>
      <c r="K2771" s="26" t="str">
        <f aca="false">IF(A2771="","",DATE(YEAR(A2771),MONTH(A2771),1))</f>
        <v/>
      </c>
      <c r="L2771" s="21" t="str">
        <f aca="false">IF(J2771="",IF(B2771="","",IF(N(C2771)&gt;=0,"Income","Expense")),IFERROR(INDEX(Lists!$B$2:$B$30,MATCH(J2771,Lists!$A$2:$A$30,0)),""))</f>
        <v/>
      </c>
      <c r="M2771" s="24"/>
      <c r="N2771" s="27" t="str">
        <f aca="false">IF(B2771="","",IFERROR(1000-SUMPRODUCT(MAX(ISNUMBER(SEARCH(Rules!$A$5:$A$204,B2771))*(Rules!$A$5:$A$204&lt;&gt;"")*(1000-ROW(Rules!$A$5:$A$204)))),""))</f>
        <v/>
      </c>
    </row>
    <row r="2772" customFormat="false" ht="15" hidden="false" customHeight="false" outlineLevel="0" collapsed="false">
      <c r="A2772" s="23"/>
      <c r="B2772" s="24"/>
      <c r="C2772" s="25"/>
      <c r="D2772" s="24"/>
      <c r="E2772" s="21" t="str">
        <f aca="false">IF(OR(B2772="",N(N2772)=0,N2772=1000),IF(B2772="","","Check"),INDEX(Rules!$B:$B,N2772))</f>
        <v/>
      </c>
      <c r="F2772" s="21" t="str">
        <f aca="false">IF(OR(B2772="",N(N2772)=0,N2772=1000),"",INDEX(Rules!$C:$C,N2772))</f>
        <v/>
      </c>
      <c r="G2772" s="24"/>
      <c r="H2772" s="24"/>
      <c r="I2772" s="20" t="str">
        <f aca="false">IF(B2772="","",IF(G2772&lt;&gt;"",G2772,E2772))</f>
        <v/>
      </c>
      <c r="J2772" s="21" t="str">
        <f aca="false">IF(B2772="","",IF(H2772&lt;&gt;"",H2772,F2772))</f>
        <v/>
      </c>
      <c r="K2772" s="26" t="str">
        <f aca="false">IF(A2772="","",DATE(YEAR(A2772),MONTH(A2772),1))</f>
        <v/>
      </c>
      <c r="L2772" s="21" t="str">
        <f aca="false">IF(J2772="",IF(B2772="","",IF(N(C2772)&gt;=0,"Income","Expense")),IFERROR(INDEX(Lists!$B$2:$B$30,MATCH(J2772,Lists!$A$2:$A$30,0)),""))</f>
        <v/>
      </c>
      <c r="M2772" s="24"/>
      <c r="N2772" s="27" t="str">
        <f aca="false">IF(B2772="","",IFERROR(1000-SUMPRODUCT(MAX(ISNUMBER(SEARCH(Rules!$A$5:$A$204,B2772))*(Rules!$A$5:$A$204&lt;&gt;"")*(1000-ROW(Rules!$A$5:$A$204)))),""))</f>
        <v/>
      </c>
    </row>
    <row r="2773" customFormat="false" ht="15" hidden="false" customHeight="false" outlineLevel="0" collapsed="false">
      <c r="A2773" s="23"/>
      <c r="B2773" s="24"/>
      <c r="C2773" s="25"/>
      <c r="D2773" s="24"/>
      <c r="E2773" s="21" t="str">
        <f aca="false">IF(OR(B2773="",N(N2773)=0,N2773=1000),IF(B2773="","","Check"),INDEX(Rules!$B:$B,N2773))</f>
        <v/>
      </c>
      <c r="F2773" s="21" t="str">
        <f aca="false">IF(OR(B2773="",N(N2773)=0,N2773=1000),"",INDEX(Rules!$C:$C,N2773))</f>
        <v/>
      </c>
      <c r="G2773" s="24"/>
      <c r="H2773" s="24"/>
      <c r="I2773" s="20" t="str">
        <f aca="false">IF(B2773="","",IF(G2773&lt;&gt;"",G2773,E2773))</f>
        <v/>
      </c>
      <c r="J2773" s="21" t="str">
        <f aca="false">IF(B2773="","",IF(H2773&lt;&gt;"",H2773,F2773))</f>
        <v/>
      </c>
      <c r="K2773" s="26" t="str">
        <f aca="false">IF(A2773="","",DATE(YEAR(A2773),MONTH(A2773),1))</f>
        <v/>
      </c>
      <c r="L2773" s="21" t="str">
        <f aca="false">IF(J2773="",IF(B2773="","",IF(N(C2773)&gt;=0,"Income","Expense")),IFERROR(INDEX(Lists!$B$2:$B$30,MATCH(J2773,Lists!$A$2:$A$30,0)),""))</f>
        <v/>
      </c>
      <c r="M2773" s="24"/>
      <c r="N2773" s="27" t="str">
        <f aca="false">IF(B2773="","",IFERROR(1000-SUMPRODUCT(MAX(ISNUMBER(SEARCH(Rules!$A$5:$A$204,B2773))*(Rules!$A$5:$A$204&lt;&gt;"")*(1000-ROW(Rules!$A$5:$A$204)))),""))</f>
        <v/>
      </c>
    </row>
    <row r="2774" customFormat="false" ht="15" hidden="false" customHeight="false" outlineLevel="0" collapsed="false">
      <c r="A2774" s="23"/>
      <c r="B2774" s="24"/>
      <c r="C2774" s="25"/>
      <c r="D2774" s="24"/>
      <c r="E2774" s="21" t="str">
        <f aca="false">IF(OR(B2774="",N(N2774)=0,N2774=1000),IF(B2774="","","Check"),INDEX(Rules!$B:$B,N2774))</f>
        <v/>
      </c>
      <c r="F2774" s="21" t="str">
        <f aca="false">IF(OR(B2774="",N(N2774)=0,N2774=1000),"",INDEX(Rules!$C:$C,N2774))</f>
        <v/>
      </c>
      <c r="G2774" s="24"/>
      <c r="H2774" s="24"/>
      <c r="I2774" s="20" t="str">
        <f aca="false">IF(B2774="","",IF(G2774&lt;&gt;"",G2774,E2774))</f>
        <v/>
      </c>
      <c r="J2774" s="21" t="str">
        <f aca="false">IF(B2774="","",IF(H2774&lt;&gt;"",H2774,F2774))</f>
        <v/>
      </c>
      <c r="K2774" s="26" t="str">
        <f aca="false">IF(A2774="","",DATE(YEAR(A2774),MONTH(A2774),1))</f>
        <v/>
      </c>
      <c r="L2774" s="21" t="str">
        <f aca="false">IF(J2774="",IF(B2774="","",IF(N(C2774)&gt;=0,"Income","Expense")),IFERROR(INDEX(Lists!$B$2:$B$30,MATCH(J2774,Lists!$A$2:$A$30,0)),""))</f>
        <v/>
      </c>
      <c r="M2774" s="24"/>
      <c r="N2774" s="27" t="str">
        <f aca="false">IF(B2774="","",IFERROR(1000-SUMPRODUCT(MAX(ISNUMBER(SEARCH(Rules!$A$5:$A$204,B2774))*(Rules!$A$5:$A$204&lt;&gt;"")*(1000-ROW(Rules!$A$5:$A$204)))),""))</f>
        <v/>
      </c>
    </row>
    <row r="2775" customFormat="false" ht="15" hidden="false" customHeight="false" outlineLevel="0" collapsed="false">
      <c r="A2775" s="23"/>
      <c r="B2775" s="24"/>
      <c r="C2775" s="25"/>
      <c r="D2775" s="24"/>
      <c r="E2775" s="21" t="str">
        <f aca="false">IF(OR(B2775="",N(N2775)=0,N2775=1000),IF(B2775="","","Check"),INDEX(Rules!$B:$B,N2775))</f>
        <v/>
      </c>
      <c r="F2775" s="21" t="str">
        <f aca="false">IF(OR(B2775="",N(N2775)=0,N2775=1000),"",INDEX(Rules!$C:$C,N2775))</f>
        <v/>
      </c>
      <c r="G2775" s="24"/>
      <c r="H2775" s="24"/>
      <c r="I2775" s="20" t="str">
        <f aca="false">IF(B2775="","",IF(G2775&lt;&gt;"",G2775,E2775))</f>
        <v/>
      </c>
      <c r="J2775" s="21" t="str">
        <f aca="false">IF(B2775="","",IF(H2775&lt;&gt;"",H2775,F2775))</f>
        <v/>
      </c>
      <c r="K2775" s="26" t="str">
        <f aca="false">IF(A2775="","",DATE(YEAR(A2775),MONTH(A2775),1))</f>
        <v/>
      </c>
      <c r="L2775" s="21" t="str">
        <f aca="false">IF(J2775="",IF(B2775="","",IF(N(C2775)&gt;=0,"Income","Expense")),IFERROR(INDEX(Lists!$B$2:$B$30,MATCH(J2775,Lists!$A$2:$A$30,0)),""))</f>
        <v/>
      </c>
      <c r="M2775" s="24"/>
      <c r="N2775" s="27" t="str">
        <f aca="false">IF(B2775="","",IFERROR(1000-SUMPRODUCT(MAX(ISNUMBER(SEARCH(Rules!$A$5:$A$204,B2775))*(Rules!$A$5:$A$204&lt;&gt;"")*(1000-ROW(Rules!$A$5:$A$204)))),""))</f>
        <v/>
      </c>
    </row>
    <row r="2776" customFormat="false" ht="15" hidden="false" customHeight="false" outlineLevel="0" collapsed="false">
      <c r="A2776" s="23"/>
      <c r="B2776" s="24"/>
      <c r="C2776" s="25"/>
      <c r="D2776" s="24"/>
      <c r="E2776" s="21" t="str">
        <f aca="false">IF(OR(B2776="",N(N2776)=0,N2776=1000),IF(B2776="","","Check"),INDEX(Rules!$B:$B,N2776))</f>
        <v/>
      </c>
      <c r="F2776" s="21" t="str">
        <f aca="false">IF(OR(B2776="",N(N2776)=0,N2776=1000),"",INDEX(Rules!$C:$C,N2776))</f>
        <v/>
      </c>
      <c r="G2776" s="24"/>
      <c r="H2776" s="24"/>
      <c r="I2776" s="20" t="str">
        <f aca="false">IF(B2776="","",IF(G2776&lt;&gt;"",G2776,E2776))</f>
        <v/>
      </c>
      <c r="J2776" s="21" t="str">
        <f aca="false">IF(B2776="","",IF(H2776&lt;&gt;"",H2776,F2776))</f>
        <v/>
      </c>
      <c r="K2776" s="26" t="str">
        <f aca="false">IF(A2776="","",DATE(YEAR(A2776),MONTH(A2776),1))</f>
        <v/>
      </c>
      <c r="L2776" s="21" t="str">
        <f aca="false">IF(J2776="",IF(B2776="","",IF(N(C2776)&gt;=0,"Income","Expense")),IFERROR(INDEX(Lists!$B$2:$B$30,MATCH(J2776,Lists!$A$2:$A$30,0)),""))</f>
        <v/>
      </c>
      <c r="M2776" s="24"/>
      <c r="N2776" s="27" t="str">
        <f aca="false">IF(B2776="","",IFERROR(1000-SUMPRODUCT(MAX(ISNUMBER(SEARCH(Rules!$A$5:$A$204,B2776))*(Rules!$A$5:$A$204&lt;&gt;"")*(1000-ROW(Rules!$A$5:$A$204)))),""))</f>
        <v/>
      </c>
    </row>
    <row r="2777" customFormat="false" ht="15" hidden="false" customHeight="false" outlineLevel="0" collapsed="false">
      <c r="A2777" s="23"/>
      <c r="B2777" s="24"/>
      <c r="C2777" s="25"/>
      <c r="D2777" s="24"/>
      <c r="E2777" s="21" t="str">
        <f aca="false">IF(OR(B2777="",N(N2777)=0,N2777=1000),IF(B2777="","","Check"),INDEX(Rules!$B:$B,N2777))</f>
        <v/>
      </c>
      <c r="F2777" s="21" t="str">
        <f aca="false">IF(OR(B2777="",N(N2777)=0,N2777=1000),"",INDEX(Rules!$C:$C,N2777))</f>
        <v/>
      </c>
      <c r="G2777" s="24"/>
      <c r="H2777" s="24"/>
      <c r="I2777" s="20" t="str">
        <f aca="false">IF(B2777="","",IF(G2777&lt;&gt;"",G2777,E2777))</f>
        <v/>
      </c>
      <c r="J2777" s="21" t="str">
        <f aca="false">IF(B2777="","",IF(H2777&lt;&gt;"",H2777,F2777))</f>
        <v/>
      </c>
      <c r="K2777" s="26" t="str">
        <f aca="false">IF(A2777="","",DATE(YEAR(A2777),MONTH(A2777),1))</f>
        <v/>
      </c>
      <c r="L2777" s="21" t="str">
        <f aca="false">IF(J2777="",IF(B2777="","",IF(N(C2777)&gt;=0,"Income","Expense")),IFERROR(INDEX(Lists!$B$2:$B$30,MATCH(J2777,Lists!$A$2:$A$30,0)),""))</f>
        <v/>
      </c>
      <c r="M2777" s="24"/>
      <c r="N2777" s="27" t="str">
        <f aca="false">IF(B2777="","",IFERROR(1000-SUMPRODUCT(MAX(ISNUMBER(SEARCH(Rules!$A$5:$A$204,B2777))*(Rules!$A$5:$A$204&lt;&gt;"")*(1000-ROW(Rules!$A$5:$A$204)))),""))</f>
        <v/>
      </c>
    </row>
    <row r="2778" customFormat="false" ht="15" hidden="false" customHeight="false" outlineLevel="0" collapsed="false">
      <c r="A2778" s="23"/>
      <c r="B2778" s="24"/>
      <c r="C2778" s="25"/>
      <c r="D2778" s="24"/>
      <c r="E2778" s="21" t="str">
        <f aca="false">IF(OR(B2778="",N(N2778)=0,N2778=1000),IF(B2778="","","Check"),INDEX(Rules!$B:$B,N2778))</f>
        <v/>
      </c>
      <c r="F2778" s="21" t="str">
        <f aca="false">IF(OR(B2778="",N(N2778)=0,N2778=1000),"",INDEX(Rules!$C:$C,N2778))</f>
        <v/>
      </c>
      <c r="G2778" s="24"/>
      <c r="H2778" s="24"/>
      <c r="I2778" s="20" t="str">
        <f aca="false">IF(B2778="","",IF(G2778&lt;&gt;"",G2778,E2778))</f>
        <v/>
      </c>
      <c r="J2778" s="21" t="str">
        <f aca="false">IF(B2778="","",IF(H2778&lt;&gt;"",H2778,F2778))</f>
        <v/>
      </c>
      <c r="K2778" s="26" t="str">
        <f aca="false">IF(A2778="","",DATE(YEAR(A2778),MONTH(A2778),1))</f>
        <v/>
      </c>
      <c r="L2778" s="21" t="str">
        <f aca="false">IF(J2778="",IF(B2778="","",IF(N(C2778)&gt;=0,"Income","Expense")),IFERROR(INDEX(Lists!$B$2:$B$30,MATCH(J2778,Lists!$A$2:$A$30,0)),""))</f>
        <v/>
      </c>
      <c r="M2778" s="24"/>
      <c r="N2778" s="27" t="str">
        <f aca="false">IF(B2778="","",IFERROR(1000-SUMPRODUCT(MAX(ISNUMBER(SEARCH(Rules!$A$5:$A$204,B2778))*(Rules!$A$5:$A$204&lt;&gt;"")*(1000-ROW(Rules!$A$5:$A$204)))),""))</f>
        <v/>
      </c>
    </row>
    <row r="2779" customFormat="false" ht="15" hidden="false" customHeight="false" outlineLevel="0" collapsed="false">
      <c r="A2779" s="23"/>
      <c r="B2779" s="24"/>
      <c r="C2779" s="25"/>
      <c r="D2779" s="24"/>
      <c r="E2779" s="21" t="str">
        <f aca="false">IF(OR(B2779="",N(N2779)=0,N2779=1000),IF(B2779="","","Check"),INDEX(Rules!$B:$B,N2779))</f>
        <v/>
      </c>
      <c r="F2779" s="21" t="str">
        <f aca="false">IF(OR(B2779="",N(N2779)=0,N2779=1000),"",INDEX(Rules!$C:$C,N2779))</f>
        <v/>
      </c>
      <c r="G2779" s="24"/>
      <c r="H2779" s="24"/>
      <c r="I2779" s="20" t="str">
        <f aca="false">IF(B2779="","",IF(G2779&lt;&gt;"",G2779,E2779))</f>
        <v/>
      </c>
      <c r="J2779" s="21" t="str">
        <f aca="false">IF(B2779="","",IF(H2779&lt;&gt;"",H2779,F2779))</f>
        <v/>
      </c>
      <c r="K2779" s="26" t="str">
        <f aca="false">IF(A2779="","",DATE(YEAR(A2779),MONTH(A2779),1))</f>
        <v/>
      </c>
      <c r="L2779" s="21" t="str">
        <f aca="false">IF(J2779="",IF(B2779="","",IF(N(C2779)&gt;=0,"Income","Expense")),IFERROR(INDEX(Lists!$B$2:$B$30,MATCH(J2779,Lists!$A$2:$A$30,0)),""))</f>
        <v/>
      </c>
      <c r="M2779" s="24"/>
      <c r="N2779" s="27" t="str">
        <f aca="false">IF(B2779="","",IFERROR(1000-SUMPRODUCT(MAX(ISNUMBER(SEARCH(Rules!$A$5:$A$204,B2779))*(Rules!$A$5:$A$204&lt;&gt;"")*(1000-ROW(Rules!$A$5:$A$204)))),""))</f>
        <v/>
      </c>
    </row>
    <row r="2780" customFormat="false" ht="15" hidden="false" customHeight="false" outlineLevel="0" collapsed="false">
      <c r="A2780" s="23"/>
      <c r="B2780" s="24"/>
      <c r="C2780" s="25"/>
      <c r="D2780" s="24"/>
      <c r="E2780" s="21" t="str">
        <f aca="false">IF(OR(B2780="",N(N2780)=0,N2780=1000),IF(B2780="","","Check"),INDEX(Rules!$B:$B,N2780))</f>
        <v/>
      </c>
      <c r="F2780" s="21" t="str">
        <f aca="false">IF(OR(B2780="",N(N2780)=0,N2780=1000),"",INDEX(Rules!$C:$C,N2780))</f>
        <v/>
      </c>
      <c r="G2780" s="24"/>
      <c r="H2780" s="24"/>
      <c r="I2780" s="20" t="str">
        <f aca="false">IF(B2780="","",IF(G2780&lt;&gt;"",G2780,E2780))</f>
        <v/>
      </c>
      <c r="J2780" s="21" t="str">
        <f aca="false">IF(B2780="","",IF(H2780&lt;&gt;"",H2780,F2780))</f>
        <v/>
      </c>
      <c r="K2780" s="26" t="str">
        <f aca="false">IF(A2780="","",DATE(YEAR(A2780),MONTH(A2780),1))</f>
        <v/>
      </c>
      <c r="L2780" s="21" t="str">
        <f aca="false">IF(J2780="",IF(B2780="","",IF(N(C2780)&gt;=0,"Income","Expense")),IFERROR(INDEX(Lists!$B$2:$B$30,MATCH(J2780,Lists!$A$2:$A$30,0)),""))</f>
        <v/>
      </c>
      <c r="M2780" s="24"/>
      <c r="N2780" s="27" t="str">
        <f aca="false">IF(B2780="","",IFERROR(1000-SUMPRODUCT(MAX(ISNUMBER(SEARCH(Rules!$A$5:$A$204,B2780))*(Rules!$A$5:$A$204&lt;&gt;"")*(1000-ROW(Rules!$A$5:$A$204)))),""))</f>
        <v/>
      </c>
    </row>
    <row r="2781" customFormat="false" ht="15" hidden="false" customHeight="false" outlineLevel="0" collapsed="false">
      <c r="A2781" s="23"/>
      <c r="B2781" s="24"/>
      <c r="C2781" s="25"/>
      <c r="D2781" s="24"/>
      <c r="E2781" s="21" t="str">
        <f aca="false">IF(OR(B2781="",N(N2781)=0,N2781=1000),IF(B2781="","","Check"),INDEX(Rules!$B:$B,N2781))</f>
        <v/>
      </c>
      <c r="F2781" s="21" t="str">
        <f aca="false">IF(OR(B2781="",N(N2781)=0,N2781=1000),"",INDEX(Rules!$C:$C,N2781))</f>
        <v/>
      </c>
      <c r="G2781" s="24"/>
      <c r="H2781" s="24"/>
      <c r="I2781" s="20" t="str">
        <f aca="false">IF(B2781="","",IF(G2781&lt;&gt;"",G2781,E2781))</f>
        <v/>
      </c>
      <c r="J2781" s="21" t="str">
        <f aca="false">IF(B2781="","",IF(H2781&lt;&gt;"",H2781,F2781))</f>
        <v/>
      </c>
      <c r="K2781" s="26" t="str">
        <f aca="false">IF(A2781="","",DATE(YEAR(A2781),MONTH(A2781),1))</f>
        <v/>
      </c>
      <c r="L2781" s="21" t="str">
        <f aca="false">IF(J2781="",IF(B2781="","",IF(N(C2781)&gt;=0,"Income","Expense")),IFERROR(INDEX(Lists!$B$2:$B$30,MATCH(J2781,Lists!$A$2:$A$30,0)),""))</f>
        <v/>
      </c>
      <c r="M2781" s="24"/>
      <c r="N2781" s="27" t="str">
        <f aca="false">IF(B2781="","",IFERROR(1000-SUMPRODUCT(MAX(ISNUMBER(SEARCH(Rules!$A$5:$A$204,B2781))*(Rules!$A$5:$A$204&lt;&gt;"")*(1000-ROW(Rules!$A$5:$A$204)))),""))</f>
        <v/>
      </c>
    </row>
    <row r="2782" customFormat="false" ht="15" hidden="false" customHeight="false" outlineLevel="0" collapsed="false">
      <c r="A2782" s="23"/>
      <c r="B2782" s="24"/>
      <c r="C2782" s="25"/>
      <c r="D2782" s="24"/>
      <c r="E2782" s="21" t="str">
        <f aca="false">IF(OR(B2782="",N(N2782)=0,N2782=1000),IF(B2782="","","Check"),INDEX(Rules!$B:$B,N2782))</f>
        <v/>
      </c>
      <c r="F2782" s="21" t="str">
        <f aca="false">IF(OR(B2782="",N(N2782)=0,N2782=1000),"",INDEX(Rules!$C:$C,N2782))</f>
        <v/>
      </c>
      <c r="G2782" s="24"/>
      <c r="H2782" s="24"/>
      <c r="I2782" s="20" t="str">
        <f aca="false">IF(B2782="","",IF(G2782&lt;&gt;"",G2782,E2782))</f>
        <v/>
      </c>
      <c r="J2782" s="21" t="str">
        <f aca="false">IF(B2782="","",IF(H2782&lt;&gt;"",H2782,F2782))</f>
        <v/>
      </c>
      <c r="K2782" s="26" t="str">
        <f aca="false">IF(A2782="","",DATE(YEAR(A2782),MONTH(A2782),1))</f>
        <v/>
      </c>
      <c r="L2782" s="21" t="str">
        <f aca="false">IF(J2782="",IF(B2782="","",IF(N(C2782)&gt;=0,"Income","Expense")),IFERROR(INDEX(Lists!$B$2:$B$30,MATCH(J2782,Lists!$A$2:$A$30,0)),""))</f>
        <v/>
      </c>
      <c r="M2782" s="24"/>
      <c r="N2782" s="27" t="str">
        <f aca="false">IF(B2782="","",IFERROR(1000-SUMPRODUCT(MAX(ISNUMBER(SEARCH(Rules!$A$5:$A$204,B2782))*(Rules!$A$5:$A$204&lt;&gt;"")*(1000-ROW(Rules!$A$5:$A$204)))),""))</f>
        <v/>
      </c>
    </row>
    <row r="2783" customFormat="false" ht="15" hidden="false" customHeight="false" outlineLevel="0" collapsed="false">
      <c r="A2783" s="23"/>
      <c r="B2783" s="24"/>
      <c r="C2783" s="25"/>
      <c r="D2783" s="24"/>
      <c r="E2783" s="21" t="str">
        <f aca="false">IF(OR(B2783="",N(N2783)=0,N2783=1000),IF(B2783="","","Check"),INDEX(Rules!$B:$B,N2783))</f>
        <v/>
      </c>
      <c r="F2783" s="21" t="str">
        <f aca="false">IF(OR(B2783="",N(N2783)=0,N2783=1000),"",INDEX(Rules!$C:$C,N2783))</f>
        <v/>
      </c>
      <c r="G2783" s="24"/>
      <c r="H2783" s="24"/>
      <c r="I2783" s="20" t="str">
        <f aca="false">IF(B2783="","",IF(G2783&lt;&gt;"",G2783,E2783))</f>
        <v/>
      </c>
      <c r="J2783" s="21" t="str">
        <f aca="false">IF(B2783="","",IF(H2783&lt;&gt;"",H2783,F2783))</f>
        <v/>
      </c>
      <c r="K2783" s="26" t="str">
        <f aca="false">IF(A2783="","",DATE(YEAR(A2783),MONTH(A2783),1))</f>
        <v/>
      </c>
      <c r="L2783" s="21" t="str">
        <f aca="false">IF(J2783="",IF(B2783="","",IF(N(C2783)&gt;=0,"Income","Expense")),IFERROR(INDEX(Lists!$B$2:$B$30,MATCH(J2783,Lists!$A$2:$A$30,0)),""))</f>
        <v/>
      </c>
      <c r="M2783" s="24"/>
      <c r="N2783" s="27" t="str">
        <f aca="false">IF(B2783="","",IFERROR(1000-SUMPRODUCT(MAX(ISNUMBER(SEARCH(Rules!$A$5:$A$204,B2783))*(Rules!$A$5:$A$204&lt;&gt;"")*(1000-ROW(Rules!$A$5:$A$204)))),""))</f>
        <v/>
      </c>
    </row>
    <row r="2784" customFormat="false" ht="15" hidden="false" customHeight="false" outlineLevel="0" collapsed="false">
      <c r="A2784" s="23"/>
      <c r="B2784" s="24"/>
      <c r="C2784" s="25"/>
      <c r="D2784" s="24"/>
      <c r="E2784" s="21" t="str">
        <f aca="false">IF(OR(B2784="",N(N2784)=0,N2784=1000),IF(B2784="","","Check"),INDEX(Rules!$B:$B,N2784))</f>
        <v/>
      </c>
      <c r="F2784" s="21" t="str">
        <f aca="false">IF(OR(B2784="",N(N2784)=0,N2784=1000),"",INDEX(Rules!$C:$C,N2784))</f>
        <v/>
      </c>
      <c r="G2784" s="24"/>
      <c r="H2784" s="24"/>
      <c r="I2784" s="20" t="str">
        <f aca="false">IF(B2784="","",IF(G2784&lt;&gt;"",G2784,E2784))</f>
        <v/>
      </c>
      <c r="J2784" s="21" t="str">
        <f aca="false">IF(B2784="","",IF(H2784&lt;&gt;"",H2784,F2784))</f>
        <v/>
      </c>
      <c r="K2784" s="26" t="str">
        <f aca="false">IF(A2784="","",DATE(YEAR(A2784),MONTH(A2784),1))</f>
        <v/>
      </c>
      <c r="L2784" s="21" t="str">
        <f aca="false">IF(J2784="",IF(B2784="","",IF(N(C2784)&gt;=0,"Income","Expense")),IFERROR(INDEX(Lists!$B$2:$B$30,MATCH(J2784,Lists!$A$2:$A$30,0)),""))</f>
        <v/>
      </c>
      <c r="M2784" s="24"/>
      <c r="N2784" s="27" t="str">
        <f aca="false">IF(B2784="","",IFERROR(1000-SUMPRODUCT(MAX(ISNUMBER(SEARCH(Rules!$A$5:$A$204,B2784))*(Rules!$A$5:$A$204&lt;&gt;"")*(1000-ROW(Rules!$A$5:$A$204)))),""))</f>
        <v/>
      </c>
    </row>
    <row r="2785" customFormat="false" ht="15" hidden="false" customHeight="false" outlineLevel="0" collapsed="false">
      <c r="A2785" s="23"/>
      <c r="B2785" s="24"/>
      <c r="C2785" s="25"/>
      <c r="D2785" s="24"/>
      <c r="E2785" s="21" t="str">
        <f aca="false">IF(OR(B2785="",N(N2785)=0,N2785=1000),IF(B2785="","","Check"),INDEX(Rules!$B:$B,N2785))</f>
        <v/>
      </c>
      <c r="F2785" s="21" t="str">
        <f aca="false">IF(OR(B2785="",N(N2785)=0,N2785=1000),"",INDEX(Rules!$C:$C,N2785))</f>
        <v/>
      </c>
      <c r="G2785" s="24"/>
      <c r="H2785" s="24"/>
      <c r="I2785" s="20" t="str">
        <f aca="false">IF(B2785="","",IF(G2785&lt;&gt;"",G2785,E2785))</f>
        <v/>
      </c>
      <c r="J2785" s="21" t="str">
        <f aca="false">IF(B2785="","",IF(H2785&lt;&gt;"",H2785,F2785))</f>
        <v/>
      </c>
      <c r="K2785" s="26" t="str">
        <f aca="false">IF(A2785="","",DATE(YEAR(A2785),MONTH(A2785),1))</f>
        <v/>
      </c>
      <c r="L2785" s="21" t="str">
        <f aca="false">IF(J2785="",IF(B2785="","",IF(N(C2785)&gt;=0,"Income","Expense")),IFERROR(INDEX(Lists!$B$2:$B$30,MATCH(J2785,Lists!$A$2:$A$30,0)),""))</f>
        <v/>
      </c>
      <c r="M2785" s="24"/>
      <c r="N2785" s="27" t="str">
        <f aca="false">IF(B2785="","",IFERROR(1000-SUMPRODUCT(MAX(ISNUMBER(SEARCH(Rules!$A$5:$A$204,B2785))*(Rules!$A$5:$A$204&lt;&gt;"")*(1000-ROW(Rules!$A$5:$A$204)))),""))</f>
        <v/>
      </c>
    </row>
    <row r="2786" customFormat="false" ht="15" hidden="false" customHeight="false" outlineLevel="0" collapsed="false">
      <c r="A2786" s="23"/>
      <c r="B2786" s="24"/>
      <c r="C2786" s="25"/>
      <c r="D2786" s="24"/>
      <c r="E2786" s="21" t="str">
        <f aca="false">IF(OR(B2786="",N(N2786)=0,N2786=1000),IF(B2786="","","Check"),INDEX(Rules!$B:$B,N2786))</f>
        <v/>
      </c>
      <c r="F2786" s="21" t="str">
        <f aca="false">IF(OR(B2786="",N(N2786)=0,N2786=1000),"",INDEX(Rules!$C:$C,N2786))</f>
        <v/>
      </c>
      <c r="G2786" s="24"/>
      <c r="H2786" s="24"/>
      <c r="I2786" s="20" t="str">
        <f aca="false">IF(B2786="","",IF(G2786&lt;&gt;"",G2786,E2786))</f>
        <v/>
      </c>
      <c r="J2786" s="21" t="str">
        <f aca="false">IF(B2786="","",IF(H2786&lt;&gt;"",H2786,F2786))</f>
        <v/>
      </c>
      <c r="K2786" s="26" t="str">
        <f aca="false">IF(A2786="","",DATE(YEAR(A2786),MONTH(A2786),1))</f>
        <v/>
      </c>
      <c r="L2786" s="21" t="str">
        <f aca="false">IF(J2786="",IF(B2786="","",IF(N(C2786)&gt;=0,"Income","Expense")),IFERROR(INDEX(Lists!$B$2:$B$30,MATCH(J2786,Lists!$A$2:$A$30,0)),""))</f>
        <v/>
      </c>
      <c r="M2786" s="24"/>
      <c r="N2786" s="27" t="str">
        <f aca="false">IF(B2786="","",IFERROR(1000-SUMPRODUCT(MAX(ISNUMBER(SEARCH(Rules!$A$5:$A$204,B2786))*(Rules!$A$5:$A$204&lt;&gt;"")*(1000-ROW(Rules!$A$5:$A$204)))),""))</f>
        <v/>
      </c>
    </row>
    <row r="2787" customFormat="false" ht="15" hidden="false" customHeight="false" outlineLevel="0" collapsed="false">
      <c r="A2787" s="23"/>
      <c r="B2787" s="24"/>
      <c r="C2787" s="25"/>
      <c r="D2787" s="24"/>
      <c r="E2787" s="21" t="str">
        <f aca="false">IF(OR(B2787="",N(N2787)=0,N2787=1000),IF(B2787="","","Check"),INDEX(Rules!$B:$B,N2787))</f>
        <v/>
      </c>
      <c r="F2787" s="21" t="str">
        <f aca="false">IF(OR(B2787="",N(N2787)=0,N2787=1000),"",INDEX(Rules!$C:$C,N2787))</f>
        <v/>
      </c>
      <c r="G2787" s="24"/>
      <c r="H2787" s="24"/>
      <c r="I2787" s="20" t="str">
        <f aca="false">IF(B2787="","",IF(G2787&lt;&gt;"",G2787,E2787))</f>
        <v/>
      </c>
      <c r="J2787" s="21" t="str">
        <f aca="false">IF(B2787="","",IF(H2787&lt;&gt;"",H2787,F2787))</f>
        <v/>
      </c>
      <c r="K2787" s="26" t="str">
        <f aca="false">IF(A2787="","",DATE(YEAR(A2787),MONTH(A2787),1))</f>
        <v/>
      </c>
      <c r="L2787" s="21" t="str">
        <f aca="false">IF(J2787="",IF(B2787="","",IF(N(C2787)&gt;=0,"Income","Expense")),IFERROR(INDEX(Lists!$B$2:$B$30,MATCH(J2787,Lists!$A$2:$A$30,0)),""))</f>
        <v/>
      </c>
      <c r="M2787" s="24"/>
      <c r="N2787" s="27" t="str">
        <f aca="false">IF(B2787="","",IFERROR(1000-SUMPRODUCT(MAX(ISNUMBER(SEARCH(Rules!$A$5:$A$204,B2787))*(Rules!$A$5:$A$204&lt;&gt;"")*(1000-ROW(Rules!$A$5:$A$204)))),""))</f>
        <v/>
      </c>
    </row>
    <row r="2788" customFormat="false" ht="15" hidden="false" customHeight="false" outlineLevel="0" collapsed="false">
      <c r="A2788" s="23"/>
      <c r="B2788" s="24"/>
      <c r="C2788" s="25"/>
      <c r="D2788" s="24"/>
      <c r="E2788" s="21" t="str">
        <f aca="false">IF(OR(B2788="",N(N2788)=0,N2788=1000),IF(B2788="","","Check"),INDEX(Rules!$B:$B,N2788))</f>
        <v/>
      </c>
      <c r="F2788" s="21" t="str">
        <f aca="false">IF(OR(B2788="",N(N2788)=0,N2788=1000),"",INDEX(Rules!$C:$C,N2788))</f>
        <v/>
      </c>
      <c r="G2788" s="24"/>
      <c r="H2788" s="24"/>
      <c r="I2788" s="20" t="str">
        <f aca="false">IF(B2788="","",IF(G2788&lt;&gt;"",G2788,E2788))</f>
        <v/>
      </c>
      <c r="J2788" s="21" t="str">
        <f aca="false">IF(B2788="","",IF(H2788&lt;&gt;"",H2788,F2788))</f>
        <v/>
      </c>
      <c r="K2788" s="26" t="str">
        <f aca="false">IF(A2788="","",DATE(YEAR(A2788),MONTH(A2788),1))</f>
        <v/>
      </c>
      <c r="L2788" s="21" t="str">
        <f aca="false">IF(J2788="",IF(B2788="","",IF(N(C2788)&gt;=0,"Income","Expense")),IFERROR(INDEX(Lists!$B$2:$B$30,MATCH(J2788,Lists!$A$2:$A$30,0)),""))</f>
        <v/>
      </c>
      <c r="M2788" s="24"/>
      <c r="N2788" s="27" t="str">
        <f aca="false">IF(B2788="","",IFERROR(1000-SUMPRODUCT(MAX(ISNUMBER(SEARCH(Rules!$A$5:$A$204,B2788))*(Rules!$A$5:$A$204&lt;&gt;"")*(1000-ROW(Rules!$A$5:$A$204)))),""))</f>
        <v/>
      </c>
    </row>
    <row r="2789" customFormat="false" ht="15" hidden="false" customHeight="false" outlineLevel="0" collapsed="false">
      <c r="A2789" s="23"/>
      <c r="B2789" s="24"/>
      <c r="C2789" s="25"/>
      <c r="D2789" s="24"/>
      <c r="E2789" s="21" t="str">
        <f aca="false">IF(OR(B2789="",N(N2789)=0,N2789=1000),IF(B2789="","","Check"),INDEX(Rules!$B:$B,N2789))</f>
        <v/>
      </c>
      <c r="F2789" s="21" t="str">
        <f aca="false">IF(OR(B2789="",N(N2789)=0,N2789=1000),"",INDEX(Rules!$C:$C,N2789))</f>
        <v/>
      </c>
      <c r="G2789" s="24"/>
      <c r="H2789" s="24"/>
      <c r="I2789" s="20" t="str">
        <f aca="false">IF(B2789="","",IF(G2789&lt;&gt;"",G2789,E2789))</f>
        <v/>
      </c>
      <c r="J2789" s="21" t="str">
        <f aca="false">IF(B2789="","",IF(H2789&lt;&gt;"",H2789,F2789))</f>
        <v/>
      </c>
      <c r="K2789" s="26" t="str">
        <f aca="false">IF(A2789="","",DATE(YEAR(A2789),MONTH(A2789),1))</f>
        <v/>
      </c>
      <c r="L2789" s="21" t="str">
        <f aca="false">IF(J2789="",IF(B2789="","",IF(N(C2789)&gt;=0,"Income","Expense")),IFERROR(INDEX(Lists!$B$2:$B$30,MATCH(J2789,Lists!$A$2:$A$30,0)),""))</f>
        <v/>
      </c>
      <c r="M2789" s="24"/>
      <c r="N2789" s="27" t="str">
        <f aca="false">IF(B2789="","",IFERROR(1000-SUMPRODUCT(MAX(ISNUMBER(SEARCH(Rules!$A$5:$A$204,B2789))*(Rules!$A$5:$A$204&lt;&gt;"")*(1000-ROW(Rules!$A$5:$A$204)))),""))</f>
        <v/>
      </c>
    </row>
    <row r="2790" customFormat="false" ht="15" hidden="false" customHeight="false" outlineLevel="0" collapsed="false">
      <c r="A2790" s="23"/>
      <c r="B2790" s="24"/>
      <c r="C2790" s="25"/>
      <c r="D2790" s="24"/>
      <c r="E2790" s="21" t="str">
        <f aca="false">IF(OR(B2790="",N(N2790)=0,N2790=1000),IF(B2790="","","Check"),INDEX(Rules!$B:$B,N2790))</f>
        <v/>
      </c>
      <c r="F2790" s="21" t="str">
        <f aca="false">IF(OR(B2790="",N(N2790)=0,N2790=1000),"",INDEX(Rules!$C:$C,N2790))</f>
        <v/>
      </c>
      <c r="G2790" s="24"/>
      <c r="H2790" s="24"/>
      <c r="I2790" s="20" t="str">
        <f aca="false">IF(B2790="","",IF(G2790&lt;&gt;"",G2790,E2790))</f>
        <v/>
      </c>
      <c r="J2790" s="21" t="str">
        <f aca="false">IF(B2790="","",IF(H2790&lt;&gt;"",H2790,F2790))</f>
        <v/>
      </c>
      <c r="K2790" s="26" t="str">
        <f aca="false">IF(A2790="","",DATE(YEAR(A2790),MONTH(A2790),1))</f>
        <v/>
      </c>
      <c r="L2790" s="21" t="str">
        <f aca="false">IF(J2790="",IF(B2790="","",IF(N(C2790)&gt;=0,"Income","Expense")),IFERROR(INDEX(Lists!$B$2:$B$30,MATCH(J2790,Lists!$A$2:$A$30,0)),""))</f>
        <v/>
      </c>
      <c r="M2790" s="24"/>
      <c r="N2790" s="27" t="str">
        <f aca="false">IF(B2790="","",IFERROR(1000-SUMPRODUCT(MAX(ISNUMBER(SEARCH(Rules!$A$5:$A$204,B2790))*(Rules!$A$5:$A$204&lt;&gt;"")*(1000-ROW(Rules!$A$5:$A$204)))),""))</f>
        <v/>
      </c>
    </row>
    <row r="2791" customFormat="false" ht="15" hidden="false" customHeight="false" outlineLevel="0" collapsed="false">
      <c r="A2791" s="23"/>
      <c r="B2791" s="24"/>
      <c r="C2791" s="25"/>
      <c r="D2791" s="24"/>
      <c r="E2791" s="21" t="str">
        <f aca="false">IF(OR(B2791="",N(N2791)=0,N2791=1000),IF(B2791="","","Check"),INDEX(Rules!$B:$B,N2791))</f>
        <v/>
      </c>
      <c r="F2791" s="21" t="str">
        <f aca="false">IF(OR(B2791="",N(N2791)=0,N2791=1000),"",INDEX(Rules!$C:$C,N2791))</f>
        <v/>
      </c>
      <c r="G2791" s="24"/>
      <c r="H2791" s="24"/>
      <c r="I2791" s="20" t="str">
        <f aca="false">IF(B2791="","",IF(G2791&lt;&gt;"",G2791,E2791))</f>
        <v/>
      </c>
      <c r="J2791" s="21" t="str">
        <f aca="false">IF(B2791="","",IF(H2791&lt;&gt;"",H2791,F2791))</f>
        <v/>
      </c>
      <c r="K2791" s="26" t="str">
        <f aca="false">IF(A2791="","",DATE(YEAR(A2791),MONTH(A2791),1))</f>
        <v/>
      </c>
      <c r="L2791" s="21" t="str">
        <f aca="false">IF(J2791="",IF(B2791="","",IF(N(C2791)&gt;=0,"Income","Expense")),IFERROR(INDEX(Lists!$B$2:$B$30,MATCH(J2791,Lists!$A$2:$A$30,0)),""))</f>
        <v/>
      </c>
      <c r="M2791" s="24"/>
      <c r="N2791" s="27" t="str">
        <f aca="false">IF(B2791="","",IFERROR(1000-SUMPRODUCT(MAX(ISNUMBER(SEARCH(Rules!$A$5:$A$204,B2791))*(Rules!$A$5:$A$204&lt;&gt;"")*(1000-ROW(Rules!$A$5:$A$204)))),""))</f>
        <v/>
      </c>
    </row>
    <row r="2792" customFormat="false" ht="15" hidden="false" customHeight="false" outlineLevel="0" collapsed="false">
      <c r="A2792" s="23"/>
      <c r="B2792" s="24"/>
      <c r="C2792" s="25"/>
      <c r="D2792" s="24"/>
      <c r="E2792" s="21" t="str">
        <f aca="false">IF(OR(B2792="",N(N2792)=0,N2792=1000),IF(B2792="","","Check"),INDEX(Rules!$B:$B,N2792))</f>
        <v/>
      </c>
      <c r="F2792" s="21" t="str">
        <f aca="false">IF(OR(B2792="",N(N2792)=0,N2792=1000),"",INDEX(Rules!$C:$C,N2792))</f>
        <v/>
      </c>
      <c r="G2792" s="24"/>
      <c r="H2792" s="24"/>
      <c r="I2792" s="20" t="str">
        <f aca="false">IF(B2792="","",IF(G2792&lt;&gt;"",G2792,E2792))</f>
        <v/>
      </c>
      <c r="J2792" s="21" t="str">
        <f aca="false">IF(B2792="","",IF(H2792&lt;&gt;"",H2792,F2792))</f>
        <v/>
      </c>
      <c r="K2792" s="26" t="str">
        <f aca="false">IF(A2792="","",DATE(YEAR(A2792),MONTH(A2792),1))</f>
        <v/>
      </c>
      <c r="L2792" s="21" t="str">
        <f aca="false">IF(J2792="",IF(B2792="","",IF(N(C2792)&gt;=0,"Income","Expense")),IFERROR(INDEX(Lists!$B$2:$B$30,MATCH(J2792,Lists!$A$2:$A$30,0)),""))</f>
        <v/>
      </c>
      <c r="M2792" s="24"/>
      <c r="N2792" s="27" t="str">
        <f aca="false">IF(B2792="","",IFERROR(1000-SUMPRODUCT(MAX(ISNUMBER(SEARCH(Rules!$A$5:$A$204,B2792))*(Rules!$A$5:$A$204&lt;&gt;"")*(1000-ROW(Rules!$A$5:$A$204)))),""))</f>
        <v/>
      </c>
    </row>
    <row r="2793" customFormat="false" ht="15" hidden="false" customHeight="false" outlineLevel="0" collapsed="false">
      <c r="A2793" s="23"/>
      <c r="B2793" s="24"/>
      <c r="C2793" s="25"/>
      <c r="D2793" s="24"/>
      <c r="E2793" s="21" t="str">
        <f aca="false">IF(OR(B2793="",N(N2793)=0,N2793=1000),IF(B2793="","","Check"),INDEX(Rules!$B:$B,N2793))</f>
        <v/>
      </c>
      <c r="F2793" s="21" t="str">
        <f aca="false">IF(OR(B2793="",N(N2793)=0,N2793=1000),"",INDEX(Rules!$C:$C,N2793))</f>
        <v/>
      </c>
      <c r="G2793" s="24"/>
      <c r="H2793" s="24"/>
      <c r="I2793" s="20" t="str">
        <f aca="false">IF(B2793="","",IF(G2793&lt;&gt;"",G2793,E2793))</f>
        <v/>
      </c>
      <c r="J2793" s="21" t="str">
        <f aca="false">IF(B2793="","",IF(H2793&lt;&gt;"",H2793,F2793))</f>
        <v/>
      </c>
      <c r="K2793" s="26" t="str">
        <f aca="false">IF(A2793="","",DATE(YEAR(A2793),MONTH(A2793),1))</f>
        <v/>
      </c>
      <c r="L2793" s="21" t="str">
        <f aca="false">IF(J2793="",IF(B2793="","",IF(N(C2793)&gt;=0,"Income","Expense")),IFERROR(INDEX(Lists!$B$2:$B$30,MATCH(J2793,Lists!$A$2:$A$30,0)),""))</f>
        <v/>
      </c>
      <c r="M2793" s="24"/>
      <c r="N2793" s="27" t="str">
        <f aca="false">IF(B2793="","",IFERROR(1000-SUMPRODUCT(MAX(ISNUMBER(SEARCH(Rules!$A$5:$A$204,B2793))*(Rules!$A$5:$A$204&lt;&gt;"")*(1000-ROW(Rules!$A$5:$A$204)))),""))</f>
        <v/>
      </c>
    </row>
    <row r="2794" customFormat="false" ht="15" hidden="false" customHeight="false" outlineLevel="0" collapsed="false">
      <c r="A2794" s="23"/>
      <c r="B2794" s="24"/>
      <c r="C2794" s="25"/>
      <c r="D2794" s="24"/>
      <c r="E2794" s="21" t="str">
        <f aca="false">IF(OR(B2794="",N(N2794)=0,N2794=1000),IF(B2794="","","Check"),INDEX(Rules!$B:$B,N2794))</f>
        <v/>
      </c>
      <c r="F2794" s="21" t="str">
        <f aca="false">IF(OR(B2794="",N(N2794)=0,N2794=1000),"",INDEX(Rules!$C:$C,N2794))</f>
        <v/>
      </c>
      <c r="G2794" s="24"/>
      <c r="H2794" s="24"/>
      <c r="I2794" s="20" t="str">
        <f aca="false">IF(B2794="","",IF(G2794&lt;&gt;"",G2794,E2794))</f>
        <v/>
      </c>
      <c r="J2794" s="21" t="str">
        <f aca="false">IF(B2794="","",IF(H2794&lt;&gt;"",H2794,F2794))</f>
        <v/>
      </c>
      <c r="K2794" s="26" t="str">
        <f aca="false">IF(A2794="","",DATE(YEAR(A2794),MONTH(A2794),1))</f>
        <v/>
      </c>
      <c r="L2794" s="21" t="str">
        <f aca="false">IF(J2794="",IF(B2794="","",IF(N(C2794)&gt;=0,"Income","Expense")),IFERROR(INDEX(Lists!$B$2:$B$30,MATCH(J2794,Lists!$A$2:$A$30,0)),""))</f>
        <v/>
      </c>
      <c r="M2794" s="24"/>
      <c r="N2794" s="27" t="str">
        <f aca="false">IF(B2794="","",IFERROR(1000-SUMPRODUCT(MAX(ISNUMBER(SEARCH(Rules!$A$5:$A$204,B2794))*(Rules!$A$5:$A$204&lt;&gt;"")*(1000-ROW(Rules!$A$5:$A$204)))),""))</f>
        <v/>
      </c>
    </row>
    <row r="2795" customFormat="false" ht="15" hidden="false" customHeight="false" outlineLevel="0" collapsed="false">
      <c r="A2795" s="23"/>
      <c r="B2795" s="24"/>
      <c r="C2795" s="25"/>
      <c r="D2795" s="24"/>
      <c r="E2795" s="21" t="str">
        <f aca="false">IF(OR(B2795="",N(N2795)=0,N2795=1000),IF(B2795="","","Check"),INDEX(Rules!$B:$B,N2795))</f>
        <v/>
      </c>
      <c r="F2795" s="21" t="str">
        <f aca="false">IF(OR(B2795="",N(N2795)=0,N2795=1000),"",INDEX(Rules!$C:$C,N2795))</f>
        <v/>
      </c>
      <c r="G2795" s="24"/>
      <c r="H2795" s="24"/>
      <c r="I2795" s="20" t="str">
        <f aca="false">IF(B2795="","",IF(G2795&lt;&gt;"",G2795,E2795))</f>
        <v/>
      </c>
      <c r="J2795" s="21" t="str">
        <f aca="false">IF(B2795="","",IF(H2795&lt;&gt;"",H2795,F2795))</f>
        <v/>
      </c>
      <c r="K2795" s="26" t="str">
        <f aca="false">IF(A2795="","",DATE(YEAR(A2795),MONTH(A2795),1))</f>
        <v/>
      </c>
      <c r="L2795" s="21" t="str">
        <f aca="false">IF(J2795="",IF(B2795="","",IF(N(C2795)&gt;=0,"Income","Expense")),IFERROR(INDEX(Lists!$B$2:$B$30,MATCH(J2795,Lists!$A$2:$A$30,0)),""))</f>
        <v/>
      </c>
      <c r="M2795" s="24"/>
      <c r="N2795" s="27" t="str">
        <f aca="false">IF(B2795="","",IFERROR(1000-SUMPRODUCT(MAX(ISNUMBER(SEARCH(Rules!$A$5:$A$204,B2795))*(Rules!$A$5:$A$204&lt;&gt;"")*(1000-ROW(Rules!$A$5:$A$204)))),""))</f>
        <v/>
      </c>
    </row>
    <row r="2796" customFormat="false" ht="15" hidden="false" customHeight="false" outlineLevel="0" collapsed="false">
      <c r="A2796" s="23"/>
      <c r="B2796" s="24"/>
      <c r="C2796" s="25"/>
      <c r="D2796" s="24"/>
      <c r="E2796" s="21" t="str">
        <f aca="false">IF(OR(B2796="",N(N2796)=0,N2796=1000),IF(B2796="","","Check"),INDEX(Rules!$B:$B,N2796))</f>
        <v/>
      </c>
      <c r="F2796" s="21" t="str">
        <f aca="false">IF(OR(B2796="",N(N2796)=0,N2796=1000),"",INDEX(Rules!$C:$C,N2796))</f>
        <v/>
      </c>
      <c r="G2796" s="24"/>
      <c r="H2796" s="24"/>
      <c r="I2796" s="20" t="str">
        <f aca="false">IF(B2796="","",IF(G2796&lt;&gt;"",G2796,E2796))</f>
        <v/>
      </c>
      <c r="J2796" s="21" t="str">
        <f aca="false">IF(B2796="","",IF(H2796&lt;&gt;"",H2796,F2796))</f>
        <v/>
      </c>
      <c r="K2796" s="26" t="str">
        <f aca="false">IF(A2796="","",DATE(YEAR(A2796),MONTH(A2796),1))</f>
        <v/>
      </c>
      <c r="L2796" s="21" t="str">
        <f aca="false">IF(J2796="",IF(B2796="","",IF(N(C2796)&gt;=0,"Income","Expense")),IFERROR(INDEX(Lists!$B$2:$B$30,MATCH(J2796,Lists!$A$2:$A$30,0)),""))</f>
        <v/>
      </c>
      <c r="M2796" s="24"/>
      <c r="N2796" s="27" t="str">
        <f aca="false">IF(B2796="","",IFERROR(1000-SUMPRODUCT(MAX(ISNUMBER(SEARCH(Rules!$A$5:$A$204,B2796))*(Rules!$A$5:$A$204&lt;&gt;"")*(1000-ROW(Rules!$A$5:$A$204)))),""))</f>
        <v/>
      </c>
    </row>
    <row r="2797" customFormat="false" ht="15" hidden="false" customHeight="false" outlineLevel="0" collapsed="false">
      <c r="A2797" s="23"/>
      <c r="B2797" s="24"/>
      <c r="C2797" s="25"/>
      <c r="D2797" s="24"/>
      <c r="E2797" s="21" t="str">
        <f aca="false">IF(OR(B2797="",N(N2797)=0,N2797=1000),IF(B2797="","","Check"),INDEX(Rules!$B:$B,N2797))</f>
        <v/>
      </c>
      <c r="F2797" s="21" t="str">
        <f aca="false">IF(OR(B2797="",N(N2797)=0,N2797=1000),"",INDEX(Rules!$C:$C,N2797))</f>
        <v/>
      </c>
      <c r="G2797" s="24"/>
      <c r="H2797" s="24"/>
      <c r="I2797" s="20" t="str">
        <f aca="false">IF(B2797="","",IF(G2797&lt;&gt;"",G2797,E2797))</f>
        <v/>
      </c>
      <c r="J2797" s="21" t="str">
        <f aca="false">IF(B2797="","",IF(H2797&lt;&gt;"",H2797,F2797))</f>
        <v/>
      </c>
      <c r="K2797" s="26" t="str">
        <f aca="false">IF(A2797="","",DATE(YEAR(A2797),MONTH(A2797),1))</f>
        <v/>
      </c>
      <c r="L2797" s="21" t="str">
        <f aca="false">IF(J2797="",IF(B2797="","",IF(N(C2797)&gt;=0,"Income","Expense")),IFERROR(INDEX(Lists!$B$2:$B$30,MATCH(J2797,Lists!$A$2:$A$30,0)),""))</f>
        <v/>
      </c>
      <c r="M2797" s="24"/>
      <c r="N2797" s="27" t="str">
        <f aca="false">IF(B2797="","",IFERROR(1000-SUMPRODUCT(MAX(ISNUMBER(SEARCH(Rules!$A$5:$A$204,B2797))*(Rules!$A$5:$A$204&lt;&gt;"")*(1000-ROW(Rules!$A$5:$A$204)))),""))</f>
        <v/>
      </c>
    </row>
    <row r="2798" customFormat="false" ht="15" hidden="false" customHeight="false" outlineLevel="0" collapsed="false">
      <c r="A2798" s="23"/>
      <c r="B2798" s="24"/>
      <c r="C2798" s="25"/>
      <c r="D2798" s="24"/>
      <c r="E2798" s="21" t="str">
        <f aca="false">IF(OR(B2798="",N(N2798)=0,N2798=1000),IF(B2798="","","Check"),INDEX(Rules!$B:$B,N2798))</f>
        <v/>
      </c>
      <c r="F2798" s="21" t="str">
        <f aca="false">IF(OR(B2798="",N(N2798)=0,N2798=1000),"",INDEX(Rules!$C:$C,N2798))</f>
        <v/>
      </c>
      <c r="G2798" s="24"/>
      <c r="H2798" s="24"/>
      <c r="I2798" s="20" t="str">
        <f aca="false">IF(B2798="","",IF(G2798&lt;&gt;"",G2798,E2798))</f>
        <v/>
      </c>
      <c r="J2798" s="21" t="str">
        <f aca="false">IF(B2798="","",IF(H2798&lt;&gt;"",H2798,F2798))</f>
        <v/>
      </c>
      <c r="K2798" s="26" t="str">
        <f aca="false">IF(A2798="","",DATE(YEAR(A2798),MONTH(A2798),1))</f>
        <v/>
      </c>
      <c r="L2798" s="21" t="str">
        <f aca="false">IF(J2798="",IF(B2798="","",IF(N(C2798)&gt;=0,"Income","Expense")),IFERROR(INDEX(Lists!$B$2:$B$30,MATCH(J2798,Lists!$A$2:$A$30,0)),""))</f>
        <v/>
      </c>
      <c r="M2798" s="24"/>
      <c r="N2798" s="27" t="str">
        <f aca="false">IF(B2798="","",IFERROR(1000-SUMPRODUCT(MAX(ISNUMBER(SEARCH(Rules!$A$5:$A$204,B2798))*(Rules!$A$5:$A$204&lt;&gt;"")*(1000-ROW(Rules!$A$5:$A$204)))),""))</f>
        <v/>
      </c>
    </row>
    <row r="2799" customFormat="false" ht="15" hidden="false" customHeight="false" outlineLevel="0" collapsed="false">
      <c r="A2799" s="23"/>
      <c r="B2799" s="24"/>
      <c r="C2799" s="25"/>
      <c r="D2799" s="24"/>
      <c r="E2799" s="21" t="str">
        <f aca="false">IF(OR(B2799="",N(N2799)=0,N2799=1000),IF(B2799="","","Check"),INDEX(Rules!$B:$B,N2799))</f>
        <v/>
      </c>
      <c r="F2799" s="21" t="str">
        <f aca="false">IF(OR(B2799="",N(N2799)=0,N2799=1000),"",INDEX(Rules!$C:$C,N2799))</f>
        <v/>
      </c>
      <c r="G2799" s="24"/>
      <c r="H2799" s="24"/>
      <c r="I2799" s="20" t="str">
        <f aca="false">IF(B2799="","",IF(G2799&lt;&gt;"",G2799,E2799))</f>
        <v/>
      </c>
      <c r="J2799" s="21" t="str">
        <f aca="false">IF(B2799="","",IF(H2799&lt;&gt;"",H2799,F2799))</f>
        <v/>
      </c>
      <c r="K2799" s="26" t="str">
        <f aca="false">IF(A2799="","",DATE(YEAR(A2799),MONTH(A2799),1))</f>
        <v/>
      </c>
      <c r="L2799" s="21" t="str">
        <f aca="false">IF(J2799="",IF(B2799="","",IF(N(C2799)&gt;=0,"Income","Expense")),IFERROR(INDEX(Lists!$B$2:$B$30,MATCH(J2799,Lists!$A$2:$A$30,0)),""))</f>
        <v/>
      </c>
      <c r="M2799" s="24"/>
      <c r="N2799" s="27" t="str">
        <f aca="false">IF(B2799="","",IFERROR(1000-SUMPRODUCT(MAX(ISNUMBER(SEARCH(Rules!$A$5:$A$204,B2799))*(Rules!$A$5:$A$204&lt;&gt;"")*(1000-ROW(Rules!$A$5:$A$204)))),""))</f>
        <v/>
      </c>
    </row>
    <row r="2800" customFormat="false" ht="15" hidden="false" customHeight="false" outlineLevel="0" collapsed="false">
      <c r="A2800" s="23"/>
      <c r="B2800" s="24"/>
      <c r="C2800" s="25"/>
      <c r="D2800" s="24"/>
      <c r="E2800" s="21" t="str">
        <f aca="false">IF(OR(B2800="",N(N2800)=0,N2800=1000),IF(B2800="","","Check"),INDEX(Rules!$B:$B,N2800))</f>
        <v/>
      </c>
      <c r="F2800" s="21" t="str">
        <f aca="false">IF(OR(B2800="",N(N2800)=0,N2800=1000),"",INDEX(Rules!$C:$C,N2800))</f>
        <v/>
      </c>
      <c r="G2800" s="24"/>
      <c r="H2800" s="24"/>
      <c r="I2800" s="20" t="str">
        <f aca="false">IF(B2800="","",IF(G2800&lt;&gt;"",G2800,E2800))</f>
        <v/>
      </c>
      <c r="J2800" s="21" t="str">
        <f aca="false">IF(B2800="","",IF(H2800&lt;&gt;"",H2800,F2800))</f>
        <v/>
      </c>
      <c r="K2800" s="26" t="str">
        <f aca="false">IF(A2800="","",DATE(YEAR(A2800),MONTH(A2800),1))</f>
        <v/>
      </c>
      <c r="L2800" s="21" t="str">
        <f aca="false">IF(J2800="",IF(B2800="","",IF(N(C2800)&gt;=0,"Income","Expense")),IFERROR(INDEX(Lists!$B$2:$B$30,MATCH(J2800,Lists!$A$2:$A$30,0)),""))</f>
        <v/>
      </c>
      <c r="M2800" s="24"/>
      <c r="N2800" s="27" t="str">
        <f aca="false">IF(B2800="","",IFERROR(1000-SUMPRODUCT(MAX(ISNUMBER(SEARCH(Rules!$A$5:$A$204,B2800))*(Rules!$A$5:$A$204&lt;&gt;"")*(1000-ROW(Rules!$A$5:$A$204)))),""))</f>
        <v/>
      </c>
    </row>
    <row r="2801" customFormat="false" ht="15" hidden="false" customHeight="false" outlineLevel="0" collapsed="false">
      <c r="A2801" s="23"/>
      <c r="B2801" s="24"/>
      <c r="C2801" s="25"/>
      <c r="D2801" s="24"/>
      <c r="E2801" s="21" t="str">
        <f aca="false">IF(OR(B2801="",N(N2801)=0,N2801=1000),IF(B2801="","","Check"),INDEX(Rules!$B:$B,N2801))</f>
        <v/>
      </c>
      <c r="F2801" s="21" t="str">
        <f aca="false">IF(OR(B2801="",N(N2801)=0,N2801=1000),"",INDEX(Rules!$C:$C,N2801))</f>
        <v/>
      </c>
      <c r="G2801" s="24"/>
      <c r="H2801" s="24"/>
      <c r="I2801" s="20" t="str">
        <f aca="false">IF(B2801="","",IF(G2801&lt;&gt;"",G2801,E2801))</f>
        <v/>
      </c>
      <c r="J2801" s="21" t="str">
        <f aca="false">IF(B2801="","",IF(H2801&lt;&gt;"",H2801,F2801))</f>
        <v/>
      </c>
      <c r="K2801" s="26" t="str">
        <f aca="false">IF(A2801="","",DATE(YEAR(A2801),MONTH(A2801),1))</f>
        <v/>
      </c>
      <c r="L2801" s="21" t="str">
        <f aca="false">IF(J2801="",IF(B2801="","",IF(N(C2801)&gt;=0,"Income","Expense")),IFERROR(INDEX(Lists!$B$2:$B$30,MATCH(J2801,Lists!$A$2:$A$30,0)),""))</f>
        <v/>
      </c>
      <c r="M2801" s="24"/>
      <c r="N2801" s="27" t="str">
        <f aca="false">IF(B2801="","",IFERROR(1000-SUMPRODUCT(MAX(ISNUMBER(SEARCH(Rules!$A$5:$A$204,B2801))*(Rules!$A$5:$A$204&lt;&gt;"")*(1000-ROW(Rules!$A$5:$A$204)))),""))</f>
        <v/>
      </c>
    </row>
    <row r="2802" customFormat="false" ht="15" hidden="false" customHeight="false" outlineLevel="0" collapsed="false">
      <c r="A2802" s="23"/>
      <c r="B2802" s="24"/>
      <c r="C2802" s="25"/>
      <c r="D2802" s="24"/>
      <c r="E2802" s="21" t="str">
        <f aca="false">IF(OR(B2802="",N(N2802)=0,N2802=1000),IF(B2802="","","Check"),INDEX(Rules!$B:$B,N2802))</f>
        <v/>
      </c>
      <c r="F2802" s="21" t="str">
        <f aca="false">IF(OR(B2802="",N(N2802)=0,N2802=1000),"",INDEX(Rules!$C:$C,N2802))</f>
        <v/>
      </c>
      <c r="G2802" s="24"/>
      <c r="H2802" s="24"/>
      <c r="I2802" s="20" t="str">
        <f aca="false">IF(B2802="","",IF(G2802&lt;&gt;"",G2802,E2802))</f>
        <v/>
      </c>
      <c r="J2802" s="21" t="str">
        <f aca="false">IF(B2802="","",IF(H2802&lt;&gt;"",H2802,F2802))</f>
        <v/>
      </c>
      <c r="K2802" s="26" t="str">
        <f aca="false">IF(A2802="","",DATE(YEAR(A2802),MONTH(A2802),1))</f>
        <v/>
      </c>
      <c r="L2802" s="21" t="str">
        <f aca="false">IF(J2802="",IF(B2802="","",IF(N(C2802)&gt;=0,"Income","Expense")),IFERROR(INDEX(Lists!$B$2:$B$30,MATCH(J2802,Lists!$A$2:$A$30,0)),""))</f>
        <v/>
      </c>
      <c r="M2802" s="24"/>
      <c r="N2802" s="27" t="str">
        <f aca="false">IF(B2802="","",IFERROR(1000-SUMPRODUCT(MAX(ISNUMBER(SEARCH(Rules!$A$5:$A$204,B2802))*(Rules!$A$5:$A$204&lt;&gt;"")*(1000-ROW(Rules!$A$5:$A$204)))),""))</f>
        <v/>
      </c>
    </row>
    <row r="2803" customFormat="false" ht="15" hidden="false" customHeight="false" outlineLevel="0" collapsed="false">
      <c r="A2803" s="23"/>
      <c r="B2803" s="24"/>
      <c r="C2803" s="25"/>
      <c r="D2803" s="24"/>
      <c r="E2803" s="21" t="str">
        <f aca="false">IF(OR(B2803="",N(N2803)=0,N2803=1000),IF(B2803="","","Check"),INDEX(Rules!$B:$B,N2803))</f>
        <v/>
      </c>
      <c r="F2803" s="21" t="str">
        <f aca="false">IF(OR(B2803="",N(N2803)=0,N2803=1000),"",INDEX(Rules!$C:$C,N2803))</f>
        <v/>
      </c>
      <c r="G2803" s="24"/>
      <c r="H2803" s="24"/>
      <c r="I2803" s="20" t="str">
        <f aca="false">IF(B2803="","",IF(G2803&lt;&gt;"",G2803,E2803))</f>
        <v/>
      </c>
      <c r="J2803" s="21" t="str">
        <f aca="false">IF(B2803="","",IF(H2803&lt;&gt;"",H2803,F2803))</f>
        <v/>
      </c>
      <c r="K2803" s="26" t="str">
        <f aca="false">IF(A2803="","",DATE(YEAR(A2803),MONTH(A2803),1))</f>
        <v/>
      </c>
      <c r="L2803" s="21" t="str">
        <f aca="false">IF(J2803="",IF(B2803="","",IF(N(C2803)&gt;=0,"Income","Expense")),IFERROR(INDEX(Lists!$B$2:$B$30,MATCH(J2803,Lists!$A$2:$A$30,0)),""))</f>
        <v/>
      </c>
      <c r="M2803" s="24"/>
      <c r="N2803" s="27" t="str">
        <f aca="false">IF(B2803="","",IFERROR(1000-SUMPRODUCT(MAX(ISNUMBER(SEARCH(Rules!$A$5:$A$204,B2803))*(Rules!$A$5:$A$204&lt;&gt;"")*(1000-ROW(Rules!$A$5:$A$204)))),""))</f>
        <v/>
      </c>
    </row>
    <row r="2804" customFormat="false" ht="15" hidden="false" customHeight="false" outlineLevel="0" collapsed="false">
      <c r="A2804" s="23"/>
      <c r="B2804" s="24"/>
      <c r="C2804" s="25"/>
      <c r="D2804" s="24"/>
      <c r="E2804" s="21" t="str">
        <f aca="false">IF(OR(B2804="",N(N2804)=0,N2804=1000),IF(B2804="","","Check"),INDEX(Rules!$B:$B,N2804))</f>
        <v/>
      </c>
      <c r="F2804" s="21" t="str">
        <f aca="false">IF(OR(B2804="",N(N2804)=0,N2804=1000),"",INDEX(Rules!$C:$C,N2804))</f>
        <v/>
      </c>
      <c r="G2804" s="24"/>
      <c r="H2804" s="24"/>
      <c r="I2804" s="20" t="str">
        <f aca="false">IF(B2804="","",IF(G2804&lt;&gt;"",G2804,E2804))</f>
        <v/>
      </c>
      <c r="J2804" s="21" t="str">
        <f aca="false">IF(B2804="","",IF(H2804&lt;&gt;"",H2804,F2804))</f>
        <v/>
      </c>
      <c r="K2804" s="26" t="str">
        <f aca="false">IF(A2804="","",DATE(YEAR(A2804),MONTH(A2804),1))</f>
        <v/>
      </c>
      <c r="L2804" s="21" t="str">
        <f aca="false">IF(J2804="",IF(B2804="","",IF(N(C2804)&gt;=0,"Income","Expense")),IFERROR(INDEX(Lists!$B$2:$B$30,MATCH(J2804,Lists!$A$2:$A$30,0)),""))</f>
        <v/>
      </c>
      <c r="M2804" s="24"/>
      <c r="N2804" s="27" t="str">
        <f aca="false">IF(B2804="","",IFERROR(1000-SUMPRODUCT(MAX(ISNUMBER(SEARCH(Rules!$A$5:$A$204,B2804))*(Rules!$A$5:$A$204&lt;&gt;"")*(1000-ROW(Rules!$A$5:$A$204)))),""))</f>
        <v/>
      </c>
    </row>
    <row r="2805" customFormat="false" ht="15" hidden="false" customHeight="false" outlineLevel="0" collapsed="false">
      <c r="A2805" s="23"/>
      <c r="B2805" s="24"/>
      <c r="C2805" s="25"/>
      <c r="D2805" s="24"/>
      <c r="E2805" s="21" t="str">
        <f aca="false">IF(OR(B2805="",N(N2805)=0,N2805=1000),IF(B2805="","","Check"),INDEX(Rules!$B:$B,N2805))</f>
        <v/>
      </c>
      <c r="F2805" s="21" t="str">
        <f aca="false">IF(OR(B2805="",N(N2805)=0,N2805=1000),"",INDEX(Rules!$C:$C,N2805))</f>
        <v/>
      </c>
      <c r="G2805" s="24"/>
      <c r="H2805" s="24"/>
      <c r="I2805" s="20" t="str">
        <f aca="false">IF(B2805="","",IF(G2805&lt;&gt;"",G2805,E2805))</f>
        <v/>
      </c>
      <c r="J2805" s="21" t="str">
        <f aca="false">IF(B2805="","",IF(H2805&lt;&gt;"",H2805,F2805))</f>
        <v/>
      </c>
      <c r="K2805" s="26" t="str">
        <f aca="false">IF(A2805="","",DATE(YEAR(A2805),MONTH(A2805),1))</f>
        <v/>
      </c>
      <c r="L2805" s="21" t="str">
        <f aca="false">IF(J2805="",IF(B2805="","",IF(N(C2805)&gt;=0,"Income","Expense")),IFERROR(INDEX(Lists!$B$2:$B$30,MATCH(J2805,Lists!$A$2:$A$30,0)),""))</f>
        <v/>
      </c>
      <c r="M2805" s="24"/>
      <c r="N2805" s="27" t="str">
        <f aca="false">IF(B2805="","",IFERROR(1000-SUMPRODUCT(MAX(ISNUMBER(SEARCH(Rules!$A$5:$A$204,B2805))*(Rules!$A$5:$A$204&lt;&gt;"")*(1000-ROW(Rules!$A$5:$A$204)))),""))</f>
        <v/>
      </c>
    </row>
    <row r="2806" customFormat="false" ht="15" hidden="false" customHeight="false" outlineLevel="0" collapsed="false">
      <c r="A2806" s="23"/>
      <c r="B2806" s="24"/>
      <c r="C2806" s="25"/>
      <c r="D2806" s="24"/>
      <c r="E2806" s="21" t="str">
        <f aca="false">IF(OR(B2806="",N(N2806)=0,N2806=1000),IF(B2806="","","Check"),INDEX(Rules!$B:$B,N2806))</f>
        <v/>
      </c>
      <c r="F2806" s="21" t="str">
        <f aca="false">IF(OR(B2806="",N(N2806)=0,N2806=1000),"",INDEX(Rules!$C:$C,N2806))</f>
        <v/>
      </c>
      <c r="G2806" s="24"/>
      <c r="H2806" s="24"/>
      <c r="I2806" s="20" t="str">
        <f aca="false">IF(B2806="","",IF(G2806&lt;&gt;"",G2806,E2806))</f>
        <v/>
      </c>
      <c r="J2806" s="21" t="str">
        <f aca="false">IF(B2806="","",IF(H2806&lt;&gt;"",H2806,F2806))</f>
        <v/>
      </c>
      <c r="K2806" s="26" t="str">
        <f aca="false">IF(A2806="","",DATE(YEAR(A2806),MONTH(A2806),1))</f>
        <v/>
      </c>
      <c r="L2806" s="21" t="str">
        <f aca="false">IF(J2806="",IF(B2806="","",IF(N(C2806)&gt;=0,"Income","Expense")),IFERROR(INDEX(Lists!$B$2:$B$30,MATCH(J2806,Lists!$A$2:$A$30,0)),""))</f>
        <v/>
      </c>
      <c r="M2806" s="24"/>
      <c r="N2806" s="27" t="str">
        <f aca="false">IF(B2806="","",IFERROR(1000-SUMPRODUCT(MAX(ISNUMBER(SEARCH(Rules!$A$5:$A$204,B2806))*(Rules!$A$5:$A$204&lt;&gt;"")*(1000-ROW(Rules!$A$5:$A$204)))),""))</f>
        <v/>
      </c>
    </row>
    <row r="2807" customFormat="false" ht="15" hidden="false" customHeight="false" outlineLevel="0" collapsed="false">
      <c r="A2807" s="23"/>
      <c r="B2807" s="24"/>
      <c r="C2807" s="25"/>
      <c r="D2807" s="24"/>
      <c r="E2807" s="21" t="str">
        <f aca="false">IF(OR(B2807="",N(N2807)=0,N2807=1000),IF(B2807="","","Check"),INDEX(Rules!$B:$B,N2807))</f>
        <v/>
      </c>
      <c r="F2807" s="21" t="str">
        <f aca="false">IF(OR(B2807="",N(N2807)=0,N2807=1000),"",INDEX(Rules!$C:$C,N2807))</f>
        <v/>
      </c>
      <c r="G2807" s="24"/>
      <c r="H2807" s="24"/>
      <c r="I2807" s="20" t="str">
        <f aca="false">IF(B2807="","",IF(G2807&lt;&gt;"",G2807,E2807))</f>
        <v/>
      </c>
      <c r="J2807" s="21" t="str">
        <f aca="false">IF(B2807="","",IF(H2807&lt;&gt;"",H2807,F2807))</f>
        <v/>
      </c>
      <c r="K2807" s="26" t="str">
        <f aca="false">IF(A2807="","",DATE(YEAR(A2807),MONTH(A2807),1))</f>
        <v/>
      </c>
      <c r="L2807" s="21" t="str">
        <f aca="false">IF(J2807="",IF(B2807="","",IF(N(C2807)&gt;=0,"Income","Expense")),IFERROR(INDEX(Lists!$B$2:$B$30,MATCH(J2807,Lists!$A$2:$A$30,0)),""))</f>
        <v/>
      </c>
      <c r="M2807" s="24"/>
      <c r="N2807" s="27" t="str">
        <f aca="false">IF(B2807="","",IFERROR(1000-SUMPRODUCT(MAX(ISNUMBER(SEARCH(Rules!$A$5:$A$204,B2807))*(Rules!$A$5:$A$204&lt;&gt;"")*(1000-ROW(Rules!$A$5:$A$204)))),""))</f>
        <v/>
      </c>
    </row>
    <row r="2808" customFormat="false" ht="15" hidden="false" customHeight="false" outlineLevel="0" collapsed="false">
      <c r="A2808" s="23"/>
      <c r="B2808" s="24"/>
      <c r="C2808" s="25"/>
      <c r="D2808" s="24"/>
      <c r="E2808" s="21" t="str">
        <f aca="false">IF(OR(B2808="",N(N2808)=0,N2808=1000),IF(B2808="","","Check"),INDEX(Rules!$B:$B,N2808))</f>
        <v/>
      </c>
      <c r="F2808" s="21" t="str">
        <f aca="false">IF(OR(B2808="",N(N2808)=0,N2808=1000),"",INDEX(Rules!$C:$C,N2808))</f>
        <v/>
      </c>
      <c r="G2808" s="24"/>
      <c r="H2808" s="24"/>
      <c r="I2808" s="20" t="str">
        <f aca="false">IF(B2808="","",IF(G2808&lt;&gt;"",G2808,E2808))</f>
        <v/>
      </c>
      <c r="J2808" s="21" t="str">
        <f aca="false">IF(B2808="","",IF(H2808&lt;&gt;"",H2808,F2808))</f>
        <v/>
      </c>
      <c r="K2808" s="26" t="str">
        <f aca="false">IF(A2808="","",DATE(YEAR(A2808),MONTH(A2808),1))</f>
        <v/>
      </c>
      <c r="L2808" s="21" t="str">
        <f aca="false">IF(J2808="",IF(B2808="","",IF(N(C2808)&gt;=0,"Income","Expense")),IFERROR(INDEX(Lists!$B$2:$B$30,MATCH(J2808,Lists!$A$2:$A$30,0)),""))</f>
        <v/>
      </c>
      <c r="M2808" s="24"/>
      <c r="N2808" s="27" t="str">
        <f aca="false">IF(B2808="","",IFERROR(1000-SUMPRODUCT(MAX(ISNUMBER(SEARCH(Rules!$A$5:$A$204,B2808))*(Rules!$A$5:$A$204&lt;&gt;"")*(1000-ROW(Rules!$A$5:$A$204)))),""))</f>
        <v/>
      </c>
    </row>
    <row r="2809" customFormat="false" ht="15" hidden="false" customHeight="false" outlineLevel="0" collapsed="false">
      <c r="A2809" s="23"/>
      <c r="B2809" s="24"/>
      <c r="C2809" s="25"/>
      <c r="D2809" s="24"/>
      <c r="E2809" s="21" t="str">
        <f aca="false">IF(OR(B2809="",N(N2809)=0,N2809=1000),IF(B2809="","","Check"),INDEX(Rules!$B:$B,N2809))</f>
        <v/>
      </c>
      <c r="F2809" s="21" t="str">
        <f aca="false">IF(OR(B2809="",N(N2809)=0,N2809=1000),"",INDEX(Rules!$C:$C,N2809))</f>
        <v/>
      </c>
      <c r="G2809" s="24"/>
      <c r="H2809" s="24"/>
      <c r="I2809" s="20" t="str">
        <f aca="false">IF(B2809="","",IF(G2809&lt;&gt;"",G2809,E2809))</f>
        <v/>
      </c>
      <c r="J2809" s="21" t="str">
        <f aca="false">IF(B2809="","",IF(H2809&lt;&gt;"",H2809,F2809))</f>
        <v/>
      </c>
      <c r="K2809" s="26" t="str">
        <f aca="false">IF(A2809="","",DATE(YEAR(A2809),MONTH(A2809),1))</f>
        <v/>
      </c>
      <c r="L2809" s="21" t="str">
        <f aca="false">IF(J2809="",IF(B2809="","",IF(N(C2809)&gt;=0,"Income","Expense")),IFERROR(INDEX(Lists!$B$2:$B$30,MATCH(J2809,Lists!$A$2:$A$30,0)),""))</f>
        <v/>
      </c>
      <c r="M2809" s="24"/>
      <c r="N2809" s="27" t="str">
        <f aca="false">IF(B2809="","",IFERROR(1000-SUMPRODUCT(MAX(ISNUMBER(SEARCH(Rules!$A$5:$A$204,B2809))*(Rules!$A$5:$A$204&lt;&gt;"")*(1000-ROW(Rules!$A$5:$A$204)))),""))</f>
        <v/>
      </c>
    </row>
    <row r="2810" customFormat="false" ht="15" hidden="false" customHeight="false" outlineLevel="0" collapsed="false">
      <c r="A2810" s="23"/>
      <c r="B2810" s="24"/>
      <c r="C2810" s="25"/>
      <c r="D2810" s="24"/>
      <c r="E2810" s="21" t="str">
        <f aca="false">IF(OR(B2810="",N(N2810)=0,N2810=1000),IF(B2810="","","Check"),INDEX(Rules!$B:$B,N2810))</f>
        <v/>
      </c>
      <c r="F2810" s="21" t="str">
        <f aca="false">IF(OR(B2810="",N(N2810)=0,N2810=1000),"",INDEX(Rules!$C:$C,N2810))</f>
        <v/>
      </c>
      <c r="G2810" s="24"/>
      <c r="H2810" s="24"/>
      <c r="I2810" s="20" t="str">
        <f aca="false">IF(B2810="","",IF(G2810&lt;&gt;"",G2810,E2810))</f>
        <v/>
      </c>
      <c r="J2810" s="21" t="str">
        <f aca="false">IF(B2810="","",IF(H2810&lt;&gt;"",H2810,F2810))</f>
        <v/>
      </c>
      <c r="K2810" s="26" t="str">
        <f aca="false">IF(A2810="","",DATE(YEAR(A2810),MONTH(A2810),1))</f>
        <v/>
      </c>
      <c r="L2810" s="21" t="str">
        <f aca="false">IF(J2810="",IF(B2810="","",IF(N(C2810)&gt;=0,"Income","Expense")),IFERROR(INDEX(Lists!$B$2:$B$30,MATCH(J2810,Lists!$A$2:$A$30,0)),""))</f>
        <v/>
      </c>
      <c r="M2810" s="24"/>
      <c r="N2810" s="27" t="str">
        <f aca="false">IF(B2810="","",IFERROR(1000-SUMPRODUCT(MAX(ISNUMBER(SEARCH(Rules!$A$5:$A$204,B2810))*(Rules!$A$5:$A$204&lt;&gt;"")*(1000-ROW(Rules!$A$5:$A$204)))),""))</f>
        <v/>
      </c>
    </row>
    <row r="2811" customFormat="false" ht="15" hidden="false" customHeight="false" outlineLevel="0" collapsed="false">
      <c r="A2811" s="23"/>
      <c r="B2811" s="24"/>
      <c r="C2811" s="25"/>
      <c r="D2811" s="24"/>
      <c r="E2811" s="21" t="str">
        <f aca="false">IF(OR(B2811="",N(N2811)=0,N2811=1000),IF(B2811="","","Check"),INDEX(Rules!$B:$B,N2811))</f>
        <v/>
      </c>
      <c r="F2811" s="21" t="str">
        <f aca="false">IF(OR(B2811="",N(N2811)=0,N2811=1000),"",INDEX(Rules!$C:$C,N2811))</f>
        <v/>
      </c>
      <c r="G2811" s="24"/>
      <c r="H2811" s="24"/>
      <c r="I2811" s="20" t="str">
        <f aca="false">IF(B2811="","",IF(G2811&lt;&gt;"",G2811,E2811))</f>
        <v/>
      </c>
      <c r="J2811" s="21" t="str">
        <f aca="false">IF(B2811="","",IF(H2811&lt;&gt;"",H2811,F2811))</f>
        <v/>
      </c>
      <c r="K2811" s="26" t="str">
        <f aca="false">IF(A2811="","",DATE(YEAR(A2811),MONTH(A2811),1))</f>
        <v/>
      </c>
      <c r="L2811" s="21" t="str">
        <f aca="false">IF(J2811="",IF(B2811="","",IF(N(C2811)&gt;=0,"Income","Expense")),IFERROR(INDEX(Lists!$B$2:$B$30,MATCH(J2811,Lists!$A$2:$A$30,0)),""))</f>
        <v/>
      </c>
      <c r="M2811" s="24"/>
      <c r="N2811" s="27" t="str">
        <f aca="false">IF(B2811="","",IFERROR(1000-SUMPRODUCT(MAX(ISNUMBER(SEARCH(Rules!$A$5:$A$204,B2811))*(Rules!$A$5:$A$204&lt;&gt;"")*(1000-ROW(Rules!$A$5:$A$204)))),""))</f>
        <v/>
      </c>
    </row>
    <row r="2812" customFormat="false" ht="15" hidden="false" customHeight="false" outlineLevel="0" collapsed="false">
      <c r="A2812" s="23"/>
      <c r="B2812" s="24"/>
      <c r="C2812" s="25"/>
      <c r="D2812" s="24"/>
      <c r="E2812" s="21" t="str">
        <f aca="false">IF(OR(B2812="",N(N2812)=0,N2812=1000),IF(B2812="","","Check"),INDEX(Rules!$B:$B,N2812))</f>
        <v/>
      </c>
      <c r="F2812" s="21" t="str">
        <f aca="false">IF(OR(B2812="",N(N2812)=0,N2812=1000),"",INDEX(Rules!$C:$C,N2812))</f>
        <v/>
      </c>
      <c r="G2812" s="24"/>
      <c r="H2812" s="24"/>
      <c r="I2812" s="20" t="str">
        <f aca="false">IF(B2812="","",IF(G2812&lt;&gt;"",G2812,E2812))</f>
        <v/>
      </c>
      <c r="J2812" s="21" t="str">
        <f aca="false">IF(B2812="","",IF(H2812&lt;&gt;"",H2812,F2812))</f>
        <v/>
      </c>
      <c r="K2812" s="26" t="str">
        <f aca="false">IF(A2812="","",DATE(YEAR(A2812),MONTH(A2812),1))</f>
        <v/>
      </c>
      <c r="L2812" s="21" t="str">
        <f aca="false">IF(J2812="",IF(B2812="","",IF(N(C2812)&gt;=0,"Income","Expense")),IFERROR(INDEX(Lists!$B$2:$B$30,MATCH(J2812,Lists!$A$2:$A$30,0)),""))</f>
        <v/>
      </c>
      <c r="M2812" s="24"/>
      <c r="N2812" s="27" t="str">
        <f aca="false">IF(B2812="","",IFERROR(1000-SUMPRODUCT(MAX(ISNUMBER(SEARCH(Rules!$A$5:$A$204,B2812))*(Rules!$A$5:$A$204&lt;&gt;"")*(1000-ROW(Rules!$A$5:$A$204)))),""))</f>
        <v/>
      </c>
    </row>
    <row r="2813" customFormat="false" ht="15" hidden="false" customHeight="false" outlineLevel="0" collapsed="false">
      <c r="A2813" s="23"/>
      <c r="B2813" s="24"/>
      <c r="C2813" s="25"/>
      <c r="D2813" s="24"/>
      <c r="E2813" s="21" t="str">
        <f aca="false">IF(OR(B2813="",N(N2813)=0,N2813=1000),IF(B2813="","","Check"),INDEX(Rules!$B:$B,N2813))</f>
        <v/>
      </c>
      <c r="F2813" s="21" t="str">
        <f aca="false">IF(OR(B2813="",N(N2813)=0,N2813=1000),"",INDEX(Rules!$C:$C,N2813))</f>
        <v/>
      </c>
      <c r="G2813" s="24"/>
      <c r="H2813" s="24"/>
      <c r="I2813" s="20" t="str">
        <f aca="false">IF(B2813="","",IF(G2813&lt;&gt;"",G2813,E2813))</f>
        <v/>
      </c>
      <c r="J2813" s="21" t="str">
        <f aca="false">IF(B2813="","",IF(H2813&lt;&gt;"",H2813,F2813))</f>
        <v/>
      </c>
      <c r="K2813" s="26" t="str">
        <f aca="false">IF(A2813="","",DATE(YEAR(A2813),MONTH(A2813),1))</f>
        <v/>
      </c>
      <c r="L2813" s="21" t="str">
        <f aca="false">IF(J2813="",IF(B2813="","",IF(N(C2813)&gt;=0,"Income","Expense")),IFERROR(INDEX(Lists!$B$2:$B$30,MATCH(J2813,Lists!$A$2:$A$30,0)),""))</f>
        <v/>
      </c>
      <c r="M2813" s="24"/>
      <c r="N2813" s="27" t="str">
        <f aca="false">IF(B2813="","",IFERROR(1000-SUMPRODUCT(MAX(ISNUMBER(SEARCH(Rules!$A$5:$A$204,B2813))*(Rules!$A$5:$A$204&lt;&gt;"")*(1000-ROW(Rules!$A$5:$A$204)))),""))</f>
        <v/>
      </c>
    </row>
    <row r="2814" customFormat="false" ht="15" hidden="false" customHeight="false" outlineLevel="0" collapsed="false">
      <c r="A2814" s="23"/>
      <c r="B2814" s="24"/>
      <c r="C2814" s="25"/>
      <c r="D2814" s="24"/>
      <c r="E2814" s="21" t="str">
        <f aca="false">IF(OR(B2814="",N(N2814)=0,N2814=1000),IF(B2814="","","Check"),INDEX(Rules!$B:$B,N2814))</f>
        <v/>
      </c>
      <c r="F2814" s="21" t="str">
        <f aca="false">IF(OR(B2814="",N(N2814)=0,N2814=1000),"",INDEX(Rules!$C:$C,N2814))</f>
        <v/>
      </c>
      <c r="G2814" s="24"/>
      <c r="H2814" s="24"/>
      <c r="I2814" s="20" t="str">
        <f aca="false">IF(B2814="","",IF(G2814&lt;&gt;"",G2814,E2814))</f>
        <v/>
      </c>
      <c r="J2814" s="21" t="str">
        <f aca="false">IF(B2814="","",IF(H2814&lt;&gt;"",H2814,F2814))</f>
        <v/>
      </c>
      <c r="K2814" s="26" t="str">
        <f aca="false">IF(A2814="","",DATE(YEAR(A2814),MONTH(A2814),1))</f>
        <v/>
      </c>
      <c r="L2814" s="21" t="str">
        <f aca="false">IF(J2814="",IF(B2814="","",IF(N(C2814)&gt;=0,"Income","Expense")),IFERROR(INDEX(Lists!$B$2:$B$30,MATCH(J2814,Lists!$A$2:$A$30,0)),""))</f>
        <v/>
      </c>
      <c r="M2814" s="24"/>
      <c r="N2814" s="27" t="str">
        <f aca="false">IF(B2814="","",IFERROR(1000-SUMPRODUCT(MAX(ISNUMBER(SEARCH(Rules!$A$5:$A$204,B2814))*(Rules!$A$5:$A$204&lt;&gt;"")*(1000-ROW(Rules!$A$5:$A$204)))),""))</f>
        <v/>
      </c>
    </row>
    <row r="2815" customFormat="false" ht="15" hidden="false" customHeight="false" outlineLevel="0" collapsed="false">
      <c r="A2815" s="23"/>
      <c r="B2815" s="24"/>
      <c r="C2815" s="25"/>
      <c r="D2815" s="24"/>
      <c r="E2815" s="21" t="str">
        <f aca="false">IF(OR(B2815="",N(N2815)=0,N2815=1000),IF(B2815="","","Check"),INDEX(Rules!$B:$B,N2815))</f>
        <v/>
      </c>
      <c r="F2815" s="21" t="str">
        <f aca="false">IF(OR(B2815="",N(N2815)=0,N2815=1000),"",INDEX(Rules!$C:$C,N2815))</f>
        <v/>
      </c>
      <c r="G2815" s="24"/>
      <c r="H2815" s="24"/>
      <c r="I2815" s="20" t="str">
        <f aca="false">IF(B2815="","",IF(G2815&lt;&gt;"",G2815,E2815))</f>
        <v/>
      </c>
      <c r="J2815" s="21" t="str">
        <f aca="false">IF(B2815="","",IF(H2815&lt;&gt;"",H2815,F2815))</f>
        <v/>
      </c>
      <c r="K2815" s="26" t="str">
        <f aca="false">IF(A2815="","",DATE(YEAR(A2815),MONTH(A2815),1))</f>
        <v/>
      </c>
      <c r="L2815" s="21" t="str">
        <f aca="false">IF(J2815="",IF(B2815="","",IF(N(C2815)&gt;=0,"Income","Expense")),IFERROR(INDEX(Lists!$B$2:$B$30,MATCH(J2815,Lists!$A$2:$A$30,0)),""))</f>
        <v/>
      </c>
      <c r="M2815" s="24"/>
      <c r="N2815" s="27" t="str">
        <f aca="false">IF(B2815="","",IFERROR(1000-SUMPRODUCT(MAX(ISNUMBER(SEARCH(Rules!$A$5:$A$204,B2815))*(Rules!$A$5:$A$204&lt;&gt;"")*(1000-ROW(Rules!$A$5:$A$204)))),""))</f>
        <v/>
      </c>
    </row>
    <row r="2816" customFormat="false" ht="15" hidden="false" customHeight="false" outlineLevel="0" collapsed="false">
      <c r="A2816" s="23"/>
      <c r="B2816" s="24"/>
      <c r="C2816" s="25"/>
      <c r="D2816" s="24"/>
      <c r="E2816" s="21" t="str">
        <f aca="false">IF(OR(B2816="",N(N2816)=0,N2816=1000),IF(B2816="","","Check"),INDEX(Rules!$B:$B,N2816))</f>
        <v/>
      </c>
      <c r="F2816" s="21" t="str">
        <f aca="false">IF(OR(B2816="",N(N2816)=0,N2816=1000),"",INDEX(Rules!$C:$C,N2816))</f>
        <v/>
      </c>
      <c r="G2816" s="24"/>
      <c r="H2816" s="24"/>
      <c r="I2816" s="20" t="str">
        <f aca="false">IF(B2816="","",IF(G2816&lt;&gt;"",G2816,E2816))</f>
        <v/>
      </c>
      <c r="J2816" s="21" t="str">
        <f aca="false">IF(B2816="","",IF(H2816&lt;&gt;"",H2816,F2816))</f>
        <v/>
      </c>
      <c r="K2816" s="26" t="str">
        <f aca="false">IF(A2816="","",DATE(YEAR(A2816),MONTH(A2816),1))</f>
        <v/>
      </c>
      <c r="L2816" s="21" t="str">
        <f aca="false">IF(J2816="",IF(B2816="","",IF(N(C2816)&gt;=0,"Income","Expense")),IFERROR(INDEX(Lists!$B$2:$B$30,MATCH(J2816,Lists!$A$2:$A$30,0)),""))</f>
        <v/>
      </c>
      <c r="M2816" s="24"/>
      <c r="N2816" s="27" t="str">
        <f aca="false">IF(B2816="","",IFERROR(1000-SUMPRODUCT(MAX(ISNUMBER(SEARCH(Rules!$A$5:$A$204,B2816))*(Rules!$A$5:$A$204&lt;&gt;"")*(1000-ROW(Rules!$A$5:$A$204)))),""))</f>
        <v/>
      </c>
    </row>
    <row r="2817" customFormat="false" ht="15" hidden="false" customHeight="false" outlineLevel="0" collapsed="false">
      <c r="A2817" s="23"/>
      <c r="B2817" s="24"/>
      <c r="C2817" s="25"/>
      <c r="D2817" s="24"/>
      <c r="E2817" s="21" t="str">
        <f aca="false">IF(OR(B2817="",N(N2817)=0,N2817=1000),IF(B2817="","","Check"),INDEX(Rules!$B:$B,N2817))</f>
        <v/>
      </c>
      <c r="F2817" s="21" t="str">
        <f aca="false">IF(OR(B2817="",N(N2817)=0,N2817=1000),"",INDEX(Rules!$C:$C,N2817))</f>
        <v/>
      </c>
      <c r="G2817" s="24"/>
      <c r="H2817" s="24"/>
      <c r="I2817" s="20" t="str">
        <f aca="false">IF(B2817="","",IF(G2817&lt;&gt;"",G2817,E2817))</f>
        <v/>
      </c>
      <c r="J2817" s="21" t="str">
        <f aca="false">IF(B2817="","",IF(H2817&lt;&gt;"",H2817,F2817))</f>
        <v/>
      </c>
      <c r="K2817" s="26" t="str">
        <f aca="false">IF(A2817="","",DATE(YEAR(A2817),MONTH(A2817),1))</f>
        <v/>
      </c>
      <c r="L2817" s="21" t="str">
        <f aca="false">IF(J2817="",IF(B2817="","",IF(N(C2817)&gt;=0,"Income","Expense")),IFERROR(INDEX(Lists!$B$2:$B$30,MATCH(J2817,Lists!$A$2:$A$30,0)),""))</f>
        <v/>
      </c>
      <c r="M2817" s="24"/>
      <c r="N2817" s="27" t="str">
        <f aca="false">IF(B2817="","",IFERROR(1000-SUMPRODUCT(MAX(ISNUMBER(SEARCH(Rules!$A$5:$A$204,B2817))*(Rules!$A$5:$A$204&lt;&gt;"")*(1000-ROW(Rules!$A$5:$A$204)))),""))</f>
        <v/>
      </c>
    </row>
    <row r="2818" customFormat="false" ht="15" hidden="false" customHeight="false" outlineLevel="0" collapsed="false">
      <c r="A2818" s="23"/>
      <c r="B2818" s="24"/>
      <c r="C2818" s="25"/>
      <c r="D2818" s="24"/>
      <c r="E2818" s="21" t="str">
        <f aca="false">IF(OR(B2818="",N(N2818)=0,N2818=1000),IF(B2818="","","Check"),INDEX(Rules!$B:$B,N2818))</f>
        <v/>
      </c>
      <c r="F2818" s="21" t="str">
        <f aca="false">IF(OR(B2818="",N(N2818)=0,N2818=1000),"",INDEX(Rules!$C:$C,N2818))</f>
        <v/>
      </c>
      <c r="G2818" s="24"/>
      <c r="H2818" s="24"/>
      <c r="I2818" s="20" t="str">
        <f aca="false">IF(B2818="","",IF(G2818&lt;&gt;"",G2818,E2818))</f>
        <v/>
      </c>
      <c r="J2818" s="21" t="str">
        <f aca="false">IF(B2818="","",IF(H2818&lt;&gt;"",H2818,F2818))</f>
        <v/>
      </c>
      <c r="K2818" s="26" t="str">
        <f aca="false">IF(A2818="","",DATE(YEAR(A2818),MONTH(A2818),1))</f>
        <v/>
      </c>
      <c r="L2818" s="21" t="str">
        <f aca="false">IF(J2818="",IF(B2818="","",IF(N(C2818)&gt;=0,"Income","Expense")),IFERROR(INDEX(Lists!$B$2:$B$30,MATCH(J2818,Lists!$A$2:$A$30,0)),""))</f>
        <v/>
      </c>
      <c r="M2818" s="24"/>
      <c r="N2818" s="27" t="str">
        <f aca="false">IF(B2818="","",IFERROR(1000-SUMPRODUCT(MAX(ISNUMBER(SEARCH(Rules!$A$5:$A$204,B2818))*(Rules!$A$5:$A$204&lt;&gt;"")*(1000-ROW(Rules!$A$5:$A$204)))),""))</f>
        <v/>
      </c>
    </row>
    <row r="2819" customFormat="false" ht="15" hidden="false" customHeight="false" outlineLevel="0" collapsed="false">
      <c r="A2819" s="23"/>
      <c r="B2819" s="24"/>
      <c r="C2819" s="25"/>
      <c r="D2819" s="24"/>
      <c r="E2819" s="21" t="str">
        <f aca="false">IF(OR(B2819="",N(N2819)=0,N2819=1000),IF(B2819="","","Check"),INDEX(Rules!$B:$B,N2819))</f>
        <v/>
      </c>
      <c r="F2819" s="21" t="str">
        <f aca="false">IF(OR(B2819="",N(N2819)=0,N2819=1000),"",INDEX(Rules!$C:$C,N2819))</f>
        <v/>
      </c>
      <c r="G2819" s="24"/>
      <c r="H2819" s="24"/>
      <c r="I2819" s="20" t="str">
        <f aca="false">IF(B2819="","",IF(G2819&lt;&gt;"",G2819,E2819))</f>
        <v/>
      </c>
      <c r="J2819" s="21" t="str">
        <f aca="false">IF(B2819="","",IF(H2819&lt;&gt;"",H2819,F2819))</f>
        <v/>
      </c>
      <c r="K2819" s="26" t="str">
        <f aca="false">IF(A2819="","",DATE(YEAR(A2819),MONTH(A2819),1))</f>
        <v/>
      </c>
      <c r="L2819" s="21" t="str">
        <f aca="false">IF(J2819="",IF(B2819="","",IF(N(C2819)&gt;=0,"Income","Expense")),IFERROR(INDEX(Lists!$B$2:$B$30,MATCH(J2819,Lists!$A$2:$A$30,0)),""))</f>
        <v/>
      </c>
      <c r="M2819" s="24"/>
      <c r="N2819" s="27" t="str">
        <f aca="false">IF(B2819="","",IFERROR(1000-SUMPRODUCT(MAX(ISNUMBER(SEARCH(Rules!$A$5:$A$204,B2819))*(Rules!$A$5:$A$204&lt;&gt;"")*(1000-ROW(Rules!$A$5:$A$204)))),""))</f>
        <v/>
      </c>
    </row>
    <row r="2820" customFormat="false" ht="15" hidden="false" customHeight="false" outlineLevel="0" collapsed="false">
      <c r="A2820" s="23"/>
      <c r="B2820" s="24"/>
      <c r="C2820" s="25"/>
      <c r="D2820" s="24"/>
      <c r="E2820" s="21" t="str">
        <f aca="false">IF(OR(B2820="",N(N2820)=0,N2820=1000),IF(B2820="","","Check"),INDEX(Rules!$B:$B,N2820))</f>
        <v/>
      </c>
      <c r="F2820" s="21" t="str">
        <f aca="false">IF(OR(B2820="",N(N2820)=0,N2820=1000),"",INDEX(Rules!$C:$C,N2820))</f>
        <v/>
      </c>
      <c r="G2820" s="24"/>
      <c r="H2820" s="24"/>
      <c r="I2820" s="20" t="str">
        <f aca="false">IF(B2820="","",IF(G2820&lt;&gt;"",G2820,E2820))</f>
        <v/>
      </c>
      <c r="J2820" s="21" t="str">
        <f aca="false">IF(B2820="","",IF(H2820&lt;&gt;"",H2820,F2820))</f>
        <v/>
      </c>
      <c r="K2820" s="26" t="str">
        <f aca="false">IF(A2820="","",DATE(YEAR(A2820),MONTH(A2820),1))</f>
        <v/>
      </c>
      <c r="L2820" s="21" t="str">
        <f aca="false">IF(J2820="",IF(B2820="","",IF(N(C2820)&gt;=0,"Income","Expense")),IFERROR(INDEX(Lists!$B$2:$B$30,MATCH(J2820,Lists!$A$2:$A$30,0)),""))</f>
        <v/>
      </c>
      <c r="M2820" s="24"/>
      <c r="N2820" s="27" t="str">
        <f aca="false">IF(B2820="","",IFERROR(1000-SUMPRODUCT(MAX(ISNUMBER(SEARCH(Rules!$A$5:$A$204,B2820))*(Rules!$A$5:$A$204&lt;&gt;"")*(1000-ROW(Rules!$A$5:$A$204)))),""))</f>
        <v/>
      </c>
    </row>
    <row r="2821" customFormat="false" ht="15" hidden="false" customHeight="false" outlineLevel="0" collapsed="false">
      <c r="A2821" s="23"/>
      <c r="B2821" s="24"/>
      <c r="C2821" s="25"/>
      <c r="D2821" s="24"/>
      <c r="E2821" s="21" t="str">
        <f aca="false">IF(OR(B2821="",N(N2821)=0,N2821=1000),IF(B2821="","","Check"),INDEX(Rules!$B:$B,N2821))</f>
        <v/>
      </c>
      <c r="F2821" s="21" t="str">
        <f aca="false">IF(OR(B2821="",N(N2821)=0,N2821=1000),"",INDEX(Rules!$C:$C,N2821))</f>
        <v/>
      </c>
      <c r="G2821" s="24"/>
      <c r="H2821" s="24"/>
      <c r="I2821" s="20" t="str">
        <f aca="false">IF(B2821="","",IF(G2821&lt;&gt;"",G2821,E2821))</f>
        <v/>
      </c>
      <c r="J2821" s="21" t="str">
        <f aca="false">IF(B2821="","",IF(H2821&lt;&gt;"",H2821,F2821))</f>
        <v/>
      </c>
      <c r="K2821" s="26" t="str">
        <f aca="false">IF(A2821="","",DATE(YEAR(A2821),MONTH(A2821),1))</f>
        <v/>
      </c>
      <c r="L2821" s="21" t="str">
        <f aca="false">IF(J2821="",IF(B2821="","",IF(N(C2821)&gt;=0,"Income","Expense")),IFERROR(INDEX(Lists!$B$2:$B$30,MATCH(J2821,Lists!$A$2:$A$30,0)),""))</f>
        <v/>
      </c>
      <c r="M2821" s="24"/>
      <c r="N2821" s="27" t="str">
        <f aca="false">IF(B2821="","",IFERROR(1000-SUMPRODUCT(MAX(ISNUMBER(SEARCH(Rules!$A$5:$A$204,B2821))*(Rules!$A$5:$A$204&lt;&gt;"")*(1000-ROW(Rules!$A$5:$A$204)))),""))</f>
        <v/>
      </c>
    </row>
    <row r="2822" customFormat="false" ht="15" hidden="false" customHeight="false" outlineLevel="0" collapsed="false">
      <c r="A2822" s="23"/>
      <c r="B2822" s="24"/>
      <c r="C2822" s="25"/>
      <c r="D2822" s="24"/>
      <c r="E2822" s="21" t="str">
        <f aca="false">IF(OR(B2822="",N(N2822)=0,N2822=1000),IF(B2822="","","Check"),INDEX(Rules!$B:$B,N2822))</f>
        <v/>
      </c>
      <c r="F2822" s="21" t="str">
        <f aca="false">IF(OR(B2822="",N(N2822)=0,N2822=1000),"",INDEX(Rules!$C:$C,N2822))</f>
        <v/>
      </c>
      <c r="G2822" s="24"/>
      <c r="H2822" s="24"/>
      <c r="I2822" s="20" t="str">
        <f aca="false">IF(B2822="","",IF(G2822&lt;&gt;"",G2822,E2822))</f>
        <v/>
      </c>
      <c r="J2822" s="21" t="str">
        <f aca="false">IF(B2822="","",IF(H2822&lt;&gt;"",H2822,F2822))</f>
        <v/>
      </c>
      <c r="K2822" s="26" t="str">
        <f aca="false">IF(A2822="","",DATE(YEAR(A2822),MONTH(A2822),1))</f>
        <v/>
      </c>
      <c r="L2822" s="21" t="str">
        <f aca="false">IF(J2822="",IF(B2822="","",IF(N(C2822)&gt;=0,"Income","Expense")),IFERROR(INDEX(Lists!$B$2:$B$30,MATCH(J2822,Lists!$A$2:$A$30,0)),""))</f>
        <v/>
      </c>
      <c r="M2822" s="24"/>
      <c r="N2822" s="27" t="str">
        <f aca="false">IF(B2822="","",IFERROR(1000-SUMPRODUCT(MAX(ISNUMBER(SEARCH(Rules!$A$5:$A$204,B2822))*(Rules!$A$5:$A$204&lt;&gt;"")*(1000-ROW(Rules!$A$5:$A$204)))),""))</f>
        <v/>
      </c>
    </row>
    <row r="2823" customFormat="false" ht="15" hidden="false" customHeight="false" outlineLevel="0" collapsed="false">
      <c r="A2823" s="23"/>
      <c r="B2823" s="24"/>
      <c r="C2823" s="25"/>
      <c r="D2823" s="24"/>
      <c r="E2823" s="21" t="str">
        <f aca="false">IF(OR(B2823="",N(N2823)=0,N2823=1000),IF(B2823="","","Check"),INDEX(Rules!$B:$B,N2823))</f>
        <v/>
      </c>
      <c r="F2823" s="21" t="str">
        <f aca="false">IF(OR(B2823="",N(N2823)=0,N2823=1000),"",INDEX(Rules!$C:$C,N2823))</f>
        <v/>
      </c>
      <c r="G2823" s="24"/>
      <c r="H2823" s="24"/>
      <c r="I2823" s="20" t="str">
        <f aca="false">IF(B2823="","",IF(G2823&lt;&gt;"",G2823,E2823))</f>
        <v/>
      </c>
      <c r="J2823" s="21" t="str">
        <f aca="false">IF(B2823="","",IF(H2823&lt;&gt;"",H2823,F2823))</f>
        <v/>
      </c>
      <c r="K2823" s="26" t="str">
        <f aca="false">IF(A2823="","",DATE(YEAR(A2823),MONTH(A2823),1))</f>
        <v/>
      </c>
      <c r="L2823" s="21" t="str">
        <f aca="false">IF(J2823="",IF(B2823="","",IF(N(C2823)&gt;=0,"Income","Expense")),IFERROR(INDEX(Lists!$B$2:$B$30,MATCH(J2823,Lists!$A$2:$A$30,0)),""))</f>
        <v/>
      </c>
      <c r="M2823" s="24"/>
      <c r="N2823" s="27" t="str">
        <f aca="false">IF(B2823="","",IFERROR(1000-SUMPRODUCT(MAX(ISNUMBER(SEARCH(Rules!$A$5:$A$204,B2823))*(Rules!$A$5:$A$204&lt;&gt;"")*(1000-ROW(Rules!$A$5:$A$204)))),""))</f>
        <v/>
      </c>
    </row>
    <row r="2824" customFormat="false" ht="15" hidden="false" customHeight="false" outlineLevel="0" collapsed="false">
      <c r="A2824" s="23"/>
      <c r="B2824" s="24"/>
      <c r="C2824" s="25"/>
      <c r="D2824" s="24"/>
      <c r="E2824" s="21" t="str">
        <f aca="false">IF(OR(B2824="",N(N2824)=0,N2824=1000),IF(B2824="","","Check"),INDEX(Rules!$B:$B,N2824))</f>
        <v/>
      </c>
      <c r="F2824" s="21" t="str">
        <f aca="false">IF(OR(B2824="",N(N2824)=0,N2824=1000),"",INDEX(Rules!$C:$C,N2824))</f>
        <v/>
      </c>
      <c r="G2824" s="24"/>
      <c r="H2824" s="24"/>
      <c r="I2824" s="20" t="str">
        <f aca="false">IF(B2824="","",IF(G2824&lt;&gt;"",G2824,E2824))</f>
        <v/>
      </c>
      <c r="J2824" s="21" t="str">
        <f aca="false">IF(B2824="","",IF(H2824&lt;&gt;"",H2824,F2824))</f>
        <v/>
      </c>
      <c r="K2824" s="26" t="str">
        <f aca="false">IF(A2824="","",DATE(YEAR(A2824),MONTH(A2824),1))</f>
        <v/>
      </c>
      <c r="L2824" s="21" t="str">
        <f aca="false">IF(J2824="",IF(B2824="","",IF(N(C2824)&gt;=0,"Income","Expense")),IFERROR(INDEX(Lists!$B$2:$B$30,MATCH(J2824,Lists!$A$2:$A$30,0)),""))</f>
        <v/>
      </c>
      <c r="M2824" s="24"/>
      <c r="N2824" s="27" t="str">
        <f aca="false">IF(B2824="","",IFERROR(1000-SUMPRODUCT(MAX(ISNUMBER(SEARCH(Rules!$A$5:$A$204,B2824))*(Rules!$A$5:$A$204&lt;&gt;"")*(1000-ROW(Rules!$A$5:$A$204)))),""))</f>
        <v/>
      </c>
    </row>
    <row r="2825" customFormat="false" ht="15" hidden="false" customHeight="false" outlineLevel="0" collapsed="false">
      <c r="A2825" s="23"/>
      <c r="B2825" s="24"/>
      <c r="C2825" s="25"/>
      <c r="D2825" s="24"/>
      <c r="E2825" s="21" t="str">
        <f aca="false">IF(OR(B2825="",N(N2825)=0,N2825=1000),IF(B2825="","","Check"),INDEX(Rules!$B:$B,N2825))</f>
        <v/>
      </c>
      <c r="F2825" s="21" t="str">
        <f aca="false">IF(OR(B2825="",N(N2825)=0,N2825=1000),"",INDEX(Rules!$C:$C,N2825))</f>
        <v/>
      </c>
      <c r="G2825" s="24"/>
      <c r="H2825" s="24"/>
      <c r="I2825" s="20" t="str">
        <f aca="false">IF(B2825="","",IF(G2825&lt;&gt;"",G2825,E2825))</f>
        <v/>
      </c>
      <c r="J2825" s="21" t="str">
        <f aca="false">IF(B2825="","",IF(H2825&lt;&gt;"",H2825,F2825))</f>
        <v/>
      </c>
      <c r="K2825" s="26" t="str">
        <f aca="false">IF(A2825="","",DATE(YEAR(A2825),MONTH(A2825),1))</f>
        <v/>
      </c>
      <c r="L2825" s="21" t="str">
        <f aca="false">IF(J2825="",IF(B2825="","",IF(N(C2825)&gt;=0,"Income","Expense")),IFERROR(INDEX(Lists!$B$2:$B$30,MATCH(J2825,Lists!$A$2:$A$30,0)),""))</f>
        <v/>
      </c>
      <c r="M2825" s="24"/>
      <c r="N2825" s="27" t="str">
        <f aca="false">IF(B2825="","",IFERROR(1000-SUMPRODUCT(MAX(ISNUMBER(SEARCH(Rules!$A$5:$A$204,B2825))*(Rules!$A$5:$A$204&lt;&gt;"")*(1000-ROW(Rules!$A$5:$A$204)))),""))</f>
        <v/>
      </c>
    </row>
    <row r="2826" customFormat="false" ht="15" hidden="false" customHeight="false" outlineLevel="0" collapsed="false">
      <c r="A2826" s="23"/>
      <c r="B2826" s="24"/>
      <c r="C2826" s="25"/>
      <c r="D2826" s="24"/>
      <c r="E2826" s="21" t="str">
        <f aca="false">IF(OR(B2826="",N(N2826)=0,N2826=1000),IF(B2826="","","Check"),INDEX(Rules!$B:$B,N2826))</f>
        <v/>
      </c>
      <c r="F2826" s="21" t="str">
        <f aca="false">IF(OR(B2826="",N(N2826)=0,N2826=1000),"",INDEX(Rules!$C:$C,N2826))</f>
        <v/>
      </c>
      <c r="G2826" s="24"/>
      <c r="H2826" s="24"/>
      <c r="I2826" s="20" t="str">
        <f aca="false">IF(B2826="","",IF(G2826&lt;&gt;"",G2826,E2826))</f>
        <v/>
      </c>
      <c r="J2826" s="21" t="str">
        <f aca="false">IF(B2826="","",IF(H2826&lt;&gt;"",H2826,F2826))</f>
        <v/>
      </c>
      <c r="K2826" s="26" t="str">
        <f aca="false">IF(A2826="","",DATE(YEAR(A2826),MONTH(A2826),1))</f>
        <v/>
      </c>
      <c r="L2826" s="21" t="str">
        <f aca="false">IF(J2826="",IF(B2826="","",IF(N(C2826)&gt;=0,"Income","Expense")),IFERROR(INDEX(Lists!$B$2:$B$30,MATCH(J2826,Lists!$A$2:$A$30,0)),""))</f>
        <v/>
      </c>
      <c r="M2826" s="24"/>
      <c r="N2826" s="27" t="str">
        <f aca="false">IF(B2826="","",IFERROR(1000-SUMPRODUCT(MAX(ISNUMBER(SEARCH(Rules!$A$5:$A$204,B2826))*(Rules!$A$5:$A$204&lt;&gt;"")*(1000-ROW(Rules!$A$5:$A$204)))),""))</f>
        <v/>
      </c>
    </row>
    <row r="2827" customFormat="false" ht="15" hidden="false" customHeight="false" outlineLevel="0" collapsed="false">
      <c r="A2827" s="23"/>
      <c r="B2827" s="24"/>
      <c r="C2827" s="25"/>
      <c r="D2827" s="24"/>
      <c r="E2827" s="21" t="str">
        <f aca="false">IF(OR(B2827="",N(N2827)=0,N2827=1000),IF(B2827="","","Check"),INDEX(Rules!$B:$B,N2827))</f>
        <v/>
      </c>
      <c r="F2827" s="21" t="str">
        <f aca="false">IF(OR(B2827="",N(N2827)=0,N2827=1000),"",INDEX(Rules!$C:$C,N2827))</f>
        <v/>
      </c>
      <c r="G2827" s="24"/>
      <c r="H2827" s="24"/>
      <c r="I2827" s="20" t="str">
        <f aca="false">IF(B2827="","",IF(G2827&lt;&gt;"",G2827,E2827))</f>
        <v/>
      </c>
      <c r="J2827" s="21" t="str">
        <f aca="false">IF(B2827="","",IF(H2827&lt;&gt;"",H2827,F2827))</f>
        <v/>
      </c>
      <c r="K2827" s="26" t="str">
        <f aca="false">IF(A2827="","",DATE(YEAR(A2827),MONTH(A2827),1))</f>
        <v/>
      </c>
      <c r="L2827" s="21" t="str">
        <f aca="false">IF(J2827="",IF(B2827="","",IF(N(C2827)&gt;=0,"Income","Expense")),IFERROR(INDEX(Lists!$B$2:$B$30,MATCH(J2827,Lists!$A$2:$A$30,0)),""))</f>
        <v/>
      </c>
      <c r="M2827" s="24"/>
      <c r="N2827" s="27" t="str">
        <f aca="false">IF(B2827="","",IFERROR(1000-SUMPRODUCT(MAX(ISNUMBER(SEARCH(Rules!$A$5:$A$204,B2827))*(Rules!$A$5:$A$204&lt;&gt;"")*(1000-ROW(Rules!$A$5:$A$204)))),""))</f>
        <v/>
      </c>
    </row>
    <row r="2828" customFormat="false" ht="15" hidden="false" customHeight="false" outlineLevel="0" collapsed="false">
      <c r="A2828" s="23"/>
      <c r="B2828" s="24"/>
      <c r="C2828" s="25"/>
      <c r="D2828" s="24"/>
      <c r="E2828" s="21" t="str">
        <f aca="false">IF(OR(B2828="",N(N2828)=0,N2828=1000),IF(B2828="","","Check"),INDEX(Rules!$B:$B,N2828))</f>
        <v/>
      </c>
      <c r="F2828" s="21" t="str">
        <f aca="false">IF(OR(B2828="",N(N2828)=0,N2828=1000),"",INDEX(Rules!$C:$C,N2828))</f>
        <v/>
      </c>
      <c r="G2828" s="24"/>
      <c r="H2828" s="24"/>
      <c r="I2828" s="20" t="str">
        <f aca="false">IF(B2828="","",IF(G2828&lt;&gt;"",G2828,E2828))</f>
        <v/>
      </c>
      <c r="J2828" s="21" t="str">
        <f aca="false">IF(B2828="","",IF(H2828&lt;&gt;"",H2828,F2828))</f>
        <v/>
      </c>
      <c r="K2828" s="26" t="str">
        <f aca="false">IF(A2828="","",DATE(YEAR(A2828),MONTH(A2828),1))</f>
        <v/>
      </c>
      <c r="L2828" s="21" t="str">
        <f aca="false">IF(J2828="",IF(B2828="","",IF(N(C2828)&gt;=0,"Income","Expense")),IFERROR(INDEX(Lists!$B$2:$B$30,MATCH(J2828,Lists!$A$2:$A$30,0)),""))</f>
        <v/>
      </c>
      <c r="M2828" s="24"/>
      <c r="N2828" s="27" t="str">
        <f aca="false">IF(B2828="","",IFERROR(1000-SUMPRODUCT(MAX(ISNUMBER(SEARCH(Rules!$A$5:$A$204,B2828))*(Rules!$A$5:$A$204&lt;&gt;"")*(1000-ROW(Rules!$A$5:$A$204)))),""))</f>
        <v/>
      </c>
    </row>
    <row r="2829" customFormat="false" ht="15" hidden="false" customHeight="false" outlineLevel="0" collapsed="false">
      <c r="A2829" s="23"/>
      <c r="B2829" s="24"/>
      <c r="C2829" s="25"/>
      <c r="D2829" s="24"/>
      <c r="E2829" s="21" t="str">
        <f aca="false">IF(OR(B2829="",N(N2829)=0,N2829=1000),IF(B2829="","","Check"),INDEX(Rules!$B:$B,N2829))</f>
        <v/>
      </c>
      <c r="F2829" s="21" t="str">
        <f aca="false">IF(OR(B2829="",N(N2829)=0,N2829=1000),"",INDEX(Rules!$C:$C,N2829))</f>
        <v/>
      </c>
      <c r="G2829" s="24"/>
      <c r="H2829" s="24"/>
      <c r="I2829" s="20" t="str">
        <f aca="false">IF(B2829="","",IF(G2829&lt;&gt;"",G2829,E2829))</f>
        <v/>
      </c>
      <c r="J2829" s="21" t="str">
        <f aca="false">IF(B2829="","",IF(H2829&lt;&gt;"",H2829,F2829))</f>
        <v/>
      </c>
      <c r="K2829" s="26" t="str">
        <f aca="false">IF(A2829="","",DATE(YEAR(A2829),MONTH(A2829),1))</f>
        <v/>
      </c>
      <c r="L2829" s="21" t="str">
        <f aca="false">IF(J2829="",IF(B2829="","",IF(N(C2829)&gt;=0,"Income","Expense")),IFERROR(INDEX(Lists!$B$2:$B$30,MATCH(J2829,Lists!$A$2:$A$30,0)),""))</f>
        <v/>
      </c>
      <c r="M2829" s="24"/>
      <c r="N2829" s="27" t="str">
        <f aca="false">IF(B2829="","",IFERROR(1000-SUMPRODUCT(MAX(ISNUMBER(SEARCH(Rules!$A$5:$A$204,B2829))*(Rules!$A$5:$A$204&lt;&gt;"")*(1000-ROW(Rules!$A$5:$A$204)))),""))</f>
        <v/>
      </c>
    </row>
    <row r="2830" customFormat="false" ht="15" hidden="false" customHeight="false" outlineLevel="0" collapsed="false">
      <c r="A2830" s="23"/>
      <c r="B2830" s="24"/>
      <c r="C2830" s="25"/>
      <c r="D2830" s="24"/>
      <c r="E2830" s="21" t="str">
        <f aca="false">IF(OR(B2830="",N(N2830)=0,N2830=1000),IF(B2830="","","Check"),INDEX(Rules!$B:$B,N2830))</f>
        <v/>
      </c>
      <c r="F2830" s="21" t="str">
        <f aca="false">IF(OR(B2830="",N(N2830)=0,N2830=1000),"",INDEX(Rules!$C:$C,N2830))</f>
        <v/>
      </c>
      <c r="G2830" s="24"/>
      <c r="H2830" s="24"/>
      <c r="I2830" s="20" t="str">
        <f aca="false">IF(B2830="","",IF(G2830&lt;&gt;"",G2830,E2830))</f>
        <v/>
      </c>
      <c r="J2830" s="21" t="str">
        <f aca="false">IF(B2830="","",IF(H2830&lt;&gt;"",H2830,F2830))</f>
        <v/>
      </c>
      <c r="K2830" s="26" t="str">
        <f aca="false">IF(A2830="","",DATE(YEAR(A2830),MONTH(A2830),1))</f>
        <v/>
      </c>
      <c r="L2830" s="21" t="str">
        <f aca="false">IF(J2830="",IF(B2830="","",IF(N(C2830)&gt;=0,"Income","Expense")),IFERROR(INDEX(Lists!$B$2:$B$30,MATCH(J2830,Lists!$A$2:$A$30,0)),""))</f>
        <v/>
      </c>
      <c r="M2830" s="24"/>
      <c r="N2830" s="27" t="str">
        <f aca="false">IF(B2830="","",IFERROR(1000-SUMPRODUCT(MAX(ISNUMBER(SEARCH(Rules!$A$5:$A$204,B2830))*(Rules!$A$5:$A$204&lt;&gt;"")*(1000-ROW(Rules!$A$5:$A$204)))),""))</f>
        <v/>
      </c>
    </row>
    <row r="2831" customFormat="false" ht="15" hidden="false" customHeight="false" outlineLevel="0" collapsed="false">
      <c r="A2831" s="23"/>
      <c r="B2831" s="24"/>
      <c r="C2831" s="25"/>
      <c r="D2831" s="24"/>
      <c r="E2831" s="21" t="str">
        <f aca="false">IF(OR(B2831="",N(N2831)=0,N2831=1000),IF(B2831="","","Check"),INDEX(Rules!$B:$B,N2831))</f>
        <v/>
      </c>
      <c r="F2831" s="21" t="str">
        <f aca="false">IF(OR(B2831="",N(N2831)=0,N2831=1000),"",INDEX(Rules!$C:$C,N2831))</f>
        <v/>
      </c>
      <c r="G2831" s="24"/>
      <c r="H2831" s="24"/>
      <c r="I2831" s="20" t="str">
        <f aca="false">IF(B2831="","",IF(G2831&lt;&gt;"",G2831,E2831))</f>
        <v/>
      </c>
      <c r="J2831" s="21" t="str">
        <f aca="false">IF(B2831="","",IF(H2831&lt;&gt;"",H2831,F2831))</f>
        <v/>
      </c>
      <c r="K2831" s="26" t="str">
        <f aca="false">IF(A2831="","",DATE(YEAR(A2831),MONTH(A2831),1))</f>
        <v/>
      </c>
      <c r="L2831" s="21" t="str">
        <f aca="false">IF(J2831="",IF(B2831="","",IF(N(C2831)&gt;=0,"Income","Expense")),IFERROR(INDEX(Lists!$B$2:$B$30,MATCH(J2831,Lists!$A$2:$A$30,0)),""))</f>
        <v/>
      </c>
      <c r="M2831" s="24"/>
      <c r="N2831" s="27" t="str">
        <f aca="false">IF(B2831="","",IFERROR(1000-SUMPRODUCT(MAX(ISNUMBER(SEARCH(Rules!$A$5:$A$204,B2831))*(Rules!$A$5:$A$204&lt;&gt;"")*(1000-ROW(Rules!$A$5:$A$204)))),""))</f>
        <v/>
      </c>
    </row>
    <row r="2832" customFormat="false" ht="15" hidden="false" customHeight="false" outlineLevel="0" collapsed="false">
      <c r="A2832" s="23"/>
      <c r="B2832" s="24"/>
      <c r="C2832" s="25"/>
      <c r="D2832" s="24"/>
      <c r="E2832" s="21" t="str">
        <f aca="false">IF(OR(B2832="",N(N2832)=0,N2832=1000),IF(B2832="","","Check"),INDEX(Rules!$B:$B,N2832))</f>
        <v/>
      </c>
      <c r="F2832" s="21" t="str">
        <f aca="false">IF(OR(B2832="",N(N2832)=0,N2832=1000),"",INDEX(Rules!$C:$C,N2832))</f>
        <v/>
      </c>
      <c r="G2832" s="24"/>
      <c r="H2832" s="24"/>
      <c r="I2832" s="20" t="str">
        <f aca="false">IF(B2832="","",IF(G2832&lt;&gt;"",G2832,E2832))</f>
        <v/>
      </c>
      <c r="J2832" s="21" t="str">
        <f aca="false">IF(B2832="","",IF(H2832&lt;&gt;"",H2832,F2832))</f>
        <v/>
      </c>
      <c r="K2832" s="26" t="str">
        <f aca="false">IF(A2832="","",DATE(YEAR(A2832),MONTH(A2832),1))</f>
        <v/>
      </c>
      <c r="L2832" s="21" t="str">
        <f aca="false">IF(J2832="",IF(B2832="","",IF(N(C2832)&gt;=0,"Income","Expense")),IFERROR(INDEX(Lists!$B$2:$B$30,MATCH(J2832,Lists!$A$2:$A$30,0)),""))</f>
        <v/>
      </c>
      <c r="M2832" s="24"/>
      <c r="N2832" s="27" t="str">
        <f aca="false">IF(B2832="","",IFERROR(1000-SUMPRODUCT(MAX(ISNUMBER(SEARCH(Rules!$A$5:$A$204,B2832))*(Rules!$A$5:$A$204&lt;&gt;"")*(1000-ROW(Rules!$A$5:$A$204)))),""))</f>
        <v/>
      </c>
    </row>
    <row r="2833" customFormat="false" ht="15" hidden="false" customHeight="false" outlineLevel="0" collapsed="false">
      <c r="A2833" s="23"/>
      <c r="B2833" s="24"/>
      <c r="C2833" s="25"/>
      <c r="D2833" s="24"/>
      <c r="E2833" s="21" t="str">
        <f aca="false">IF(OR(B2833="",N(N2833)=0,N2833=1000),IF(B2833="","","Check"),INDEX(Rules!$B:$B,N2833))</f>
        <v/>
      </c>
      <c r="F2833" s="21" t="str">
        <f aca="false">IF(OR(B2833="",N(N2833)=0,N2833=1000),"",INDEX(Rules!$C:$C,N2833))</f>
        <v/>
      </c>
      <c r="G2833" s="24"/>
      <c r="H2833" s="24"/>
      <c r="I2833" s="20" t="str">
        <f aca="false">IF(B2833="","",IF(G2833&lt;&gt;"",G2833,E2833))</f>
        <v/>
      </c>
      <c r="J2833" s="21" t="str">
        <f aca="false">IF(B2833="","",IF(H2833&lt;&gt;"",H2833,F2833))</f>
        <v/>
      </c>
      <c r="K2833" s="26" t="str">
        <f aca="false">IF(A2833="","",DATE(YEAR(A2833),MONTH(A2833),1))</f>
        <v/>
      </c>
      <c r="L2833" s="21" t="str">
        <f aca="false">IF(J2833="",IF(B2833="","",IF(N(C2833)&gt;=0,"Income","Expense")),IFERROR(INDEX(Lists!$B$2:$B$30,MATCH(J2833,Lists!$A$2:$A$30,0)),""))</f>
        <v/>
      </c>
      <c r="M2833" s="24"/>
      <c r="N2833" s="27" t="str">
        <f aca="false">IF(B2833="","",IFERROR(1000-SUMPRODUCT(MAX(ISNUMBER(SEARCH(Rules!$A$5:$A$204,B2833))*(Rules!$A$5:$A$204&lt;&gt;"")*(1000-ROW(Rules!$A$5:$A$204)))),""))</f>
        <v/>
      </c>
    </row>
    <row r="2834" customFormat="false" ht="15" hidden="false" customHeight="false" outlineLevel="0" collapsed="false">
      <c r="A2834" s="23"/>
      <c r="B2834" s="24"/>
      <c r="C2834" s="25"/>
      <c r="D2834" s="24"/>
      <c r="E2834" s="21" t="str">
        <f aca="false">IF(OR(B2834="",N(N2834)=0,N2834=1000),IF(B2834="","","Check"),INDEX(Rules!$B:$B,N2834))</f>
        <v/>
      </c>
      <c r="F2834" s="21" t="str">
        <f aca="false">IF(OR(B2834="",N(N2834)=0,N2834=1000),"",INDEX(Rules!$C:$C,N2834))</f>
        <v/>
      </c>
      <c r="G2834" s="24"/>
      <c r="H2834" s="24"/>
      <c r="I2834" s="20" t="str">
        <f aca="false">IF(B2834="","",IF(G2834&lt;&gt;"",G2834,E2834))</f>
        <v/>
      </c>
      <c r="J2834" s="21" t="str">
        <f aca="false">IF(B2834="","",IF(H2834&lt;&gt;"",H2834,F2834))</f>
        <v/>
      </c>
      <c r="K2834" s="26" t="str">
        <f aca="false">IF(A2834="","",DATE(YEAR(A2834),MONTH(A2834),1))</f>
        <v/>
      </c>
      <c r="L2834" s="21" t="str">
        <f aca="false">IF(J2834="",IF(B2834="","",IF(N(C2834)&gt;=0,"Income","Expense")),IFERROR(INDEX(Lists!$B$2:$B$30,MATCH(J2834,Lists!$A$2:$A$30,0)),""))</f>
        <v/>
      </c>
      <c r="M2834" s="24"/>
      <c r="N2834" s="27" t="str">
        <f aca="false">IF(B2834="","",IFERROR(1000-SUMPRODUCT(MAX(ISNUMBER(SEARCH(Rules!$A$5:$A$204,B2834))*(Rules!$A$5:$A$204&lt;&gt;"")*(1000-ROW(Rules!$A$5:$A$204)))),""))</f>
        <v/>
      </c>
    </row>
    <row r="2835" customFormat="false" ht="15" hidden="false" customHeight="false" outlineLevel="0" collapsed="false">
      <c r="A2835" s="23"/>
      <c r="B2835" s="24"/>
      <c r="C2835" s="25"/>
      <c r="D2835" s="24"/>
      <c r="E2835" s="21" t="str">
        <f aca="false">IF(OR(B2835="",N(N2835)=0,N2835=1000),IF(B2835="","","Check"),INDEX(Rules!$B:$B,N2835))</f>
        <v/>
      </c>
      <c r="F2835" s="21" t="str">
        <f aca="false">IF(OR(B2835="",N(N2835)=0,N2835=1000),"",INDEX(Rules!$C:$C,N2835))</f>
        <v/>
      </c>
      <c r="G2835" s="24"/>
      <c r="H2835" s="24"/>
      <c r="I2835" s="20" t="str">
        <f aca="false">IF(B2835="","",IF(G2835&lt;&gt;"",G2835,E2835))</f>
        <v/>
      </c>
      <c r="J2835" s="21" t="str">
        <f aca="false">IF(B2835="","",IF(H2835&lt;&gt;"",H2835,F2835))</f>
        <v/>
      </c>
      <c r="K2835" s="26" t="str">
        <f aca="false">IF(A2835="","",DATE(YEAR(A2835),MONTH(A2835),1))</f>
        <v/>
      </c>
      <c r="L2835" s="21" t="str">
        <f aca="false">IF(J2835="",IF(B2835="","",IF(N(C2835)&gt;=0,"Income","Expense")),IFERROR(INDEX(Lists!$B$2:$B$30,MATCH(J2835,Lists!$A$2:$A$30,0)),""))</f>
        <v/>
      </c>
      <c r="M2835" s="24"/>
      <c r="N2835" s="27" t="str">
        <f aca="false">IF(B2835="","",IFERROR(1000-SUMPRODUCT(MAX(ISNUMBER(SEARCH(Rules!$A$5:$A$204,B2835))*(Rules!$A$5:$A$204&lt;&gt;"")*(1000-ROW(Rules!$A$5:$A$204)))),""))</f>
        <v/>
      </c>
    </row>
    <row r="2836" customFormat="false" ht="15" hidden="false" customHeight="false" outlineLevel="0" collapsed="false">
      <c r="A2836" s="23"/>
      <c r="B2836" s="24"/>
      <c r="C2836" s="25"/>
      <c r="D2836" s="24"/>
      <c r="E2836" s="21" t="str">
        <f aca="false">IF(OR(B2836="",N(N2836)=0,N2836=1000),IF(B2836="","","Check"),INDEX(Rules!$B:$B,N2836))</f>
        <v/>
      </c>
      <c r="F2836" s="21" t="str">
        <f aca="false">IF(OR(B2836="",N(N2836)=0,N2836=1000),"",INDEX(Rules!$C:$C,N2836))</f>
        <v/>
      </c>
      <c r="G2836" s="24"/>
      <c r="H2836" s="24"/>
      <c r="I2836" s="20" t="str">
        <f aca="false">IF(B2836="","",IF(G2836&lt;&gt;"",G2836,E2836))</f>
        <v/>
      </c>
      <c r="J2836" s="21" t="str">
        <f aca="false">IF(B2836="","",IF(H2836&lt;&gt;"",H2836,F2836))</f>
        <v/>
      </c>
      <c r="K2836" s="26" t="str">
        <f aca="false">IF(A2836="","",DATE(YEAR(A2836),MONTH(A2836),1))</f>
        <v/>
      </c>
      <c r="L2836" s="21" t="str">
        <f aca="false">IF(J2836="",IF(B2836="","",IF(N(C2836)&gt;=0,"Income","Expense")),IFERROR(INDEX(Lists!$B$2:$B$30,MATCH(J2836,Lists!$A$2:$A$30,0)),""))</f>
        <v/>
      </c>
      <c r="M2836" s="24"/>
      <c r="N2836" s="27" t="str">
        <f aca="false">IF(B2836="","",IFERROR(1000-SUMPRODUCT(MAX(ISNUMBER(SEARCH(Rules!$A$5:$A$204,B2836))*(Rules!$A$5:$A$204&lt;&gt;"")*(1000-ROW(Rules!$A$5:$A$204)))),""))</f>
        <v/>
      </c>
    </row>
    <row r="2837" customFormat="false" ht="15" hidden="false" customHeight="false" outlineLevel="0" collapsed="false">
      <c r="A2837" s="23"/>
      <c r="B2837" s="24"/>
      <c r="C2837" s="25"/>
      <c r="D2837" s="24"/>
      <c r="E2837" s="21" t="str">
        <f aca="false">IF(OR(B2837="",N(N2837)=0,N2837=1000),IF(B2837="","","Check"),INDEX(Rules!$B:$B,N2837))</f>
        <v/>
      </c>
      <c r="F2837" s="21" t="str">
        <f aca="false">IF(OR(B2837="",N(N2837)=0,N2837=1000),"",INDEX(Rules!$C:$C,N2837))</f>
        <v/>
      </c>
      <c r="G2837" s="24"/>
      <c r="H2837" s="24"/>
      <c r="I2837" s="20" t="str">
        <f aca="false">IF(B2837="","",IF(G2837&lt;&gt;"",G2837,E2837))</f>
        <v/>
      </c>
      <c r="J2837" s="21" t="str">
        <f aca="false">IF(B2837="","",IF(H2837&lt;&gt;"",H2837,F2837))</f>
        <v/>
      </c>
      <c r="K2837" s="26" t="str">
        <f aca="false">IF(A2837="","",DATE(YEAR(A2837),MONTH(A2837),1))</f>
        <v/>
      </c>
      <c r="L2837" s="21" t="str">
        <f aca="false">IF(J2837="",IF(B2837="","",IF(N(C2837)&gt;=0,"Income","Expense")),IFERROR(INDEX(Lists!$B$2:$B$30,MATCH(J2837,Lists!$A$2:$A$30,0)),""))</f>
        <v/>
      </c>
      <c r="M2837" s="24"/>
      <c r="N2837" s="27" t="str">
        <f aca="false">IF(B2837="","",IFERROR(1000-SUMPRODUCT(MAX(ISNUMBER(SEARCH(Rules!$A$5:$A$204,B2837))*(Rules!$A$5:$A$204&lt;&gt;"")*(1000-ROW(Rules!$A$5:$A$204)))),""))</f>
        <v/>
      </c>
    </row>
    <row r="2838" customFormat="false" ht="15" hidden="false" customHeight="false" outlineLevel="0" collapsed="false">
      <c r="A2838" s="23"/>
      <c r="B2838" s="24"/>
      <c r="C2838" s="25"/>
      <c r="D2838" s="24"/>
      <c r="E2838" s="21" t="str">
        <f aca="false">IF(OR(B2838="",N(N2838)=0,N2838=1000),IF(B2838="","","Check"),INDEX(Rules!$B:$B,N2838))</f>
        <v/>
      </c>
      <c r="F2838" s="21" t="str">
        <f aca="false">IF(OR(B2838="",N(N2838)=0,N2838=1000),"",INDEX(Rules!$C:$C,N2838))</f>
        <v/>
      </c>
      <c r="G2838" s="24"/>
      <c r="H2838" s="24"/>
      <c r="I2838" s="20" t="str">
        <f aca="false">IF(B2838="","",IF(G2838&lt;&gt;"",G2838,E2838))</f>
        <v/>
      </c>
      <c r="J2838" s="21" t="str">
        <f aca="false">IF(B2838="","",IF(H2838&lt;&gt;"",H2838,F2838))</f>
        <v/>
      </c>
      <c r="K2838" s="26" t="str">
        <f aca="false">IF(A2838="","",DATE(YEAR(A2838),MONTH(A2838),1))</f>
        <v/>
      </c>
      <c r="L2838" s="21" t="str">
        <f aca="false">IF(J2838="",IF(B2838="","",IF(N(C2838)&gt;=0,"Income","Expense")),IFERROR(INDEX(Lists!$B$2:$B$30,MATCH(J2838,Lists!$A$2:$A$30,0)),""))</f>
        <v/>
      </c>
      <c r="M2838" s="24"/>
      <c r="N2838" s="27" t="str">
        <f aca="false">IF(B2838="","",IFERROR(1000-SUMPRODUCT(MAX(ISNUMBER(SEARCH(Rules!$A$5:$A$204,B2838))*(Rules!$A$5:$A$204&lt;&gt;"")*(1000-ROW(Rules!$A$5:$A$204)))),""))</f>
        <v/>
      </c>
    </row>
    <row r="2839" customFormat="false" ht="15" hidden="false" customHeight="false" outlineLevel="0" collapsed="false">
      <c r="A2839" s="23"/>
      <c r="B2839" s="24"/>
      <c r="C2839" s="25"/>
      <c r="D2839" s="24"/>
      <c r="E2839" s="21" t="str">
        <f aca="false">IF(OR(B2839="",N(N2839)=0,N2839=1000),IF(B2839="","","Check"),INDEX(Rules!$B:$B,N2839))</f>
        <v/>
      </c>
      <c r="F2839" s="21" t="str">
        <f aca="false">IF(OR(B2839="",N(N2839)=0,N2839=1000),"",INDEX(Rules!$C:$C,N2839))</f>
        <v/>
      </c>
      <c r="G2839" s="24"/>
      <c r="H2839" s="24"/>
      <c r="I2839" s="20" t="str">
        <f aca="false">IF(B2839="","",IF(G2839&lt;&gt;"",G2839,E2839))</f>
        <v/>
      </c>
      <c r="J2839" s="21" t="str">
        <f aca="false">IF(B2839="","",IF(H2839&lt;&gt;"",H2839,F2839))</f>
        <v/>
      </c>
      <c r="K2839" s="26" t="str">
        <f aca="false">IF(A2839="","",DATE(YEAR(A2839),MONTH(A2839),1))</f>
        <v/>
      </c>
      <c r="L2839" s="21" t="str">
        <f aca="false">IF(J2839="",IF(B2839="","",IF(N(C2839)&gt;=0,"Income","Expense")),IFERROR(INDEX(Lists!$B$2:$B$30,MATCH(J2839,Lists!$A$2:$A$30,0)),""))</f>
        <v/>
      </c>
      <c r="M2839" s="24"/>
      <c r="N2839" s="27" t="str">
        <f aca="false">IF(B2839="","",IFERROR(1000-SUMPRODUCT(MAX(ISNUMBER(SEARCH(Rules!$A$5:$A$204,B2839))*(Rules!$A$5:$A$204&lt;&gt;"")*(1000-ROW(Rules!$A$5:$A$204)))),""))</f>
        <v/>
      </c>
    </row>
    <row r="2840" customFormat="false" ht="15" hidden="false" customHeight="false" outlineLevel="0" collapsed="false">
      <c r="A2840" s="23"/>
      <c r="B2840" s="24"/>
      <c r="C2840" s="25"/>
      <c r="D2840" s="24"/>
      <c r="E2840" s="21" t="str">
        <f aca="false">IF(OR(B2840="",N(N2840)=0,N2840=1000),IF(B2840="","","Check"),INDEX(Rules!$B:$B,N2840))</f>
        <v/>
      </c>
      <c r="F2840" s="21" t="str">
        <f aca="false">IF(OR(B2840="",N(N2840)=0,N2840=1000),"",INDEX(Rules!$C:$C,N2840))</f>
        <v/>
      </c>
      <c r="G2840" s="24"/>
      <c r="H2840" s="24"/>
      <c r="I2840" s="20" t="str">
        <f aca="false">IF(B2840="","",IF(G2840&lt;&gt;"",G2840,E2840))</f>
        <v/>
      </c>
      <c r="J2840" s="21" t="str">
        <f aca="false">IF(B2840="","",IF(H2840&lt;&gt;"",H2840,F2840))</f>
        <v/>
      </c>
      <c r="K2840" s="26" t="str">
        <f aca="false">IF(A2840="","",DATE(YEAR(A2840),MONTH(A2840),1))</f>
        <v/>
      </c>
      <c r="L2840" s="21" t="str">
        <f aca="false">IF(J2840="",IF(B2840="","",IF(N(C2840)&gt;=0,"Income","Expense")),IFERROR(INDEX(Lists!$B$2:$B$30,MATCH(J2840,Lists!$A$2:$A$30,0)),""))</f>
        <v/>
      </c>
      <c r="M2840" s="24"/>
      <c r="N2840" s="27" t="str">
        <f aca="false">IF(B2840="","",IFERROR(1000-SUMPRODUCT(MAX(ISNUMBER(SEARCH(Rules!$A$5:$A$204,B2840))*(Rules!$A$5:$A$204&lt;&gt;"")*(1000-ROW(Rules!$A$5:$A$204)))),""))</f>
        <v/>
      </c>
    </row>
    <row r="2841" customFormat="false" ht="15" hidden="false" customHeight="false" outlineLevel="0" collapsed="false">
      <c r="A2841" s="23"/>
      <c r="B2841" s="24"/>
      <c r="C2841" s="25"/>
      <c r="D2841" s="24"/>
      <c r="E2841" s="21" t="str">
        <f aca="false">IF(OR(B2841="",N(N2841)=0,N2841=1000),IF(B2841="","","Check"),INDEX(Rules!$B:$B,N2841))</f>
        <v/>
      </c>
      <c r="F2841" s="21" t="str">
        <f aca="false">IF(OR(B2841="",N(N2841)=0,N2841=1000),"",INDEX(Rules!$C:$C,N2841))</f>
        <v/>
      </c>
      <c r="G2841" s="24"/>
      <c r="H2841" s="24"/>
      <c r="I2841" s="20" t="str">
        <f aca="false">IF(B2841="","",IF(G2841&lt;&gt;"",G2841,E2841))</f>
        <v/>
      </c>
      <c r="J2841" s="21" t="str">
        <f aca="false">IF(B2841="","",IF(H2841&lt;&gt;"",H2841,F2841))</f>
        <v/>
      </c>
      <c r="K2841" s="26" t="str">
        <f aca="false">IF(A2841="","",DATE(YEAR(A2841),MONTH(A2841),1))</f>
        <v/>
      </c>
      <c r="L2841" s="21" t="str">
        <f aca="false">IF(J2841="",IF(B2841="","",IF(N(C2841)&gt;=0,"Income","Expense")),IFERROR(INDEX(Lists!$B$2:$B$30,MATCH(J2841,Lists!$A$2:$A$30,0)),""))</f>
        <v/>
      </c>
      <c r="M2841" s="24"/>
      <c r="N2841" s="27" t="str">
        <f aca="false">IF(B2841="","",IFERROR(1000-SUMPRODUCT(MAX(ISNUMBER(SEARCH(Rules!$A$5:$A$204,B2841))*(Rules!$A$5:$A$204&lt;&gt;"")*(1000-ROW(Rules!$A$5:$A$204)))),""))</f>
        <v/>
      </c>
    </row>
    <row r="2842" customFormat="false" ht="15" hidden="false" customHeight="false" outlineLevel="0" collapsed="false">
      <c r="A2842" s="23"/>
      <c r="B2842" s="24"/>
      <c r="C2842" s="25"/>
      <c r="D2842" s="24"/>
      <c r="E2842" s="21" t="str">
        <f aca="false">IF(OR(B2842="",N(N2842)=0,N2842=1000),IF(B2842="","","Check"),INDEX(Rules!$B:$B,N2842))</f>
        <v/>
      </c>
      <c r="F2842" s="21" t="str">
        <f aca="false">IF(OR(B2842="",N(N2842)=0,N2842=1000),"",INDEX(Rules!$C:$C,N2842))</f>
        <v/>
      </c>
      <c r="G2842" s="24"/>
      <c r="H2842" s="24"/>
      <c r="I2842" s="20" t="str">
        <f aca="false">IF(B2842="","",IF(G2842&lt;&gt;"",G2842,E2842))</f>
        <v/>
      </c>
      <c r="J2842" s="21" t="str">
        <f aca="false">IF(B2842="","",IF(H2842&lt;&gt;"",H2842,F2842))</f>
        <v/>
      </c>
      <c r="K2842" s="26" t="str">
        <f aca="false">IF(A2842="","",DATE(YEAR(A2842),MONTH(A2842),1))</f>
        <v/>
      </c>
      <c r="L2842" s="21" t="str">
        <f aca="false">IF(J2842="",IF(B2842="","",IF(N(C2842)&gt;=0,"Income","Expense")),IFERROR(INDEX(Lists!$B$2:$B$30,MATCH(J2842,Lists!$A$2:$A$30,0)),""))</f>
        <v/>
      </c>
      <c r="M2842" s="24"/>
      <c r="N2842" s="27" t="str">
        <f aca="false">IF(B2842="","",IFERROR(1000-SUMPRODUCT(MAX(ISNUMBER(SEARCH(Rules!$A$5:$A$204,B2842))*(Rules!$A$5:$A$204&lt;&gt;"")*(1000-ROW(Rules!$A$5:$A$204)))),""))</f>
        <v/>
      </c>
    </row>
    <row r="2843" customFormat="false" ht="15" hidden="false" customHeight="false" outlineLevel="0" collapsed="false">
      <c r="A2843" s="23"/>
      <c r="B2843" s="24"/>
      <c r="C2843" s="25"/>
      <c r="D2843" s="24"/>
      <c r="E2843" s="21" t="str">
        <f aca="false">IF(OR(B2843="",N(N2843)=0,N2843=1000),IF(B2843="","","Check"),INDEX(Rules!$B:$B,N2843))</f>
        <v/>
      </c>
      <c r="F2843" s="21" t="str">
        <f aca="false">IF(OR(B2843="",N(N2843)=0,N2843=1000),"",INDEX(Rules!$C:$C,N2843))</f>
        <v/>
      </c>
      <c r="G2843" s="24"/>
      <c r="H2843" s="24"/>
      <c r="I2843" s="20" t="str">
        <f aca="false">IF(B2843="","",IF(G2843&lt;&gt;"",G2843,E2843))</f>
        <v/>
      </c>
      <c r="J2843" s="21" t="str">
        <f aca="false">IF(B2843="","",IF(H2843&lt;&gt;"",H2843,F2843))</f>
        <v/>
      </c>
      <c r="K2843" s="26" t="str">
        <f aca="false">IF(A2843="","",DATE(YEAR(A2843),MONTH(A2843),1))</f>
        <v/>
      </c>
      <c r="L2843" s="21" t="str">
        <f aca="false">IF(J2843="",IF(B2843="","",IF(N(C2843)&gt;=0,"Income","Expense")),IFERROR(INDEX(Lists!$B$2:$B$30,MATCH(J2843,Lists!$A$2:$A$30,0)),""))</f>
        <v/>
      </c>
      <c r="M2843" s="24"/>
      <c r="N2843" s="27" t="str">
        <f aca="false">IF(B2843="","",IFERROR(1000-SUMPRODUCT(MAX(ISNUMBER(SEARCH(Rules!$A$5:$A$204,B2843))*(Rules!$A$5:$A$204&lt;&gt;"")*(1000-ROW(Rules!$A$5:$A$204)))),""))</f>
        <v/>
      </c>
    </row>
    <row r="2844" customFormat="false" ht="15" hidden="false" customHeight="false" outlineLevel="0" collapsed="false">
      <c r="A2844" s="23"/>
      <c r="B2844" s="24"/>
      <c r="C2844" s="25"/>
      <c r="D2844" s="24"/>
      <c r="E2844" s="21" t="str">
        <f aca="false">IF(OR(B2844="",N(N2844)=0,N2844=1000),IF(B2844="","","Check"),INDEX(Rules!$B:$B,N2844))</f>
        <v/>
      </c>
      <c r="F2844" s="21" t="str">
        <f aca="false">IF(OR(B2844="",N(N2844)=0,N2844=1000),"",INDEX(Rules!$C:$C,N2844))</f>
        <v/>
      </c>
      <c r="G2844" s="24"/>
      <c r="H2844" s="24"/>
      <c r="I2844" s="20" t="str">
        <f aca="false">IF(B2844="","",IF(G2844&lt;&gt;"",G2844,E2844))</f>
        <v/>
      </c>
      <c r="J2844" s="21" t="str">
        <f aca="false">IF(B2844="","",IF(H2844&lt;&gt;"",H2844,F2844))</f>
        <v/>
      </c>
      <c r="K2844" s="26" t="str">
        <f aca="false">IF(A2844="","",DATE(YEAR(A2844),MONTH(A2844),1))</f>
        <v/>
      </c>
      <c r="L2844" s="21" t="str">
        <f aca="false">IF(J2844="",IF(B2844="","",IF(N(C2844)&gt;=0,"Income","Expense")),IFERROR(INDEX(Lists!$B$2:$B$30,MATCH(J2844,Lists!$A$2:$A$30,0)),""))</f>
        <v/>
      </c>
      <c r="M2844" s="24"/>
      <c r="N2844" s="27" t="str">
        <f aca="false">IF(B2844="","",IFERROR(1000-SUMPRODUCT(MAX(ISNUMBER(SEARCH(Rules!$A$5:$A$204,B2844))*(Rules!$A$5:$A$204&lt;&gt;"")*(1000-ROW(Rules!$A$5:$A$204)))),""))</f>
        <v/>
      </c>
    </row>
    <row r="2845" customFormat="false" ht="15" hidden="false" customHeight="false" outlineLevel="0" collapsed="false">
      <c r="A2845" s="23"/>
      <c r="B2845" s="24"/>
      <c r="C2845" s="25"/>
      <c r="D2845" s="24"/>
      <c r="E2845" s="21" t="str">
        <f aca="false">IF(OR(B2845="",N(N2845)=0,N2845=1000),IF(B2845="","","Check"),INDEX(Rules!$B:$B,N2845))</f>
        <v/>
      </c>
      <c r="F2845" s="21" t="str">
        <f aca="false">IF(OR(B2845="",N(N2845)=0,N2845=1000),"",INDEX(Rules!$C:$C,N2845))</f>
        <v/>
      </c>
      <c r="G2845" s="24"/>
      <c r="H2845" s="24"/>
      <c r="I2845" s="20" t="str">
        <f aca="false">IF(B2845="","",IF(G2845&lt;&gt;"",G2845,E2845))</f>
        <v/>
      </c>
      <c r="J2845" s="21" t="str">
        <f aca="false">IF(B2845="","",IF(H2845&lt;&gt;"",H2845,F2845))</f>
        <v/>
      </c>
      <c r="K2845" s="26" t="str">
        <f aca="false">IF(A2845="","",DATE(YEAR(A2845),MONTH(A2845),1))</f>
        <v/>
      </c>
      <c r="L2845" s="21" t="str">
        <f aca="false">IF(J2845="",IF(B2845="","",IF(N(C2845)&gt;=0,"Income","Expense")),IFERROR(INDEX(Lists!$B$2:$B$30,MATCH(J2845,Lists!$A$2:$A$30,0)),""))</f>
        <v/>
      </c>
      <c r="M2845" s="24"/>
      <c r="N2845" s="27" t="str">
        <f aca="false">IF(B2845="","",IFERROR(1000-SUMPRODUCT(MAX(ISNUMBER(SEARCH(Rules!$A$5:$A$204,B2845))*(Rules!$A$5:$A$204&lt;&gt;"")*(1000-ROW(Rules!$A$5:$A$204)))),""))</f>
        <v/>
      </c>
    </row>
    <row r="2846" customFormat="false" ht="15" hidden="false" customHeight="false" outlineLevel="0" collapsed="false">
      <c r="A2846" s="23"/>
      <c r="B2846" s="24"/>
      <c r="C2846" s="25"/>
      <c r="D2846" s="24"/>
      <c r="E2846" s="21" t="str">
        <f aca="false">IF(OR(B2846="",N(N2846)=0,N2846=1000),IF(B2846="","","Check"),INDEX(Rules!$B:$B,N2846))</f>
        <v/>
      </c>
      <c r="F2846" s="21" t="str">
        <f aca="false">IF(OR(B2846="",N(N2846)=0,N2846=1000),"",INDEX(Rules!$C:$C,N2846))</f>
        <v/>
      </c>
      <c r="G2846" s="24"/>
      <c r="H2846" s="24"/>
      <c r="I2846" s="20" t="str">
        <f aca="false">IF(B2846="","",IF(G2846&lt;&gt;"",G2846,E2846))</f>
        <v/>
      </c>
      <c r="J2846" s="21" t="str">
        <f aca="false">IF(B2846="","",IF(H2846&lt;&gt;"",H2846,F2846))</f>
        <v/>
      </c>
      <c r="K2846" s="26" t="str">
        <f aca="false">IF(A2846="","",DATE(YEAR(A2846),MONTH(A2846),1))</f>
        <v/>
      </c>
      <c r="L2846" s="21" t="str">
        <f aca="false">IF(J2846="",IF(B2846="","",IF(N(C2846)&gt;=0,"Income","Expense")),IFERROR(INDEX(Lists!$B$2:$B$30,MATCH(J2846,Lists!$A$2:$A$30,0)),""))</f>
        <v/>
      </c>
      <c r="M2846" s="24"/>
      <c r="N2846" s="27" t="str">
        <f aca="false">IF(B2846="","",IFERROR(1000-SUMPRODUCT(MAX(ISNUMBER(SEARCH(Rules!$A$5:$A$204,B2846))*(Rules!$A$5:$A$204&lt;&gt;"")*(1000-ROW(Rules!$A$5:$A$204)))),""))</f>
        <v/>
      </c>
    </row>
    <row r="2847" customFormat="false" ht="15" hidden="false" customHeight="false" outlineLevel="0" collapsed="false">
      <c r="A2847" s="23"/>
      <c r="B2847" s="24"/>
      <c r="C2847" s="25"/>
      <c r="D2847" s="24"/>
      <c r="E2847" s="21" t="str">
        <f aca="false">IF(OR(B2847="",N(N2847)=0,N2847=1000),IF(B2847="","","Check"),INDEX(Rules!$B:$B,N2847))</f>
        <v/>
      </c>
      <c r="F2847" s="21" t="str">
        <f aca="false">IF(OR(B2847="",N(N2847)=0,N2847=1000),"",INDEX(Rules!$C:$C,N2847))</f>
        <v/>
      </c>
      <c r="G2847" s="24"/>
      <c r="H2847" s="24"/>
      <c r="I2847" s="20" t="str">
        <f aca="false">IF(B2847="","",IF(G2847&lt;&gt;"",G2847,E2847))</f>
        <v/>
      </c>
      <c r="J2847" s="21" t="str">
        <f aca="false">IF(B2847="","",IF(H2847&lt;&gt;"",H2847,F2847))</f>
        <v/>
      </c>
      <c r="K2847" s="26" t="str">
        <f aca="false">IF(A2847="","",DATE(YEAR(A2847),MONTH(A2847),1))</f>
        <v/>
      </c>
      <c r="L2847" s="21" t="str">
        <f aca="false">IF(J2847="",IF(B2847="","",IF(N(C2847)&gt;=0,"Income","Expense")),IFERROR(INDEX(Lists!$B$2:$B$30,MATCH(J2847,Lists!$A$2:$A$30,0)),""))</f>
        <v/>
      </c>
      <c r="M2847" s="24"/>
      <c r="N2847" s="27" t="str">
        <f aca="false">IF(B2847="","",IFERROR(1000-SUMPRODUCT(MAX(ISNUMBER(SEARCH(Rules!$A$5:$A$204,B2847))*(Rules!$A$5:$A$204&lt;&gt;"")*(1000-ROW(Rules!$A$5:$A$204)))),""))</f>
        <v/>
      </c>
    </row>
    <row r="2848" customFormat="false" ht="15" hidden="false" customHeight="false" outlineLevel="0" collapsed="false">
      <c r="A2848" s="23"/>
      <c r="B2848" s="24"/>
      <c r="C2848" s="25"/>
      <c r="D2848" s="24"/>
      <c r="E2848" s="21" t="str">
        <f aca="false">IF(OR(B2848="",N(N2848)=0,N2848=1000),IF(B2848="","","Check"),INDEX(Rules!$B:$B,N2848))</f>
        <v/>
      </c>
      <c r="F2848" s="21" t="str">
        <f aca="false">IF(OR(B2848="",N(N2848)=0,N2848=1000),"",INDEX(Rules!$C:$C,N2848))</f>
        <v/>
      </c>
      <c r="G2848" s="24"/>
      <c r="H2848" s="24"/>
      <c r="I2848" s="20" t="str">
        <f aca="false">IF(B2848="","",IF(G2848&lt;&gt;"",G2848,E2848))</f>
        <v/>
      </c>
      <c r="J2848" s="21" t="str">
        <f aca="false">IF(B2848="","",IF(H2848&lt;&gt;"",H2848,F2848))</f>
        <v/>
      </c>
      <c r="K2848" s="26" t="str">
        <f aca="false">IF(A2848="","",DATE(YEAR(A2848),MONTH(A2848),1))</f>
        <v/>
      </c>
      <c r="L2848" s="21" t="str">
        <f aca="false">IF(J2848="",IF(B2848="","",IF(N(C2848)&gt;=0,"Income","Expense")),IFERROR(INDEX(Lists!$B$2:$B$30,MATCH(J2848,Lists!$A$2:$A$30,0)),""))</f>
        <v/>
      </c>
      <c r="M2848" s="24"/>
      <c r="N2848" s="27" t="str">
        <f aca="false">IF(B2848="","",IFERROR(1000-SUMPRODUCT(MAX(ISNUMBER(SEARCH(Rules!$A$5:$A$204,B2848))*(Rules!$A$5:$A$204&lt;&gt;"")*(1000-ROW(Rules!$A$5:$A$204)))),""))</f>
        <v/>
      </c>
    </row>
    <row r="2849" customFormat="false" ht="15" hidden="false" customHeight="false" outlineLevel="0" collapsed="false">
      <c r="A2849" s="23"/>
      <c r="B2849" s="24"/>
      <c r="C2849" s="25"/>
      <c r="D2849" s="24"/>
      <c r="E2849" s="21" t="str">
        <f aca="false">IF(OR(B2849="",N(N2849)=0,N2849=1000),IF(B2849="","","Check"),INDEX(Rules!$B:$B,N2849))</f>
        <v/>
      </c>
      <c r="F2849" s="21" t="str">
        <f aca="false">IF(OR(B2849="",N(N2849)=0,N2849=1000),"",INDEX(Rules!$C:$C,N2849))</f>
        <v/>
      </c>
      <c r="G2849" s="24"/>
      <c r="H2849" s="24"/>
      <c r="I2849" s="20" t="str">
        <f aca="false">IF(B2849="","",IF(G2849&lt;&gt;"",G2849,E2849))</f>
        <v/>
      </c>
      <c r="J2849" s="21" t="str">
        <f aca="false">IF(B2849="","",IF(H2849&lt;&gt;"",H2849,F2849))</f>
        <v/>
      </c>
      <c r="K2849" s="26" t="str">
        <f aca="false">IF(A2849="","",DATE(YEAR(A2849),MONTH(A2849),1))</f>
        <v/>
      </c>
      <c r="L2849" s="21" t="str">
        <f aca="false">IF(J2849="",IF(B2849="","",IF(N(C2849)&gt;=0,"Income","Expense")),IFERROR(INDEX(Lists!$B$2:$B$30,MATCH(J2849,Lists!$A$2:$A$30,0)),""))</f>
        <v/>
      </c>
      <c r="M2849" s="24"/>
      <c r="N2849" s="27" t="str">
        <f aca="false">IF(B2849="","",IFERROR(1000-SUMPRODUCT(MAX(ISNUMBER(SEARCH(Rules!$A$5:$A$204,B2849))*(Rules!$A$5:$A$204&lt;&gt;"")*(1000-ROW(Rules!$A$5:$A$204)))),""))</f>
        <v/>
      </c>
    </row>
    <row r="2850" customFormat="false" ht="15" hidden="false" customHeight="false" outlineLevel="0" collapsed="false">
      <c r="A2850" s="23"/>
      <c r="B2850" s="24"/>
      <c r="C2850" s="25"/>
      <c r="D2850" s="24"/>
      <c r="E2850" s="21" t="str">
        <f aca="false">IF(OR(B2850="",N(N2850)=0,N2850=1000),IF(B2850="","","Check"),INDEX(Rules!$B:$B,N2850))</f>
        <v/>
      </c>
      <c r="F2850" s="21" t="str">
        <f aca="false">IF(OR(B2850="",N(N2850)=0,N2850=1000),"",INDEX(Rules!$C:$C,N2850))</f>
        <v/>
      </c>
      <c r="G2850" s="24"/>
      <c r="H2850" s="24"/>
      <c r="I2850" s="20" t="str">
        <f aca="false">IF(B2850="","",IF(G2850&lt;&gt;"",G2850,E2850))</f>
        <v/>
      </c>
      <c r="J2850" s="21" t="str">
        <f aca="false">IF(B2850="","",IF(H2850&lt;&gt;"",H2850,F2850))</f>
        <v/>
      </c>
      <c r="K2850" s="26" t="str">
        <f aca="false">IF(A2850="","",DATE(YEAR(A2850),MONTH(A2850),1))</f>
        <v/>
      </c>
      <c r="L2850" s="21" t="str">
        <f aca="false">IF(J2850="",IF(B2850="","",IF(N(C2850)&gt;=0,"Income","Expense")),IFERROR(INDEX(Lists!$B$2:$B$30,MATCH(J2850,Lists!$A$2:$A$30,0)),""))</f>
        <v/>
      </c>
      <c r="M2850" s="24"/>
      <c r="N2850" s="27" t="str">
        <f aca="false">IF(B2850="","",IFERROR(1000-SUMPRODUCT(MAX(ISNUMBER(SEARCH(Rules!$A$5:$A$204,B2850))*(Rules!$A$5:$A$204&lt;&gt;"")*(1000-ROW(Rules!$A$5:$A$204)))),""))</f>
        <v/>
      </c>
    </row>
    <row r="2851" customFormat="false" ht="15" hidden="false" customHeight="false" outlineLevel="0" collapsed="false">
      <c r="A2851" s="23"/>
      <c r="B2851" s="24"/>
      <c r="C2851" s="25"/>
      <c r="D2851" s="24"/>
      <c r="E2851" s="21" t="str">
        <f aca="false">IF(OR(B2851="",N(N2851)=0,N2851=1000),IF(B2851="","","Check"),INDEX(Rules!$B:$B,N2851))</f>
        <v/>
      </c>
      <c r="F2851" s="21" t="str">
        <f aca="false">IF(OR(B2851="",N(N2851)=0,N2851=1000),"",INDEX(Rules!$C:$C,N2851))</f>
        <v/>
      </c>
      <c r="G2851" s="24"/>
      <c r="H2851" s="24"/>
      <c r="I2851" s="20" t="str">
        <f aca="false">IF(B2851="","",IF(G2851&lt;&gt;"",G2851,E2851))</f>
        <v/>
      </c>
      <c r="J2851" s="21" t="str">
        <f aca="false">IF(B2851="","",IF(H2851&lt;&gt;"",H2851,F2851))</f>
        <v/>
      </c>
      <c r="K2851" s="26" t="str">
        <f aca="false">IF(A2851="","",DATE(YEAR(A2851),MONTH(A2851),1))</f>
        <v/>
      </c>
      <c r="L2851" s="21" t="str">
        <f aca="false">IF(J2851="",IF(B2851="","",IF(N(C2851)&gt;=0,"Income","Expense")),IFERROR(INDEX(Lists!$B$2:$B$30,MATCH(J2851,Lists!$A$2:$A$30,0)),""))</f>
        <v/>
      </c>
      <c r="M2851" s="24"/>
      <c r="N2851" s="27" t="str">
        <f aca="false">IF(B2851="","",IFERROR(1000-SUMPRODUCT(MAX(ISNUMBER(SEARCH(Rules!$A$5:$A$204,B2851))*(Rules!$A$5:$A$204&lt;&gt;"")*(1000-ROW(Rules!$A$5:$A$204)))),""))</f>
        <v/>
      </c>
    </row>
    <row r="2852" customFormat="false" ht="15" hidden="false" customHeight="false" outlineLevel="0" collapsed="false">
      <c r="A2852" s="23"/>
      <c r="B2852" s="24"/>
      <c r="C2852" s="25"/>
      <c r="D2852" s="24"/>
      <c r="E2852" s="21" t="str">
        <f aca="false">IF(OR(B2852="",N(N2852)=0,N2852=1000),IF(B2852="","","Check"),INDEX(Rules!$B:$B,N2852))</f>
        <v/>
      </c>
      <c r="F2852" s="21" t="str">
        <f aca="false">IF(OR(B2852="",N(N2852)=0,N2852=1000),"",INDEX(Rules!$C:$C,N2852))</f>
        <v/>
      </c>
      <c r="G2852" s="24"/>
      <c r="H2852" s="24"/>
      <c r="I2852" s="20" t="str">
        <f aca="false">IF(B2852="","",IF(G2852&lt;&gt;"",G2852,E2852))</f>
        <v/>
      </c>
      <c r="J2852" s="21" t="str">
        <f aca="false">IF(B2852="","",IF(H2852&lt;&gt;"",H2852,F2852))</f>
        <v/>
      </c>
      <c r="K2852" s="26" t="str">
        <f aca="false">IF(A2852="","",DATE(YEAR(A2852),MONTH(A2852),1))</f>
        <v/>
      </c>
      <c r="L2852" s="21" t="str">
        <f aca="false">IF(J2852="",IF(B2852="","",IF(N(C2852)&gt;=0,"Income","Expense")),IFERROR(INDEX(Lists!$B$2:$B$30,MATCH(J2852,Lists!$A$2:$A$30,0)),""))</f>
        <v/>
      </c>
      <c r="M2852" s="24"/>
      <c r="N2852" s="27" t="str">
        <f aca="false">IF(B2852="","",IFERROR(1000-SUMPRODUCT(MAX(ISNUMBER(SEARCH(Rules!$A$5:$A$204,B2852))*(Rules!$A$5:$A$204&lt;&gt;"")*(1000-ROW(Rules!$A$5:$A$204)))),""))</f>
        <v/>
      </c>
    </row>
    <row r="2853" customFormat="false" ht="15" hidden="false" customHeight="false" outlineLevel="0" collapsed="false">
      <c r="A2853" s="23"/>
      <c r="B2853" s="24"/>
      <c r="C2853" s="25"/>
      <c r="D2853" s="24"/>
      <c r="E2853" s="21" t="str">
        <f aca="false">IF(OR(B2853="",N(N2853)=0,N2853=1000),IF(B2853="","","Check"),INDEX(Rules!$B:$B,N2853))</f>
        <v/>
      </c>
      <c r="F2853" s="21" t="str">
        <f aca="false">IF(OR(B2853="",N(N2853)=0,N2853=1000),"",INDEX(Rules!$C:$C,N2853))</f>
        <v/>
      </c>
      <c r="G2853" s="24"/>
      <c r="H2853" s="24"/>
      <c r="I2853" s="20" t="str">
        <f aca="false">IF(B2853="","",IF(G2853&lt;&gt;"",G2853,E2853))</f>
        <v/>
      </c>
      <c r="J2853" s="21" t="str">
        <f aca="false">IF(B2853="","",IF(H2853&lt;&gt;"",H2853,F2853))</f>
        <v/>
      </c>
      <c r="K2853" s="26" t="str">
        <f aca="false">IF(A2853="","",DATE(YEAR(A2853),MONTH(A2853),1))</f>
        <v/>
      </c>
      <c r="L2853" s="21" t="str">
        <f aca="false">IF(J2853="",IF(B2853="","",IF(N(C2853)&gt;=0,"Income","Expense")),IFERROR(INDEX(Lists!$B$2:$B$30,MATCH(J2853,Lists!$A$2:$A$30,0)),""))</f>
        <v/>
      </c>
      <c r="M2853" s="24"/>
      <c r="N2853" s="27" t="str">
        <f aca="false">IF(B2853="","",IFERROR(1000-SUMPRODUCT(MAX(ISNUMBER(SEARCH(Rules!$A$5:$A$204,B2853))*(Rules!$A$5:$A$204&lt;&gt;"")*(1000-ROW(Rules!$A$5:$A$204)))),""))</f>
        <v/>
      </c>
    </row>
    <row r="2854" customFormat="false" ht="15" hidden="false" customHeight="false" outlineLevel="0" collapsed="false">
      <c r="A2854" s="23"/>
      <c r="B2854" s="24"/>
      <c r="C2854" s="25"/>
      <c r="D2854" s="24"/>
      <c r="E2854" s="21" t="str">
        <f aca="false">IF(OR(B2854="",N(N2854)=0,N2854=1000),IF(B2854="","","Check"),INDEX(Rules!$B:$B,N2854))</f>
        <v/>
      </c>
      <c r="F2854" s="21" t="str">
        <f aca="false">IF(OR(B2854="",N(N2854)=0,N2854=1000),"",INDEX(Rules!$C:$C,N2854))</f>
        <v/>
      </c>
      <c r="G2854" s="24"/>
      <c r="H2854" s="24"/>
      <c r="I2854" s="20" t="str">
        <f aca="false">IF(B2854="","",IF(G2854&lt;&gt;"",G2854,E2854))</f>
        <v/>
      </c>
      <c r="J2854" s="21" t="str">
        <f aca="false">IF(B2854="","",IF(H2854&lt;&gt;"",H2854,F2854))</f>
        <v/>
      </c>
      <c r="K2854" s="26" t="str">
        <f aca="false">IF(A2854="","",DATE(YEAR(A2854),MONTH(A2854),1))</f>
        <v/>
      </c>
      <c r="L2854" s="21" t="str">
        <f aca="false">IF(J2854="",IF(B2854="","",IF(N(C2854)&gt;=0,"Income","Expense")),IFERROR(INDEX(Lists!$B$2:$B$30,MATCH(J2854,Lists!$A$2:$A$30,0)),""))</f>
        <v/>
      </c>
      <c r="M2854" s="24"/>
      <c r="N2854" s="27" t="str">
        <f aca="false">IF(B2854="","",IFERROR(1000-SUMPRODUCT(MAX(ISNUMBER(SEARCH(Rules!$A$5:$A$204,B2854))*(Rules!$A$5:$A$204&lt;&gt;"")*(1000-ROW(Rules!$A$5:$A$204)))),""))</f>
        <v/>
      </c>
    </row>
    <row r="2855" customFormat="false" ht="15" hidden="false" customHeight="false" outlineLevel="0" collapsed="false">
      <c r="A2855" s="23"/>
      <c r="B2855" s="24"/>
      <c r="C2855" s="25"/>
      <c r="D2855" s="24"/>
      <c r="E2855" s="21" t="str">
        <f aca="false">IF(OR(B2855="",N(N2855)=0,N2855=1000),IF(B2855="","","Check"),INDEX(Rules!$B:$B,N2855))</f>
        <v/>
      </c>
      <c r="F2855" s="21" t="str">
        <f aca="false">IF(OR(B2855="",N(N2855)=0,N2855=1000),"",INDEX(Rules!$C:$C,N2855))</f>
        <v/>
      </c>
      <c r="G2855" s="24"/>
      <c r="H2855" s="24"/>
      <c r="I2855" s="20" t="str">
        <f aca="false">IF(B2855="","",IF(G2855&lt;&gt;"",G2855,E2855))</f>
        <v/>
      </c>
      <c r="J2855" s="21" t="str">
        <f aca="false">IF(B2855="","",IF(H2855&lt;&gt;"",H2855,F2855))</f>
        <v/>
      </c>
      <c r="K2855" s="26" t="str">
        <f aca="false">IF(A2855="","",DATE(YEAR(A2855),MONTH(A2855),1))</f>
        <v/>
      </c>
      <c r="L2855" s="21" t="str">
        <f aca="false">IF(J2855="",IF(B2855="","",IF(N(C2855)&gt;=0,"Income","Expense")),IFERROR(INDEX(Lists!$B$2:$B$30,MATCH(J2855,Lists!$A$2:$A$30,0)),""))</f>
        <v/>
      </c>
      <c r="M2855" s="24"/>
      <c r="N2855" s="27" t="str">
        <f aca="false">IF(B2855="","",IFERROR(1000-SUMPRODUCT(MAX(ISNUMBER(SEARCH(Rules!$A$5:$A$204,B2855))*(Rules!$A$5:$A$204&lt;&gt;"")*(1000-ROW(Rules!$A$5:$A$204)))),""))</f>
        <v/>
      </c>
    </row>
    <row r="2856" customFormat="false" ht="15" hidden="false" customHeight="false" outlineLevel="0" collapsed="false">
      <c r="A2856" s="23"/>
      <c r="B2856" s="24"/>
      <c r="C2856" s="25"/>
      <c r="D2856" s="24"/>
      <c r="E2856" s="21" t="str">
        <f aca="false">IF(OR(B2856="",N(N2856)=0,N2856=1000),IF(B2856="","","Check"),INDEX(Rules!$B:$B,N2856))</f>
        <v/>
      </c>
      <c r="F2856" s="21" t="str">
        <f aca="false">IF(OR(B2856="",N(N2856)=0,N2856=1000),"",INDEX(Rules!$C:$C,N2856))</f>
        <v/>
      </c>
      <c r="G2856" s="24"/>
      <c r="H2856" s="24"/>
      <c r="I2856" s="20" t="str">
        <f aca="false">IF(B2856="","",IF(G2856&lt;&gt;"",G2856,E2856))</f>
        <v/>
      </c>
      <c r="J2856" s="21" t="str">
        <f aca="false">IF(B2856="","",IF(H2856&lt;&gt;"",H2856,F2856))</f>
        <v/>
      </c>
      <c r="K2856" s="26" t="str">
        <f aca="false">IF(A2856="","",DATE(YEAR(A2856),MONTH(A2856),1))</f>
        <v/>
      </c>
      <c r="L2856" s="21" t="str">
        <f aca="false">IF(J2856="",IF(B2856="","",IF(N(C2856)&gt;=0,"Income","Expense")),IFERROR(INDEX(Lists!$B$2:$B$30,MATCH(J2856,Lists!$A$2:$A$30,0)),""))</f>
        <v/>
      </c>
      <c r="M2856" s="24"/>
      <c r="N2856" s="27" t="str">
        <f aca="false">IF(B2856="","",IFERROR(1000-SUMPRODUCT(MAX(ISNUMBER(SEARCH(Rules!$A$5:$A$204,B2856))*(Rules!$A$5:$A$204&lt;&gt;"")*(1000-ROW(Rules!$A$5:$A$204)))),""))</f>
        <v/>
      </c>
    </row>
    <row r="2857" customFormat="false" ht="15" hidden="false" customHeight="false" outlineLevel="0" collapsed="false">
      <c r="A2857" s="23"/>
      <c r="B2857" s="24"/>
      <c r="C2857" s="25"/>
      <c r="D2857" s="24"/>
      <c r="E2857" s="21" t="str">
        <f aca="false">IF(OR(B2857="",N(N2857)=0,N2857=1000),IF(B2857="","","Check"),INDEX(Rules!$B:$B,N2857))</f>
        <v/>
      </c>
      <c r="F2857" s="21" t="str">
        <f aca="false">IF(OR(B2857="",N(N2857)=0,N2857=1000),"",INDEX(Rules!$C:$C,N2857))</f>
        <v/>
      </c>
      <c r="G2857" s="24"/>
      <c r="H2857" s="24"/>
      <c r="I2857" s="20" t="str">
        <f aca="false">IF(B2857="","",IF(G2857&lt;&gt;"",G2857,E2857))</f>
        <v/>
      </c>
      <c r="J2857" s="21" t="str">
        <f aca="false">IF(B2857="","",IF(H2857&lt;&gt;"",H2857,F2857))</f>
        <v/>
      </c>
      <c r="K2857" s="26" t="str">
        <f aca="false">IF(A2857="","",DATE(YEAR(A2857),MONTH(A2857),1))</f>
        <v/>
      </c>
      <c r="L2857" s="21" t="str">
        <f aca="false">IF(J2857="",IF(B2857="","",IF(N(C2857)&gt;=0,"Income","Expense")),IFERROR(INDEX(Lists!$B$2:$B$30,MATCH(J2857,Lists!$A$2:$A$30,0)),""))</f>
        <v/>
      </c>
      <c r="M2857" s="24"/>
      <c r="N2857" s="27" t="str">
        <f aca="false">IF(B2857="","",IFERROR(1000-SUMPRODUCT(MAX(ISNUMBER(SEARCH(Rules!$A$5:$A$204,B2857))*(Rules!$A$5:$A$204&lt;&gt;"")*(1000-ROW(Rules!$A$5:$A$204)))),""))</f>
        <v/>
      </c>
    </row>
    <row r="2858" customFormat="false" ht="15" hidden="false" customHeight="false" outlineLevel="0" collapsed="false">
      <c r="A2858" s="23"/>
      <c r="B2858" s="24"/>
      <c r="C2858" s="25"/>
      <c r="D2858" s="24"/>
      <c r="E2858" s="21" t="str">
        <f aca="false">IF(OR(B2858="",N(N2858)=0,N2858=1000),IF(B2858="","","Check"),INDEX(Rules!$B:$B,N2858))</f>
        <v/>
      </c>
      <c r="F2858" s="21" t="str">
        <f aca="false">IF(OR(B2858="",N(N2858)=0,N2858=1000),"",INDEX(Rules!$C:$C,N2858))</f>
        <v/>
      </c>
      <c r="G2858" s="24"/>
      <c r="H2858" s="24"/>
      <c r="I2858" s="20" t="str">
        <f aca="false">IF(B2858="","",IF(G2858&lt;&gt;"",G2858,E2858))</f>
        <v/>
      </c>
      <c r="J2858" s="21" t="str">
        <f aca="false">IF(B2858="","",IF(H2858&lt;&gt;"",H2858,F2858))</f>
        <v/>
      </c>
      <c r="K2858" s="26" t="str">
        <f aca="false">IF(A2858="","",DATE(YEAR(A2858),MONTH(A2858),1))</f>
        <v/>
      </c>
      <c r="L2858" s="21" t="str">
        <f aca="false">IF(J2858="",IF(B2858="","",IF(N(C2858)&gt;=0,"Income","Expense")),IFERROR(INDEX(Lists!$B$2:$B$30,MATCH(J2858,Lists!$A$2:$A$30,0)),""))</f>
        <v/>
      </c>
      <c r="M2858" s="24"/>
      <c r="N2858" s="27" t="str">
        <f aca="false">IF(B2858="","",IFERROR(1000-SUMPRODUCT(MAX(ISNUMBER(SEARCH(Rules!$A$5:$A$204,B2858))*(Rules!$A$5:$A$204&lt;&gt;"")*(1000-ROW(Rules!$A$5:$A$204)))),""))</f>
        <v/>
      </c>
    </row>
    <row r="2859" customFormat="false" ht="15" hidden="false" customHeight="false" outlineLevel="0" collapsed="false">
      <c r="A2859" s="23"/>
      <c r="B2859" s="24"/>
      <c r="C2859" s="25"/>
      <c r="D2859" s="24"/>
      <c r="E2859" s="21" t="str">
        <f aca="false">IF(OR(B2859="",N(N2859)=0,N2859=1000),IF(B2859="","","Check"),INDEX(Rules!$B:$B,N2859))</f>
        <v/>
      </c>
      <c r="F2859" s="21" t="str">
        <f aca="false">IF(OR(B2859="",N(N2859)=0,N2859=1000),"",INDEX(Rules!$C:$C,N2859))</f>
        <v/>
      </c>
      <c r="G2859" s="24"/>
      <c r="H2859" s="24"/>
      <c r="I2859" s="20" t="str">
        <f aca="false">IF(B2859="","",IF(G2859&lt;&gt;"",G2859,E2859))</f>
        <v/>
      </c>
      <c r="J2859" s="21" t="str">
        <f aca="false">IF(B2859="","",IF(H2859&lt;&gt;"",H2859,F2859))</f>
        <v/>
      </c>
      <c r="K2859" s="26" t="str">
        <f aca="false">IF(A2859="","",DATE(YEAR(A2859),MONTH(A2859),1))</f>
        <v/>
      </c>
      <c r="L2859" s="21" t="str">
        <f aca="false">IF(J2859="",IF(B2859="","",IF(N(C2859)&gt;=0,"Income","Expense")),IFERROR(INDEX(Lists!$B$2:$B$30,MATCH(J2859,Lists!$A$2:$A$30,0)),""))</f>
        <v/>
      </c>
      <c r="M2859" s="24"/>
      <c r="N2859" s="27" t="str">
        <f aca="false">IF(B2859="","",IFERROR(1000-SUMPRODUCT(MAX(ISNUMBER(SEARCH(Rules!$A$5:$A$204,B2859))*(Rules!$A$5:$A$204&lt;&gt;"")*(1000-ROW(Rules!$A$5:$A$204)))),""))</f>
        <v/>
      </c>
    </row>
    <row r="2860" customFormat="false" ht="15" hidden="false" customHeight="false" outlineLevel="0" collapsed="false">
      <c r="A2860" s="23"/>
      <c r="B2860" s="24"/>
      <c r="C2860" s="25"/>
      <c r="D2860" s="24"/>
      <c r="E2860" s="21" t="str">
        <f aca="false">IF(OR(B2860="",N(N2860)=0,N2860=1000),IF(B2860="","","Check"),INDEX(Rules!$B:$B,N2860))</f>
        <v/>
      </c>
      <c r="F2860" s="21" t="str">
        <f aca="false">IF(OR(B2860="",N(N2860)=0,N2860=1000),"",INDEX(Rules!$C:$C,N2860))</f>
        <v/>
      </c>
      <c r="G2860" s="24"/>
      <c r="H2860" s="24"/>
      <c r="I2860" s="20" t="str">
        <f aca="false">IF(B2860="","",IF(G2860&lt;&gt;"",G2860,E2860))</f>
        <v/>
      </c>
      <c r="J2860" s="21" t="str">
        <f aca="false">IF(B2860="","",IF(H2860&lt;&gt;"",H2860,F2860))</f>
        <v/>
      </c>
      <c r="K2860" s="26" t="str">
        <f aca="false">IF(A2860="","",DATE(YEAR(A2860),MONTH(A2860),1))</f>
        <v/>
      </c>
      <c r="L2860" s="21" t="str">
        <f aca="false">IF(J2860="",IF(B2860="","",IF(N(C2860)&gt;=0,"Income","Expense")),IFERROR(INDEX(Lists!$B$2:$B$30,MATCH(J2860,Lists!$A$2:$A$30,0)),""))</f>
        <v/>
      </c>
      <c r="M2860" s="24"/>
      <c r="N2860" s="27" t="str">
        <f aca="false">IF(B2860="","",IFERROR(1000-SUMPRODUCT(MAX(ISNUMBER(SEARCH(Rules!$A$5:$A$204,B2860))*(Rules!$A$5:$A$204&lt;&gt;"")*(1000-ROW(Rules!$A$5:$A$204)))),""))</f>
        <v/>
      </c>
    </row>
    <row r="2861" customFormat="false" ht="15" hidden="false" customHeight="false" outlineLevel="0" collapsed="false">
      <c r="A2861" s="23"/>
      <c r="B2861" s="24"/>
      <c r="C2861" s="25"/>
      <c r="D2861" s="24"/>
      <c r="E2861" s="21" t="str">
        <f aca="false">IF(OR(B2861="",N(N2861)=0,N2861=1000),IF(B2861="","","Check"),INDEX(Rules!$B:$B,N2861))</f>
        <v/>
      </c>
      <c r="F2861" s="21" t="str">
        <f aca="false">IF(OR(B2861="",N(N2861)=0,N2861=1000),"",INDEX(Rules!$C:$C,N2861))</f>
        <v/>
      </c>
      <c r="G2861" s="24"/>
      <c r="H2861" s="24"/>
      <c r="I2861" s="20" t="str">
        <f aca="false">IF(B2861="","",IF(G2861&lt;&gt;"",G2861,E2861))</f>
        <v/>
      </c>
      <c r="J2861" s="21" t="str">
        <f aca="false">IF(B2861="","",IF(H2861&lt;&gt;"",H2861,F2861))</f>
        <v/>
      </c>
      <c r="K2861" s="26" t="str">
        <f aca="false">IF(A2861="","",DATE(YEAR(A2861),MONTH(A2861),1))</f>
        <v/>
      </c>
      <c r="L2861" s="21" t="str">
        <f aca="false">IF(J2861="",IF(B2861="","",IF(N(C2861)&gt;=0,"Income","Expense")),IFERROR(INDEX(Lists!$B$2:$B$30,MATCH(J2861,Lists!$A$2:$A$30,0)),""))</f>
        <v/>
      </c>
      <c r="M2861" s="24"/>
      <c r="N2861" s="27" t="str">
        <f aca="false">IF(B2861="","",IFERROR(1000-SUMPRODUCT(MAX(ISNUMBER(SEARCH(Rules!$A$5:$A$204,B2861))*(Rules!$A$5:$A$204&lt;&gt;"")*(1000-ROW(Rules!$A$5:$A$204)))),""))</f>
        <v/>
      </c>
    </row>
    <row r="2862" customFormat="false" ht="15" hidden="false" customHeight="false" outlineLevel="0" collapsed="false">
      <c r="A2862" s="23"/>
      <c r="B2862" s="24"/>
      <c r="C2862" s="25"/>
      <c r="D2862" s="24"/>
      <c r="E2862" s="21" t="str">
        <f aca="false">IF(OR(B2862="",N(N2862)=0,N2862=1000),IF(B2862="","","Check"),INDEX(Rules!$B:$B,N2862))</f>
        <v/>
      </c>
      <c r="F2862" s="21" t="str">
        <f aca="false">IF(OR(B2862="",N(N2862)=0,N2862=1000),"",INDEX(Rules!$C:$C,N2862))</f>
        <v/>
      </c>
      <c r="G2862" s="24"/>
      <c r="H2862" s="24"/>
      <c r="I2862" s="20" t="str">
        <f aca="false">IF(B2862="","",IF(G2862&lt;&gt;"",G2862,E2862))</f>
        <v/>
      </c>
      <c r="J2862" s="21" t="str">
        <f aca="false">IF(B2862="","",IF(H2862&lt;&gt;"",H2862,F2862))</f>
        <v/>
      </c>
      <c r="K2862" s="26" t="str">
        <f aca="false">IF(A2862="","",DATE(YEAR(A2862),MONTH(A2862),1))</f>
        <v/>
      </c>
      <c r="L2862" s="21" t="str">
        <f aca="false">IF(J2862="",IF(B2862="","",IF(N(C2862)&gt;=0,"Income","Expense")),IFERROR(INDEX(Lists!$B$2:$B$30,MATCH(J2862,Lists!$A$2:$A$30,0)),""))</f>
        <v/>
      </c>
      <c r="M2862" s="24"/>
      <c r="N2862" s="27" t="str">
        <f aca="false">IF(B2862="","",IFERROR(1000-SUMPRODUCT(MAX(ISNUMBER(SEARCH(Rules!$A$5:$A$204,B2862))*(Rules!$A$5:$A$204&lt;&gt;"")*(1000-ROW(Rules!$A$5:$A$204)))),""))</f>
        <v/>
      </c>
    </row>
    <row r="2863" customFormat="false" ht="15" hidden="false" customHeight="false" outlineLevel="0" collapsed="false">
      <c r="A2863" s="23"/>
      <c r="B2863" s="24"/>
      <c r="C2863" s="25"/>
      <c r="D2863" s="24"/>
      <c r="E2863" s="21" t="str">
        <f aca="false">IF(OR(B2863="",N(N2863)=0,N2863=1000),IF(B2863="","","Check"),INDEX(Rules!$B:$B,N2863))</f>
        <v/>
      </c>
      <c r="F2863" s="21" t="str">
        <f aca="false">IF(OR(B2863="",N(N2863)=0,N2863=1000),"",INDEX(Rules!$C:$C,N2863))</f>
        <v/>
      </c>
      <c r="G2863" s="24"/>
      <c r="H2863" s="24"/>
      <c r="I2863" s="20" t="str">
        <f aca="false">IF(B2863="","",IF(G2863&lt;&gt;"",G2863,E2863))</f>
        <v/>
      </c>
      <c r="J2863" s="21" t="str">
        <f aca="false">IF(B2863="","",IF(H2863&lt;&gt;"",H2863,F2863))</f>
        <v/>
      </c>
      <c r="K2863" s="26" t="str">
        <f aca="false">IF(A2863="","",DATE(YEAR(A2863),MONTH(A2863),1))</f>
        <v/>
      </c>
      <c r="L2863" s="21" t="str">
        <f aca="false">IF(J2863="",IF(B2863="","",IF(N(C2863)&gt;=0,"Income","Expense")),IFERROR(INDEX(Lists!$B$2:$B$30,MATCH(J2863,Lists!$A$2:$A$30,0)),""))</f>
        <v/>
      </c>
      <c r="M2863" s="24"/>
      <c r="N2863" s="27" t="str">
        <f aca="false">IF(B2863="","",IFERROR(1000-SUMPRODUCT(MAX(ISNUMBER(SEARCH(Rules!$A$5:$A$204,B2863))*(Rules!$A$5:$A$204&lt;&gt;"")*(1000-ROW(Rules!$A$5:$A$204)))),""))</f>
        <v/>
      </c>
    </row>
    <row r="2864" customFormat="false" ht="15" hidden="false" customHeight="false" outlineLevel="0" collapsed="false">
      <c r="A2864" s="23"/>
      <c r="B2864" s="24"/>
      <c r="C2864" s="25"/>
      <c r="D2864" s="24"/>
      <c r="E2864" s="21" t="str">
        <f aca="false">IF(OR(B2864="",N(N2864)=0,N2864=1000),IF(B2864="","","Check"),INDEX(Rules!$B:$B,N2864))</f>
        <v/>
      </c>
      <c r="F2864" s="21" t="str">
        <f aca="false">IF(OR(B2864="",N(N2864)=0,N2864=1000),"",INDEX(Rules!$C:$C,N2864))</f>
        <v/>
      </c>
      <c r="G2864" s="24"/>
      <c r="H2864" s="24"/>
      <c r="I2864" s="20" t="str">
        <f aca="false">IF(B2864="","",IF(G2864&lt;&gt;"",G2864,E2864))</f>
        <v/>
      </c>
      <c r="J2864" s="21" t="str">
        <f aca="false">IF(B2864="","",IF(H2864&lt;&gt;"",H2864,F2864))</f>
        <v/>
      </c>
      <c r="K2864" s="26" t="str">
        <f aca="false">IF(A2864="","",DATE(YEAR(A2864),MONTH(A2864),1))</f>
        <v/>
      </c>
      <c r="L2864" s="21" t="str">
        <f aca="false">IF(J2864="",IF(B2864="","",IF(N(C2864)&gt;=0,"Income","Expense")),IFERROR(INDEX(Lists!$B$2:$B$30,MATCH(J2864,Lists!$A$2:$A$30,0)),""))</f>
        <v/>
      </c>
      <c r="M2864" s="24"/>
      <c r="N2864" s="27" t="str">
        <f aca="false">IF(B2864="","",IFERROR(1000-SUMPRODUCT(MAX(ISNUMBER(SEARCH(Rules!$A$5:$A$204,B2864))*(Rules!$A$5:$A$204&lt;&gt;"")*(1000-ROW(Rules!$A$5:$A$204)))),""))</f>
        <v/>
      </c>
    </row>
    <row r="2865" customFormat="false" ht="15" hidden="false" customHeight="false" outlineLevel="0" collapsed="false">
      <c r="A2865" s="23"/>
      <c r="B2865" s="24"/>
      <c r="C2865" s="25"/>
      <c r="D2865" s="24"/>
      <c r="E2865" s="21" t="str">
        <f aca="false">IF(OR(B2865="",N(N2865)=0,N2865=1000),IF(B2865="","","Check"),INDEX(Rules!$B:$B,N2865))</f>
        <v/>
      </c>
      <c r="F2865" s="21" t="str">
        <f aca="false">IF(OR(B2865="",N(N2865)=0,N2865=1000),"",INDEX(Rules!$C:$C,N2865))</f>
        <v/>
      </c>
      <c r="G2865" s="24"/>
      <c r="H2865" s="24"/>
      <c r="I2865" s="20" t="str">
        <f aca="false">IF(B2865="","",IF(G2865&lt;&gt;"",G2865,E2865))</f>
        <v/>
      </c>
      <c r="J2865" s="21" t="str">
        <f aca="false">IF(B2865="","",IF(H2865&lt;&gt;"",H2865,F2865))</f>
        <v/>
      </c>
      <c r="K2865" s="26" t="str">
        <f aca="false">IF(A2865="","",DATE(YEAR(A2865),MONTH(A2865),1))</f>
        <v/>
      </c>
      <c r="L2865" s="21" t="str">
        <f aca="false">IF(J2865="",IF(B2865="","",IF(N(C2865)&gt;=0,"Income","Expense")),IFERROR(INDEX(Lists!$B$2:$B$30,MATCH(J2865,Lists!$A$2:$A$30,0)),""))</f>
        <v/>
      </c>
      <c r="M2865" s="24"/>
      <c r="N2865" s="27" t="str">
        <f aca="false">IF(B2865="","",IFERROR(1000-SUMPRODUCT(MAX(ISNUMBER(SEARCH(Rules!$A$5:$A$204,B2865))*(Rules!$A$5:$A$204&lt;&gt;"")*(1000-ROW(Rules!$A$5:$A$204)))),""))</f>
        <v/>
      </c>
    </row>
    <row r="2866" customFormat="false" ht="15" hidden="false" customHeight="false" outlineLevel="0" collapsed="false">
      <c r="A2866" s="23"/>
      <c r="B2866" s="24"/>
      <c r="C2866" s="25"/>
      <c r="D2866" s="24"/>
      <c r="E2866" s="21" t="str">
        <f aca="false">IF(OR(B2866="",N(N2866)=0,N2866=1000),IF(B2866="","","Check"),INDEX(Rules!$B:$B,N2866))</f>
        <v/>
      </c>
      <c r="F2866" s="21" t="str">
        <f aca="false">IF(OR(B2866="",N(N2866)=0,N2866=1000),"",INDEX(Rules!$C:$C,N2866))</f>
        <v/>
      </c>
      <c r="G2866" s="24"/>
      <c r="H2866" s="24"/>
      <c r="I2866" s="20" t="str">
        <f aca="false">IF(B2866="","",IF(G2866&lt;&gt;"",G2866,E2866))</f>
        <v/>
      </c>
      <c r="J2866" s="21" t="str">
        <f aca="false">IF(B2866="","",IF(H2866&lt;&gt;"",H2866,F2866))</f>
        <v/>
      </c>
      <c r="K2866" s="26" t="str">
        <f aca="false">IF(A2866="","",DATE(YEAR(A2866),MONTH(A2866),1))</f>
        <v/>
      </c>
      <c r="L2866" s="21" t="str">
        <f aca="false">IF(J2866="",IF(B2866="","",IF(N(C2866)&gt;=0,"Income","Expense")),IFERROR(INDEX(Lists!$B$2:$B$30,MATCH(J2866,Lists!$A$2:$A$30,0)),""))</f>
        <v/>
      </c>
      <c r="M2866" s="24"/>
      <c r="N2866" s="27" t="str">
        <f aca="false">IF(B2866="","",IFERROR(1000-SUMPRODUCT(MAX(ISNUMBER(SEARCH(Rules!$A$5:$A$204,B2866))*(Rules!$A$5:$A$204&lt;&gt;"")*(1000-ROW(Rules!$A$5:$A$204)))),""))</f>
        <v/>
      </c>
    </row>
    <row r="2867" customFormat="false" ht="15" hidden="false" customHeight="false" outlineLevel="0" collapsed="false">
      <c r="A2867" s="23"/>
      <c r="B2867" s="24"/>
      <c r="C2867" s="25"/>
      <c r="D2867" s="24"/>
      <c r="E2867" s="21" t="str">
        <f aca="false">IF(OR(B2867="",N(N2867)=0,N2867=1000),IF(B2867="","","Check"),INDEX(Rules!$B:$B,N2867))</f>
        <v/>
      </c>
      <c r="F2867" s="21" t="str">
        <f aca="false">IF(OR(B2867="",N(N2867)=0,N2867=1000),"",INDEX(Rules!$C:$C,N2867))</f>
        <v/>
      </c>
      <c r="G2867" s="24"/>
      <c r="H2867" s="24"/>
      <c r="I2867" s="20" t="str">
        <f aca="false">IF(B2867="","",IF(G2867&lt;&gt;"",G2867,E2867))</f>
        <v/>
      </c>
      <c r="J2867" s="21" t="str">
        <f aca="false">IF(B2867="","",IF(H2867&lt;&gt;"",H2867,F2867))</f>
        <v/>
      </c>
      <c r="K2867" s="26" t="str">
        <f aca="false">IF(A2867="","",DATE(YEAR(A2867),MONTH(A2867),1))</f>
        <v/>
      </c>
      <c r="L2867" s="21" t="str">
        <f aca="false">IF(J2867="",IF(B2867="","",IF(N(C2867)&gt;=0,"Income","Expense")),IFERROR(INDEX(Lists!$B$2:$B$30,MATCH(J2867,Lists!$A$2:$A$30,0)),""))</f>
        <v/>
      </c>
      <c r="M2867" s="24"/>
      <c r="N2867" s="27" t="str">
        <f aca="false">IF(B2867="","",IFERROR(1000-SUMPRODUCT(MAX(ISNUMBER(SEARCH(Rules!$A$5:$A$204,B2867))*(Rules!$A$5:$A$204&lt;&gt;"")*(1000-ROW(Rules!$A$5:$A$204)))),""))</f>
        <v/>
      </c>
    </row>
    <row r="2868" customFormat="false" ht="15" hidden="false" customHeight="false" outlineLevel="0" collapsed="false">
      <c r="A2868" s="23"/>
      <c r="B2868" s="24"/>
      <c r="C2868" s="25"/>
      <c r="D2868" s="24"/>
      <c r="E2868" s="21" t="str">
        <f aca="false">IF(OR(B2868="",N(N2868)=0,N2868=1000),IF(B2868="","","Check"),INDEX(Rules!$B:$B,N2868))</f>
        <v/>
      </c>
      <c r="F2868" s="21" t="str">
        <f aca="false">IF(OR(B2868="",N(N2868)=0,N2868=1000),"",INDEX(Rules!$C:$C,N2868))</f>
        <v/>
      </c>
      <c r="G2868" s="24"/>
      <c r="H2868" s="24"/>
      <c r="I2868" s="20" t="str">
        <f aca="false">IF(B2868="","",IF(G2868&lt;&gt;"",G2868,E2868))</f>
        <v/>
      </c>
      <c r="J2868" s="21" t="str">
        <f aca="false">IF(B2868="","",IF(H2868&lt;&gt;"",H2868,F2868))</f>
        <v/>
      </c>
      <c r="K2868" s="26" t="str">
        <f aca="false">IF(A2868="","",DATE(YEAR(A2868),MONTH(A2868),1))</f>
        <v/>
      </c>
      <c r="L2868" s="21" t="str">
        <f aca="false">IF(J2868="",IF(B2868="","",IF(N(C2868)&gt;=0,"Income","Expense")),IFERROR(INDEX(Lists!$B$2:$B$30,MATCH(J2868,Lists!$A$2:$A$30,0)),""))</f>
        <v/>
      </c>
      <c r="M2868" s="24"/>
      <c r="N2868" s="27" t="str">
        <f aca="false">IF(B2868="","",IFERROR(1000-SUMPRODUCT(MAX(ISNUMBER(SEARCH(Rules!$A$5:$A$204,B2868))*(Rules!$A$5:$A$204&lt;&gt;"")*(1000-ROW(Rules!$A$5:$A$204)))),""))</f>
        <v/>
      </c>
    </row>
    <row r="2869" customFormat="false" ht="15" hidden="false" customHeight="false" outlineLevel="0" collapsed="false">
      <c r="A2869" s="23"/>
      <c r="B2869" s="24"/>
      <c r="C2869" s="25"/>
      <c r="D2869" s="24"/>
      <c r="E2869" s="21" t="str">
        <f aca="false">IF(OR(B2869="",N(N2869)=0,N2869=1000),IF(B2869="","","Check"),INDEX(Rules!$B:$B,N2869))</f>
        <v/>
      </c>
      <c r="F2869" s="21" t="str">
        <f aca="false">IF(OR(B2869="",N(N2869)=0,N2869=1000),"",INDEX(Rules!$C:$C,N2869))</f>
        <v/>
      </c>
      <c r="G2869" s="24"/>
      <c r="H2869" s="24"/>
      <c r="I2869" s="20" t="str">
        <f aca="false">IF(B2869="","",IF(G2869&lt;&gt;"",G2869,E2869))</f>
        <v/>
      </c>
      <c r="J2869" s="21" t="str">
        <f aca="false">IF(B2869="","",IF(H2869&lt;&gt;"",H2869,F2869))</f>
        <v/>
      </c>
      <c r="K2869" s="26" t="str">
        <f aca="false">IF(A2869="","",DATE(YEAR(A2869),MONTH(A2869),1))</f>
        <v/>
      </c>
      <c r="L2869" s="21" t="str">
        <f aca="false">IF(J2869="",IF(B2869="","",IF(N(C2869)&gt;=0,"Income","Expense")),IFERROR(INDEX(Lists!$B$2:$B$30,MATCH(J2869,Lists!$A$2:$A$30,0)),""))</f>
        <v/>
      </c>
      <c r="M2869" s="24"/>
      <c r="N2869" s="27" t="str">
        <f aca="false">IF(B2869="","",IFERROR(1000-SUMPRODUCT(MAX(ISNUMBER(SEARCH(Rules!$A$5:$A$204,B2869))*(Rules!$A$5:$A$204&lt;&gt;"")*(1000-ROW(Rules!$A$5:$A$204)))),""))</f>
        <v/>
      </c>
    </row>
    <row r="2870" customFormat="false" ht="15" hidden="false" customHeight="false" outlineLevel="0" collapsed="false">
      <c r="A2870" s="23"/>
      <c r="B2870" s="24"/>
      <c r="C2870" s="25"/>
      <c r="D2870" s="24"/>
      <c r="E2870" s="21" t="str">
        <f aca="false">IF(OR(B2870="",N(N2870)=0,N2870=1000),IF(B2870="","","Check"),INDEX(Rules!$B:$B,N2870))</f>
        <v/>
      </c>
      <c r="F2870" s="21" t="str">
        <f aca="false">IF(OR(B2870="",N(N2870)=0,N2870=1000),"",INDEX(Rules!$C:$C,N2870))</f>
        <v/>
      </c>
      <c r="G2870" s="24"/>
      <c r="H2870" s="24"/>
      <c r="I2870" s="20" t="str">
        <f aca="false">IF(B2870="","",IF(G2870&lt;&gt;"",G2870,E2870))</f>
        <v/>
      </c>
      <c r="J2870" s="21" t="str">
        <f aca="false">IF(B2870="","",IF(H2870&lt;&gt;"",H2870,F2870))</f>
        <v/>
      </c>
      <c r="K2870" s="26" t="str">
        <f aca="false">IF(A2870="","",DATE(YEAR(A2870),MONTH(A2870),1))</f>
        <v/>
      </c>
      <c r="L2870" s="21" t="str">
        <f aca="false">IF(J2870="",IF(B2870="","",IF(N(C2870)&gt;=0,"Income","Expense")),IFERROR(INDEX(Lists!$B$2:$B$30,MATCH(J2870,Lists!$A$2:$A$30,0)),""))</f>
        <v/>
      </c>
      <c r="M2870" s="24"/>
      <c r="N2870" s="27" t="str">
        <f aca="false">IF(B2870="","",IFERROR(1000-SUMPRODUCT(MAX(ISNUMBER(SEARCH(Rules!$A$5:$A$204,B2870))*(Rules!$A$5:$A$204&lt;&gt;"")*(1000-ROW(Rules!$A$5:$A$204)))),""))</f>
        <v/>
      </c>
    </row>
    <row r="2871" customFormat="false" ht="15" hidden="false" customHeight="false" outlineLevel="0" collapsed="false">
      <c r="A2871" s="23"/>
      <c r="B2871" s="24"/>
      <c r="C2871" s="25"/>
      <c r="D2871" s="24"/>
      <c r="E2871" s="21" t="str">
        <f aca="false">IF(OR(B2871="",N(N2871)=0,N2871=1000),IF(B2871="","","Check"),INDEX(Rules!$B:$B,N2871))</f>
        <v/>
      </c>
      <c r="F2871" s="21" t="str">
        <f aca="false">IF(OR(B2871="",N(N2871)=0,N2871=1000),"",INDEX(Rules!$C:$C,N2871))</f>
        <v/>
      </c>
      <c r="G2871" s="24"/>
      <c r="H2871" s="24"/>
      <c r="I2871" s="20" t="str">
        <f aca="false">IF(B2871="","",IF(G2871&lt;&gt;"",G2871,E2871))</f>
        <v/>
      </c>
      <c r="J2871" s="21" t="str">
        <f aca="false">IF(B2871="","",IF(H2871&lt;&gt;"",H2871,F2871))</f>
        <v/>
      </c>
      <c r="K2871" s="26" t="str">
        <f aca="false">IF(A2871="","",DATE(YEAR(A2871),MONTH(A2871),1))</f>
        <v/>
      </c>
      <c r="L2871" s="21" t="str">
        <f aca="false">IF(J2871="",IF(B2871="","",IF(N(C2871)&gt;=0,"Income","Expense")),IFERROR(INDEX(Lists!$B$2:$B$30,MATCH(J2871,Lists!$A$2:$A$30,0)),""))</f>
        <v/>
      </c>
      <c r="M2871" s="24"/>
      <c r="N2871" s="27" t="str">
        <f aca="false">IF(B2871="","",IFERROR(1000-SUMPRODUCT(MAX(ISNUMBER(SEARCH(Rules!$A$5:$A$204,B2871))*(Rules!$A$5:$A$204&lt;&gt;"")*(1000-ROW(Rules!$A$5:$A$204)))),""))</f>
        <v/>
      </c>
    </row>
    <row r="2872" customFormat="false" ht="15" hidden="false" customHeight="false" outlineLevel="0" collapsed="false">
      <c r="A2872" s="23"/>
      <c r="B2872" s="24"/>
      <c r="C2872" s="25"/>
      <c r="D2872" s="24"/>
      <c r="E2872" s="21" t="str">
        <f aca="false">IF(OR(B2872="",N(N2872)=0,N2872=1000),IF(B2872="","","Check"),INDEX(Rules!$B:$B,N2872))</f>
        <v/>
      </c>
      <c r="F2872" s="21" t="str">
        <f aca="false">IF(OR(B2872="",N(N2872)=0,N2872=1000),"",INDEX(Rules!$C:$C,N2872))</f>
        <v/>
      </c>
      <c r="G2872" s="24"/>
      <c r="H2872" s="24"/>
      <c r="I2872" s="20" t="str">
        <f aca="false">IF(B2872="","",IF(G2872&lt;&gt;"",G2872,E2872))</f>
        <v/>
      </c>
      <c r="J2872" s="21" t="str">
        <f aca="false">IF(B2872="","",IF(H2872&lt;&gt;"",H2872,F2872))</f>
        <v/>
      </c>
      <c r="K2872" s="26" t="str">
        <f aca="false">IF(A2872="","",DATE(YEAR(A2872),MONTH(A2872),1))</f>
        <v/>
      </c>
      <c r="L2872" s="21" t="str">
        <f aca="false">IF(J2872="",IF(B2872="","",IF(N(C2872)&gt;=0,"Income","Expense")),IFERROR(INDEX(Lists!$B$2:$B$30,MATCH(J2872,Lists!$A$2:$A$30,0)),""))</f>
        <v/>
      </c>
      <c r="M2872" s="24"/>
      <c r="N2872" s="27" t="str">
        <f aca="false">IF(B2872="","",IFERROR(1000-SUMPRODUCT(MAX(ISNUMBER(SEARCH(Rules!$A$5:$A$204,B2872))*(Rules!$A$5:$A$204&lt;&gt;"")*(1000-ROW(Rules!$A$5:$A$204)))),""))</f>
        <v/>
      </c>
    </row>
    <row r="2873" customFormat="false" ht="15" hidden="false" customHeight="false" outlineLevel="0" collapsed="false">
      <c r="A2873" s="23"/>
      <c r="B2873" s="24"/>
      <c r="C2873" s="25"/>
      <c r="D2873" s="24"/>
      <c r="E2873" s="21" t="str">
        <f aca="false">IF(OR(B2873="",N(N2873)=0,N2873=1000),IF(B2873="","","Check"),INDEX(Rules!$B:$B,N2873))</f>
        <v/>
      </c>
      <c r="F2873" s="21" t="str">
        <f aca="false">IF(OR(B2873="",N(N2873)=0,N2873=1000),"",INDEX(Rules!$C:$C,N2873))</f>
        <v/>
      </c>
      <c r="G2873" s="24"/>
      <c r="H2873" s="24"/>
      <c r="I2873" s="20" t="str">
        <f aca="false">IF(B2873="","",IF(G2873&lt;&gt;"",G2873,E2873))</f>
        <v/>
      </c>
      <c r="J2873" s="21" t="str">
        <f aca="false">IF(B2873="","",IF(H2873&lt;&gt;"",H2873,F2873))</f>
        <v/>
      </c>
      <c r="K2873" s="26" t="str">
        <f aca="false">IF(A2873="","",DATE(YEAR(A2873),MONTH(A2873),1))</f>
        <v/>
      </c>
      <c r="L2873" s="21" t="str">
        <f aca="false">IF(J2873="",IF(B2873="","",IF(N(C2873)&gt;=0,"Income","Expense")),IFERROR(INDEX(Lists!$B$2:$B$30,MATCH(J2873,Lists!$A$2:$A$30,0)),""))</f>
        <v/>
      </c>
      <c r="M2873" s="24"/>
      <c r="N2873" s="27" t="str">
        <f aca="false">IF(B2873="","",IFERROR(1000-SUMPRODUCT(MAX(ISNUMBER(SEARCH(Rules!$A$5:$A$204,B2873))*(Rules!$A$5:$A$204&lt;&gt;"")*(1000-ROW(Rules!$A$5:$A$204)))),""))</f>
        <v/>
      </c>
    </row>
    <row r="2874" customFormat="false" ht="15" hidden="false" customHeight="false" outlineLevel="0" collapsed="false">
      <c r="A2874" s="23"/>
      <c r="B2874" s="24"/>
      <c r="C2874" s="25"/>
      <c r="D2874" s="24"/>
      <c r="E2874" s="21" t="str">
        <f aca="false">IF(OR(B2874="",N(N2874)=0,N2874=1000),IF(B2874="","","Check"),INDEX(Rules!$B:$B,N2874))</f>
        <v/>
      </c>
      <c r="F2874" s="21" t="str">
        <f aca="false">IF(OR(B2874="",N(N2874)=0,N2874=1000),"",INDEX(Rules!$C:$C,N2874))</f>
        <v/>
      </c>
      <c r="G2874" s="24"/>
      <c r="H2874" s="24"/>
      <c r="I2874" s="20" t="str">
        <f aca="false">IF(B2874="","",IF(G2874&lt;&gt;"",G2874,E2874))</f>
        <v/>
      </c>
      <c r="J2874" s="21" t="str">
        <f aca="false">IF(B2874="","",IF(H2874&lt;&gt;"",H2874,F2874))</f>
        <v/>
      </c>
      <c r="K2874" s="26" t="str">
        <f aca="false">IF(A2874="","",DATE(YEAR(A2874),MONTH(A2874),1))</f>
        <v/>
      </c>
      <c r="L2874" s="21" t="str">
        <f aca="false">IF(J2874="",IF(B2874="","",IF(N(C2874)&gt;=0,"Income","Expense")),IFERROR(INDEX(Lists!$B$2:$B$30,MATCH(J2874,Lists!$A$2:$A$30,0)),""))</f>
        <v/>
      </c>
      <c r="M2874" s="24"/>
      <c r="N2874" s="27" t="str">
        <f aca="false">IF(B2874="","",IFERROR(1000-SUMPRODUCT(MAX(ISNUMBER(SEARCH(Rules!$A$5:$A$204,B2874))*(Rules!$A$5:$A$204&lt;&gt;"")*(1000-ROW(Rules!$A$5:$A$204)))),""))</f>
        <v/>
      </c>
    </row>
    <row r="2875" customFormat="false" ht="15" hidden="false" customHeight="false" outlineLevel="0" collapsed="false">
      <c r="A2875" s="23"/>
      <c r="B2875" s="24"/>
      <c r="C2875" s="25"/>
      <c r="D2875" s="24"/>
      <c r="E2875" s="21" t="str">
        <f aca="false">IF(OR(B2875="",N(N2875)=0,N2875=1000),IF(B2875="","","Check"),INDEX(Rules!$B:$B,N2875))</f>
        <v/>
      </c>
      <c r="F2875" s="21" t="str">
        <f aca="false">IF(OR(B2875="",N(N2875)=0,N2875=1000),"",INDEX(Rules!$C:$C,N2875))</f>
        <v/>
      </c>
      <c r="G2875" s="24"/>
      <c r="H2875" s="24"/>
      <c r="I2875" s="20" t="str">
        <f aca="false">IF(B2875="","",IF(G2875&lt;&gt;"",G2875,E2875))</f>
        <v/>
      </c>
      <c r="J2875" s="21" t="str">
        <f aca="false">IF(B2875="","",IF(H2875&lt;&gt;"",H2875,F2875))</f>
        <v/>
      </c>
      <c r="K2875" s="26" t="str">
        <f aca="false">IF(A2875="","",DATE(YEAR(A2875),MONTH(A2875),1))</f>
        <v/>
      </c>
      <c r="L2875" s="21" t="str">
        <f aca="false">IF(J2875="",IF(B2875="","",IF(N(C2875)&gt;=0,"Income","Expense")),IFERROR(INDEX(Lists!$B$2:$B$30,MATCH(J2875,Lists!$A$2:$A$30,0)),""))</f>
        <v/>
      </c>
      <c r="M2875" s="24"/>
      <c r="N2875" s="27" t="str">
        <f aca="false">IF(B2875="","",IFERROR(1000-SUMPRODUCT(MAX(ISNUMBER(SEARCH(Rules!$A$5:$A$204,B2875))*(Rules!$A$5:$A$204&lt;&gt;"")*(1000-ROW(Rules!$A$5:$A$204)))),""))</f>
        <v/>
      </c>
    </row>
    <row r="2876" customFormat="false" ht="15" hidden="false" customHeight="false" outlineLevel="0" collapsed="false">
      <c r="A2876" s="23"/>
      <c r="B2876" s="24"/>
      <c r="C2876" s="25"/>
      <c r="D2876" s="24"/>
      <c r="E2876" s="21" t="str">
        <f aca="false">IF(OR(B2876="",N(N2876)=0,N2876=1000),IF(B2876="","","Check"),INDEX(Rules!$B:$B,N2876))</f>
        <v/>
      </c>
      <c r="F2876" s="21" t="str">
        <f aca="false">IF(OR(B2876="",N(N2876)=0,N2876=1000),"",INDEX(Rules!$C:$C,N2876))</f>
        <v/>
      </c>
      <c r="G2876" s="24"/>
      <c r="H2876" s="24"/>
      <c r="I2876" s="20" t="str">
        <f aca="false">IF(B2876="","",IF(G2876&lt;&gt;"",G2876,E2876))</f>
        <v/>
      </c>
      <c r="J2876" s="21" t="str">
        <f aca="false">IF(B2876="","",IF(H2876&lt;&gt;"",H2876,F2876))</f>
        <v/>
      </c>
      <c r="K2876" s="26" t="str">
        <f aca="false">IF(A2876="","",DATE(YEAR(A2876),MONTH(A2876),1))</f>
        <v/>
      </c>
      <c r="L2876" s="21" t="str">
        <f aca="false">IF(J2876="",IF(B2876="","",IF(N(C2876)&gt;=0,"Income","Expense")),IFERROR(INDEX(Lists!$B$2:$B$30,MATCH(J2876,Lists!$A$2:$A$30,0)),""))</f>
        <v/>
      </c>
      <c r="M2876" s="24"/>
      <c r="N2876" s="27" t="str">
        <f aca="false">IF(B2876="","",IFERROR(1000-SUMPRODUCT(MAX(ISNUMBER(SEARCH(Rules!$A$5:$A$204,B2876))*(Rules!$A$5:$A$204&lt;&gt;"")*(1000-ROW(Rules!$A$5:$A$204)))),""))</f>
        <v/>
      </c>
    </row>
    <row r="2877" customFormat="false" ht="15" hidden="false" customHeight="false" outlineLevel="0" collapsed="false">
      <c r="A2877" s="23"/>
      <c r="B2877" s="24"/>
      <c r="C2877" s="25"/>
      <c r="D2877" s="24"/>
      <c r="E2877" s="21" t="str">
        <f aca="false">IF(OR(B2877="",N(N2877)=0,N2877=1000),IF(B2877="","","Check"),INDEX(Rules!$B:$B,N2877))</f>
        <v/>
      </c>
      <c r="F2877" s="21" t="str">
        <f aca="false">IF(OR(B2877="",N(N2877)=0,N2877=1000),"",INDEX(Rules!$C:$C,N2877))</f>
        <v/>
      </c>
      <c r="G2877" s="24"/>
      <c r="H2877" s="24"/>
      <c r="I2877" s="20" t="str">
        <f aca="false">IF(B2877="","",IF(G2877&lt;&gt;"",G2877,E2877))</f>
        <v/>
      </c>
      <c r="J2877" s="21" t="str">
        <f aca="false">IF(B2877="","",IF(H2877&lt;&gt;"",H2877,F2877))</f>
        <v/>
      </c>
      <c r="K2877" s="26" t="str">
        <f aca="false">IF(A2877="","",DATE(YEAR(A2877),MONTH(A2877),1))</f>
        <v/>
      </c>
      <c r="L2877" s="21" t="str">
        <f aca="false">IF(J2877="",IF(B2877="","",IF(N(C2877)&gt;=0,"Income","Expense")),IFERROR(INDEX(Lists!$B$2:$B$30,MATCH(J2877,Lists!$A$2:$A$30,0)),""))</f>
        <v/>
      </c>
      <c r="M2877" s="24"/>
      <c r="N2877" s="27" t="str">
        <f aca="false">IF(B2877="","",IFERROR(1000-SUMPRODUCT(MAX(ISNUMBER(SEARCH(Rules!$A$5:$A$204,B2877))*(Rules!$A$5:$A$204&lt;&gt;"")*(1000-ROW(Rules!$A$5:$A$204)))),""))</f>
        <v/>
      </c>
    </row>
    <row r="2878" customFormat="false" ht="15" hidden="false" customHeight="false" outlineLevel="0" collapsed="false">
      <c r="A2878" s="23"/>
      <c r="B2878" s="24"/>
      <c r="C2878" s="25"/>
      <c r="D2878" s="24"/>
      <c r="E2878" s="21" t="str">
        <f aca="false">IF(OR(B2878="",N(N2878)=0,N2878=1000),IF(B2878="","","Check"),INDEX(Rules!$B:$B,N2878))</f>
        <v/>
      </c>
      <c r="F2878" s="21" t="str">
        <f aca="false">IF(OR(B2878="",N(N2878)=0,N2878=1000),"",INDEX(Rules!$C:$C,N2878))</f>
        <v/>
      </c>
      <c r="G2878" s="24"/>
      <c r="H2878" s="24"/>
      <c r="I2878" s="20" t="str">
        <f aca="false">IF(B2878="","",IF(G2878&lt;&gt;"",G2878,E2878))</f>
        <v/>
      </c>
      <c r="J2878" s="21" t="str">
        <f aca="false">IF(B2878="","",IF(H2878&lt;&gt;"",H2878,F2878))</f>
        <v/>
      </c>
      <c r="K2878" s="26" t="str">
        <f aca="false">IF(A2878="","",DATE(YEAR(A2878),MONTH(A2878),1))</f>
        <v/>
      </c>
      <c r="L2878" s="21" t="str">
        <f aca="false">IF(J2878="",IF(B2878="","",IF(N(C2878)&gt;=0,"Income","Expense")),IFERROR(INDEX(Lists!$B$2:$B$30,MATCH(J2878,Lists!$A$2:$A$30,0)),""))</f>
        <v/>
      </c>
      <c r="M2878" s="24"/>
      <c r="N2878" s="27" t="str">
        <f aca="false">IF(B2878="","",IFERROR(1000-SUMPRODUCT(MAX(ISNUMBER(SEARCH(Rules!$A$5:$A$204,B2878))*(Rules!$A$5:$A$204&lt;&gt;"")*(1000-ROW(Rules!$A$5:$A$204)))),""))</f>
        <v/>
      </c>
    </row>
    <row r="2879" customFormat="false" ht="15" hidden="false" customHeight="false" outlineLevel="0" collapsed="false">
      <c r="A2879" s="23"/>
      <c r="B2879" s="24"/>
      <c r="C2879" s="25"/>
      <c r="D2879" s="24"/>
      <c r="E2879" s="21" t="str">
        <f aca="false">IF(OR(B2879="",N(N2879)=0,N2879=1000),IF(B2879="","","Check"),INDEX(Rules!$B:$B,N2879))</f>
        <v/>
      </c>
      <c r="F2879" s="21" t="str">
        <f aca="false">IF(OR(B2879="",N(N2879)=0,N2879=1000),"",INDEX(Rules!$C:$C,N2879))</f>
        <v/>
      </c>
      <c r="G2879" s="24"/>
      <c r="H2879" s="24"/>
      <c r="I2879" s="20" t="str">
        <f aca="false">IF(B2879="","",IF(G2879&lt;&gt;"",G2879,E2879))</f>
        <v/>
      </c>
      <c r="J2879" s="21" t="str">
        <f aca="false">IF(B2879="","",IF(H2879&lt;&gt;"",H2879,F2879))</f>
        <v/>
      </c>
      <c r="K2879" s="26" t="str">
        <f aca="false">IF(A2879="","",DATE(YEAR(A2879),MONTH(A2879),1))</f>
        <v/>
      </c>
      <c r="L2879" s="21" t="str">
        <f aca="false">IF(J2879="",IF(B2879="","",IF(N(C2879)&gt;=0,"Income","Expense")),IFERROR(INDEX(Lists!$B$2:$B$30,MATCH(J2879,Lists!$A$2:$A$30,0)),""))</f>
        <v/>
      </c>
      <c r="M2879" s="24"/>
      <c r="N2879" s="27" t="str">
        <f aca="false">IF(B2879="","",IFERROR(1000-SUMPRODUCT(MAX(ISNUMBER(SEARCH(Rules!$A$5:$A$204,B2879))*(Rules!$A$5:$A$204&lt;&gt;"")*(1000-ROW(Rules!$A$5:$A$204)))),""))</f>
        <v/>
      </c>
    </row>
    <row r="2880" customFormat="false" ht="15" hidden="false" customHeight="false" outlineLevel="0" collapsed="false">
      <c r="A2880" s="23"/>
      <c r="B2880" s="24"/>
      <c r="C2880" s="25"/>
      <c r="D2880" s="24"/>
      <c r="E2880" s="21" t="str">
        <f aca="false">IF(OR(B2880="",N(N2880)=0,N2880=1000),IF(B2880="","","Check"),INDEX(Rules!$B:$B,N2880))</f>
        <v/>
      </c>
      <c r="F2880" s="21" t="str">
        <f aca="false">IF(OR(B2880="",N(N2880)=0,N2880=1000),"",INDEX(Rules!$C:$C,N2880))</f>
        <v/>
      </c>
      <c r="G2880" s="24"/>
      <c r="H2880" s="24"/>
      <c r="I2880" s="20" t="str">
        <f aca="false">IF(B2880="","",IF(G2880&lt;&gt;"",G2880,E2880))</f>
        <v/>
      </c>
      <c r="J2880" s="21" t="str">
        <f aca="false">IF(B2880="","",IF(H2880&lt;&gt;"",H2880,F2880))</f>
        <v/>
      </c>
      <c r="K2880" s="26" t="str">
        <f aca="false">IF(A2880="","",DATE(YEAR(A2880),MONTH(A2880),1))</f>
        <v/>
      </c>
      <c r="L2880" s="21" t="str">
        <f aca="false">IF(J2880="",IF(B2880="","",IF(N(C2880)&gt;=0,"Income","Expense")),IFERROR(INDEX(Lists!$B$2:$B$30,MATCH(J2880,Lists!$A$2:$A$30,0)),""))</f>
        <v/>
      </c>
      <c r="M2880" s="24"/>
      <c r="N2880" s="27" t="str">
        <f aca="false">IF(B2880="","",IFERROR(1000-SUMPRODUCT(MAX(ISNUMBER(SEARCH(Rules!$A$5:$A$204,B2880))*(Rules!$A$5:$A$204&lt;&gt;"")*(1000-ROW(Rules!$A$5:$A$204)))),""))</f>
        <v/>
      </c>
    </row>
    <row r="2881" customFormat="false" ht="15" hidden="false" customHeight="false" outlineLevel="0" collapsed="false">
      <c r="A2881" s="23"/>
      <c r="B2881" s="24"/>
      <c r="C2881" s="25"/>
      <c r="D2881" s="24"/>
      <c r="E2881" s="21" t="str">
        <f aca="false">IF(OR(B2881="",N(N2881)=0,N2881=1000),IF(B2881="","","Check"),INDEX(Rules!$B:$B,N2881))</f>
        <v/>
      </c>
      <c r="F2881" s="21" t="str">
        <f aca="false">IF(OR(B2881="",N(N2881)=0,N2881=1000),"",INDEX(Rules!$C:$C,N2881))</f>
        <v/>
      </c>
      <c r="G2881" s="24"/>
      <c r="H2881" s="24"/>
      <c r="I2881" s="20" t="str">
        <f aca="false">IF(B2881="","",IF(G2881&lt;&gt;"",G2881,E2881))</f>
        <v/>
      </c>
      <c r="J2881" s="21" t="str">
        <f aca="false">IF(B2881="","",IF(H2881&lt;&gt;"",H2881,F2881))</f>
        <v/>
      </c>
      <c r="K2881" s="26" t="str">
        <f aca="false">IF(A2881="","",DATE(YEAR(A2881),MONTH(A2881),1))</f>
        <v/>
      </c>
      <c r="L2881" s="21" t="str">
        <f aca="false">IF(J2881="",IF(B2881="","",IF(N(C2881)&gt;=0,"Income","Expense")),IFERROR(INDEX(Lists!$B$2:$B$30,MATCH(J2881,Lists!$A$2:$A$30,0)),""))</f>
        <v/>
      </c>
      <c r="M2881" s="24"/>
      <c r="N2881" s="27" t="str">
        <f aca="false">IF(B2881="","",IFERROR(1000-SUMPRODUCT(MAX(ISNUMBER(SEARCH(Rules!$A$5:$A$204,B2881))*(Rules!$A$5:$A$204&lt;&gt;"")*(1000-ROW(Rules!$A$5:$A$204)))),""))</f>
        <v/>
      </c>
    </row>
    <row r="2882" customFormat="false" ht="15" hidden="false" customHeight="false" outlineLevel="0" collapsed="false">
      <c r="A2882" s="23"/>
      <c r="B2882" s="24"/>
      <c r="C2882" s="25"/>
      <c r="D2882" s="24"/>
      <c r="E2882" s="21" t="str">
        <f aca="false">IF(OR(B2882="",N(N2882)=0,N2882=1000),IF(B2882="","","Check"),INDEX(Rules!$B:$B,N2882))</f>
        <v/>
      </c>
      <c r="F2882" s="21" t="str">
        <f aca="false">IF(OR(B2882="",N(N2882)=0,N2882=1000),"",INDEX(Rules!$C:$C,N2882))</f>
        <v/>
      </c>
      <c r="G2882" s="24"/>
      <c r="H2882" s="24"/>
      <c r="I2882" s="20" t="str">
        <f aca="false">IF(B2882="","",IF(G2882&lt;&gt;"",G2882,E2882))</f>
        <v/>
      </c>
      <c r="J2882" s="21" t="str">
        <f aca="false">IF(B2882="","",IF(H2882&lt;&gt;"",H2882,F2882))</f>
        <v/>
      </c>
      <c r="K2882" s="26" t="str">
        <f aca="false">IF(A2882="","",DATE(YEAR(A2882),MONTH(A2882),1))</f>
        <v/>
      </c>
      <c r="L2882" s="21" t="str">
        <f aca="false">IF(J2882="",IF(B2882="","",IF(N(C2882)&gt;=0,"Income","Expense")),IFERROR(INDEX(Lists!$B$2:$B$30,MATCH(J2882,Lists!$A$2:$A$30,0)),""))</f>
        <v/>
      </c>
      <c r="M2882" s="24"/>
      <c r="N2882" s="27" t="str">
        <f aca="false">IF(B2882="","",IFERROR(1000-SUMPRODUCT(MAX(ISNUMBER(SEARCH(Rules!$A$5:$A$204,B2882))*(Rules!$A$5:$A$204&lt;&gt;"")*(1000-ROW(Rules!$A$5:$A$204)))),""))</f>
        <v/>
      </c>
    </row>
    <row r="2883" customFormat="false" ht="15" hidden="false" customHeight="false" outlineLevel="0" collapsed="false">
      <c r="A2883" s="23"/>
      <c r="B2883" s="24"/>
      <c r="C2883" s="25"/>
      <c r="D2883" s="24"/>
      <c r="E2883" s="21" t="str">
        <f aca="false">IF(OR(B2883="",N(N2883)=0,N2883=1000),IF(B2883="","","Check"),INDEX(Rules!$B:$B,N2883))</f>
        <v/>
      </c>
      <c r="F2883" s="21" t="str">
        <f aca="false">IF(OR(B2883="",N(N2883)=0,N2883=1000),"",INDEX(Rules!$C:$C,N2883))</f>
        <v/>
      </c>
      <c r="G2883" s="24"/>
      <c r="H2883" s="24"/>
      <c r="I2883" s="20" t="str">
        <f aca="false">IF(B2883="","",IF(G2883&lt;&gt;"",G2883,E2883))</f>
        <v/>
      </c>
      <c r="J2883" s="21" t="str">
        <f aca="false">IF(B2883="","",IF(H2883&lt;&gt;"",H2883,F2883))</f>
        <v/>
      </c>
      <c r="K2883" s="26" t="str">
        <f aca="false">IF(A2883="","",DATE(YEAR(A2883),MONTH(A2883),1))</f>
        <v/>
      </c>
      <c r="L2883" s="21" t="str">
        <f aca="false">IF(J2883="",IF(B2883="","",IF(N(C2883)&gt;=0,"Income","Expense")),IFERROR(INDEX(Lists!$B$2:$B$30,MATCH(J2883,Lists!$A$2:$A$30,0)),""))</f>
        <v/>
      </c>
      <c r="M2883" s="24"/>
      <c r="N2883" s="27" t="str">
        <f aca="false">IF(B2883="","",IFERROR(1000-SUMPRODUCT(MAX(ISNUMBER(SEARCH(Rules!$A$5:$A$204,B2883))*(Rules!$A$5:$A$204&lt;&gt;"")*(1000-ROW(Rules!$A$5:$A$204)))),""))</f>
        <v/>
      </c>
    </row>
    <row r="2884" customFormat="false" ht="15" hidden="false" customHeight="false" outlineLevel="0" collapsed="false">
      <c r="A2884" s="23"/>
      <c r="B2884" s="24"/>
      <c r="C2884" s="25"/>
      <c r="D2884" s="24"/>
      <c r="E2884" s="21" t="str">
        <f aca="false">IF(OR(B2884="",N(N2884)=0,N2884=1000),IF(B2884="","","Check"),INDEX(Rules!$B:$B,N2884))</f>
        <v/>
      </c>
      <c r="F2884" s="21" t="str">
        <f aca="false">IF(OR(B2884="",N(N2884)=0,N2884=1000),"",INDEX(Rules!$C:$C,N2884))</f>
        <v/>
      </c>
      <c r="G2884" s="24"/>
      <c r="H2884" s="24"/>
      <c r="I2884" s="20" t="str">
        <f aca="false">IF(B2884="","",IF(G2884&lt;&gt;"",G2884,E2884))</f>
        <v/>
      </c>
      <c r="J2884" s="21" t="str">
        <f aca="false">IF(B2884="","",IF(H2884&lt;&gt;"",H2884,F2884))</f>
        <v/>
      </c>
      <c r="K2884" s="26" t="str">
        <f aca="false">IF(A2884="","",DATE(YEAR(A2884),MONTH(A2884),1))</f>
        <v/>
      </c>
      <c r="L2884" s="21" t="str">
        <f aca="false">IF(J2884="",IF(B2884="","",IF(N(C2884)&gt;=0,"Income","Expense")),IFERROR(INDEX(Lists!$B$2:$B$30,MATCH(J2884,Lists!$A$2:$A$30,0)),""))</f>
        <v/>
      </c>
      <c r="M2884" s="24"/>
      <c r="N2884" s="27" t="str">
        <f aca="false">IF(B2884="","",IFERROR(1000-SUMPRODUCT(MAX(ISNUMBER(SEARCH(Rules!$A$5:$A$204,B2884))*(Rules!$A$5:$A$204&lt;&gt;"")*(1000-ROW(Rules!$A$5:$A$204)))),""))</f>
        <v/>
      </c>
    </row>
    <row r="2885" customFormat="false" ht="15" hidden="false" customHeight="false" outlineLevel="0" collapsed="false">
      <c r="A2885" s="23"/>
      <c r="B2885" s="24"/>
      <c r="C2885" s="25"/>
      <c r="D2885" s="24"/>
      <c r="E2885" s="21" t="str">
        <f aca="false">IF(OR(B2885="",N(N2885)=0,N2885=1000),IF(B2885="","","Check"),INDEX(Rules!$B:$B,N2885))</f>
        <v/>
      </c>
      <c r="F2885" s="21" t="str">
        <f aca="false">IF(OR(B2885="",N(N2885)=0,N2885=1000),"",INDEX(Rules!$C:$C,N2885))</f>
        <v/>
      </c>
      <c r="G2885" s="24"/>
      <c r="H2885" s="24"/>
      <c r="I2885" s="20" t="str">
        <f aca="false">IF(B2885="","",IF(G2885&lt;&gt;"",G2885,E2885))</f>
        <v/>
      </c>
      <c r="J2885" s="21" t="str">
        <f aca="false">IF(B2885="","",IF(H2885&lt;&gt;"",H2885,F2885))</f>
        <v/>
      </c>
      <c r="K2885" s="26" t="str">
        <f aca="false">IF(A2885="","",DATE(YEAR(A2885),MONTH(A2885),1))</f>
        <v/>
      </c>
      <c r="L2885" s="21" t="str">
        <f aca="false">IF(J2885="",IF(B2885="","",IF(N(C2885)&gt;=0,"Income","Expense")),IFERROR(INDEX(Lists!$B$2:$B$30,MATCH(J2885,Lists!$A$2:$A$30,0)),""))</f>
        <v/>
      </c>
      <c r="M2885" s="24"/>
      <c r="N2885" s="27" t="str">
        <f aca="false">IF(B2885="","",IFERROR(1000-SUMPRODUCT(MAX(ISNUMBER(SEARCH(Rules!$A$5:$A$204,B2885))*(Rules!$A$5:$A$204&lt;&gt;"")*(1000-ROW(Rules!$A$5:$A$204)))),""))</f>
        <v/>
      </c>
    </row>
    <row r="2886" customFormat="false" ht="15" hidden="false" customHeight="false" outlineLevel="0" collapsed="false">
      <c r="A2886" s="23"/>
      <c r="B2886" s="24"/>
      <c r="C2886" s="25"/>
      <c r="D2886" s="24"/>
      <c r="E2886" s="21" t="str">
        <f aca="false">IF(OR(B2886="",N(N2886)=0,N2886=1000),IF(B2886="","","Check"),INDEX(Rules!$B:$B,N2886))</f>
        <v/>
      </c>
      <c r="F2886" s="21" t="str">
        <f aca="false">IF(OR(B2886="",N(N2886)=0,N2886=1000),"",INDEX(Rules!$C:$C,N2886))</f>
        <v/>
      </c>
      <c r="G2886" s="24"/>
      <c r="H2886" s="24"/>
      <c r="I2886" s="20" t="str">
        <f aca="false">IF(B2886="","",IF(G2886&lt;&gt;"",G2886,E2886))</f>
        <v/>
      </c>
      <c r="J2886" s="21" t="str">
        <f aca="false">IF(B2886="","",IF(H2886&lt;&gt;"",H2886,F2886))</f>
        <v/>
      </c>
      <c r="K2886" s="26" t="str">
        <f aca="false">IF(A2886="","",DATE(YEAR(A2886),MONTH(A2886),1))</f>
        <v/>
      </c>
      <c r="L2886" s="21" t="str">
        <f aca="false">IF(J2886="",IF(B2886="","",IF(N(C2886)&gt;=0,"Income","Expense")),IFERROR(INDEX(Lists!$B$2:$B$30,MATCH(J2886,Lists!$A$2:$A$30,0)),""))</f>
        <v/>
      </c>
      <c r="M2886" s="24"/>
      <c r="N2886" s="27" t="str">
        <f aca="false">IF(B2886="","",IFERROR(1000-SUMPRODUCT(MAX(ISNUMBER(SEARCH(Rules!$A$5:$A$204,B2886))*(Rules!$A$5:$A$204&lt;&gt;"")*(1000-ROW(Rules!$A$5:$A$204)))),""))</f>
        <v/>
      </c>
    </row>
    <row r="2887" customFormat="false" ht="15" hidden="false" customHeight="false" outlineLevel="0" collapsed="false">
      <c r="A2887" s="23"/>
      <c r="B2887" s="24"/>
      <c r="C2887" s="25"/>
      <c r="D2887" s="24"/>
      <c r="E2887" s="21" t="str">
        <f aca="false">IF(OR(B2887="",N(N2887)=0,N2887=1000),IF(B2887="","","Check"),INDEX(Rules!$B:$B,N2887))</f>
        <v/>
      </c>
      <c r="F2887" s="21" t="str">
        <f aca="false">IF(OR(B2887="",N(N2887)=0,N2887=1000),"",INDEX(Rules!$C:$C,N2887))</f>
        <v/>
      </c>
      <c r="G2887" s="24"/>
      <c r="H2887" s="24"/>
      <c r="I2887" s="20" t="str">
        <f aca="false">IF(B2887="","",IF(G2887&lt;&gt;"",G2887,E2887))</f>
        <v/>
      </c>
      <c r="J2887" s="21" t="str">
        <f aca="false">IF(B2887="","",IF(H2887&lt;&gt;"",H2887,F2887))</f>
        <v/>
      </c>
      <c r="K2887" s="26" t="str">
        <f aca="false">IF(A2887="","",DATE(YEAR(A2887),MONTH(A2887),1))</f>
        <v/>
      </c>
      <c r="L2887" s="21" t="str">
        <f aca="false">IF(J2887="",IF(B2887="","",IF(N(C2887)&gt;=0,"Income","Expense")),IFERROR(INDEX(Lists!$B$2:$B$30,MATCH(J2887,Lists!$A$2:$A$30,0)),""))</f>
        <v/>
      </c>
      <c r="M2887" s="24"/>
      <c r="N2887" s="27" t="str">
        <f aca="false">IF(B2887="","",IFERROR(1000-SUMPRODUCT(MAX(ISNUMBER(SEARCH(Rules!$A$5:$A$204,B2887))*(Rules!$A$5:$A$204&lt;&gt;"")*(1000-ROW(Rules!$A$5:$A$204)))),""))</f>
        <v/>
      </c>
    </row>
    <row r="2888" customFormat="false" ht="15" hidden="false" customHeight="false" outlineLevel="0" collapsed="false">
      <c r="A2888" s="23"/>
      <c r="B2888" s="24"/>
      <c r="C2888" s="25"/>
      <c r="D2888" s="24"/>
      <c r="E2888" s="21" t="str">
        <f aca="false">IF(OR(B2888="",N(N2888)=0,N2888=1000),IF(B2888="","","Check"),INDEX(Rules!$B:$B,N2888))</f>
        <v/>
      </c>
      <c r="F2888" s="21" t="str">
        <f aca="false">IF(OR(B2888="",N(N2888)=0,N2888=1000),"",INDEX(Rules!$C:$C,N2888))</f>
        <v/>
      </c>
      <c r="G2888" s="24"/>
      <c r="H2888" s="24"/>
      <c r="I2888" s="20" t="str">
        <f aca="false">IF(B2888="","",IF(G2888&lt;&gt;"",G2888,E2888))</f>
        <v/>
      </c>
      <c r="J2888" s="21" t="str">
        <f aca="false">IF(B2888="","",IF(H2888&lt;&gt;"",H2888,F2888))</f>
        <v/>
      </c>
      <c r="K2888" s="26" t="str">
        <f aca="false">IF(A2888="","",DATE(YEAR(A2888),MONTH(A2888),1))</f>
        <v/>
      </c>
      <c r="L2888" s="21" t="str">
        <f aca="false">IF(J2888="",IF(B2888="","",IF(N(C2888)&gt;=0,"Income","Expense")),IFERROR(INDEX(Lists!$B$2:$B$30,MATCH(J2888,Lists!$A$2:$A$30,0)),""))</f>
        <v/>
      </c>
      <c r="M2888" s="24"/>
      <c r="N2888" s="27" t="str">
        <f aca="false">IF(B2888="","",IFERROR(1000-SUMPRODUCT(MAX(ISNUMBER(SEARCH(Rules!$A$5:$A$204,B2888))*(Rules!$A$5:$A$204&lt;&gt;"")*(1000-ROW(Rules!$A$5:$A$204)))),""))</f>
        <v/>
      </c>
    </row>
    <row r="2889" customFormat="false" ht="15" hidden="false" customHeight="false" outlineLevel="0" collapsed="false">
      <c r="A2889" s="23"/>
      <c r="B2889" s="24"/>
      <c r="C2889" s="25"/>
      <c r="D2889" s="24"/>
      <c r="E2889" s="21" t="str">
        <f aca="false">IF(OR(B2889="",N(N2889)=0,N2889=1000),IF(B2889="","","Check"),INDEX(Rules!$B:$B,N2889))</f>
        <v/>
      </c>
      <c r="F2889" s="21" t="str">
        <f aca="false">IF(OR(B2889="",N(N2889)=0,N2889=1000),"",INDEX(Rules!$C:$C,N2889))</f>
        <v/>
      </c>
      <c r="G2889" s="24"/>
      <c r="H2889" s="24"/>
      <c r="I2889" s="20" t="str">
        <f aca="false">IF(B2889="","",IF(G2889&lt;&gt;"",G2889,E2889))</f>
        <v/>
      </c>
      <c r="J2889" s="21" t="str">
        <f aca="false">IF(B2889="","",IF(H2889&lt;&gt;"",H2889,F2889))</f>
        <v/>
      </c>
      <c r="K2889" s="26" t="str">
        <f aca="false">IF(A2889="","",DATE(YEAR(A2889),MONTH(A2889),1))</f>
        <v/>
      </c>
      <c r="L2889" s="21" t="str">
        <f aca="false">IF(J2889="",IF(B2889="","",IF(N(C2889)&gt;=0,"Income","Expense")),IFERROR(INDEX(Lists!$B$2:$B$30,MATCH(J2889,Lists!$A$2:$A$30,0)),""))</f>
        <v/>
      </c>
      <c r="M2889" s="24"/>
      <c r="N2889" s="27" t="str">
        <f aca="false">IF(B2889="","",IFERROR(1000-SUMPRODUCT(MAX(ISNUMBER(SEARCH(Rules!$A$5:$A$204,B2889))*(Rules!$A$5:$A$204&lt;&gt;"")*(1000-ROW(Rules!$A$5:$A$204)))),""))</f>
        <v/>
      </c>
    </row>
    <row r="2890" customFormat="false" ht="15" hidden="false" customHeight="false" outlineLevel="0" collapsed="false">
      <c r="A2890" s="23"/>
      <c r="B2890" s="24"/>
      <c r="C2890" s="25"/>
      <c r="D2890" s="24"/>
      <c r="E2890" s="21" t="str">
        <f aca="false">IF(OR(B2890="",N(N2890)=0,N2890=1000),IF(B2890="","","Check"),INDEX(Rules!$B:$B,N2890))</f>
        <v/>
      </c>
      <c r="F2890" s="21" t="str">
        <f aca="false">IF(OR(B2890="",N(N2890)=0,N2890=1000),"",INDEX(Rules!$C:$C,N2890))</f>
        <v/>
      </c>
      <c r="G2890" s="24"/>
      <c r="H2890" s="24"/>
      <c r="I2890" s="20" t="str">
        <f aca="false">IF(B2890="","",IF(G2890&lt;&gt;"",G2890,E2890))</f>
        <v/>
      </c>
      <c r="J2890" s="21" t="str">
        <f aca="false">IF(B2890="","",IF(H2890&lt;&gt;"",H2890,F2890))</f>
        <v/>
      </c>
      <c r="K2890" s="26" t="str">
        <f aca="false">IF(A2890="","",DATE(YEAR(A2890),MONTH(A2890),1))</f>
        <v/>
      </c>
      <c r="L2890" s="21" t="str">
        <f aca="false">IF(J2890="",IF(B2890="","",IF(N(C2890)&gt;=0,"Income","Expense")),IFERROR(INDEX(Lists!$B$2:$B$30,MATCH(J2890,Lists!$A$2:$A$30,0)),""))</f>
        <v/>
      </c>
      <c r="M2890" s="24"/>
      <c r="N2890" s="27" t="str">
        <f aca="false">IF(B2890="","",IFERROR(1000-SUMPRODUCT(MAX(ISNUMBER(SEARCH(Rules!$A$5:$A$204,B2890))*(Rules!$A$5:$A$204&lt;&gt;"")*(1000-ROW(Rules!$A$5:$A$204)))),""))</f>
        <v/>
      </c>
    </row>
    <row r="2891" customFormat="false" ht="15" hidden="false" customHeight="false" outlineLevel="0" collapsed="false">
      <c r="A2891" s="23"/>
      <c r="B2891" s="24"/>
      <c r="C2891" s="25"/>
      <c r="D2891" s="24"/>
      <c r="E2891" s="21" t="str">
        <f aca="false">IF(OR(B2891="",N(N2891)=0,N2891=1000),IF(B2891="","","Check"),INDEX(Rules!$B:$B,N2891))</f>
        <v/>
      </c>
      <c r="F2891" s="21" t="str">
        <f aca="false">IF(OR(B2891="",N(N2891)=0,N2891=1000),"",INDEX(Rules!$C:$C,N2891))</f>
        <v/>
      </c>
      <c r="G2891" s="24"/>
      <c r="H2891" s="24"/>
      <c r="I2891" s="20" t="str">
        <f aca="false">IF(B2891="","",IF(G2891&lt;&gt;"",G2891,E2891))</f>
        <v/>
      </c>
      <c r="J2891" s="21" t="str">
        <f aca="false">IF(B2891="","",IF(H2891&lt;&gt;"",H2891,F2891))</f>
        <v/>
      </c>
      <c r="K2891" s="26" t="str">
        <f aca="false">IF(A2891="","",DATE(YEAR(A2891),MONTH(A2891),1))</f>
        <v/>
      </c>
      <c r="L2891" s="21" t="str">
        <f aca="false">IF(J2891="",IF(B2891="","",IF(N(C2891)&gt;=0,"Income","Expense")),IFERROR(INDEX(Lists!$B$2:$B$30,MATCH(J2891,Lists!$A$2:$A$30,0)),""))</f>
        <v/>
      </c>
      <c r="M2891" s="24"/>
      <c r="N2891" s="27" t="str">
        <f aca="false">IF(B2891="","",IFERROR(1000-SUMPRODUCT(MAX(ISNUMBER(SEARCH(Rules!$A$5:$A$204,B2891))*(Rules!$A$5:$A$204&lt;&gt;"")*(1000-ROW(Rules!$A$5:$A$204)))),""))</f>
        <v/>
      </c>
    </row>
    <row r="2892" customFormat="false" ht="15" hidden="false" customHeight="false" outlineLevel="0" collapsed="false">
      <c r="A2892" s="23"/>
      <c r="B2892" s="24"/>
      <c r="C2892" s="25"/>
      <c r="D2892" s="24"/>
      <c r="E2892" s="21" t="str">
        <f aca="false">IF(OR(B2892="",N(N2892)=0,N2892=1000),IF(B2892="","","Check"),INDEX(Rules!$B:$B,N2892))</f>
        <v/>
      </c>
      <c r="F2892" s="21" t="str">
        <f aca="false">IF(OR(B2892="",N(N2892)=0,N2892=1000),"",INDEX(Rules!$C:$C,N2892))</f>
        <v/>
      </c>
      <c r="G2892" s="24"/>
      <c r="H2892" s="24"/>
      <c r="I2892" s="20" t="str">
        <f aca="false">IF(B2892="","",IF(G2892&lt;&gt;"",G2892,E2892))</f>
        <v/>
      </c>
      <c r="J2892" s="21" t="str">
        <f aca="false">IF(B2892="","",IF(H2892&lt;&gt;"",H2892,F2892))</f>
        <v/>
      </c>
      <c r="K2892" s="26" t="str">
        <f aca="false">IF(A2892="","",DATE(YEAR(A2892),MONTH(A2892),1))</f>
        <v/>
      </c>
      <c r="L2892" s="21" t="str">
        <f aca="false">IF(J2892="",IF(B2892="","",IF(N(C2892)&gt;=0,"Income","Expense")),IFERROR(INDEX(Lists!$B$2:$B$30,MATCH(J2892,Lists!$A$2:$A$30,0)),""))</f>
        <v/>
      </c>
      <c r="M2892" s="24"/>
      <c r="N2892" s="27" t="str">
        <f aca="false">IF(B2892="","",IFERROR(1000-SUMPRODUCT(MAX(ISNUMBER(SEARCH(Rules!$A$5:$A$204,B2892))*(Rules!$A$5:$A$204&lt;&gt;"")*(1000-ROW(Rules!$A$5:$A$204)))),""))</f>
        <v/>
      </c>
    </row>
    <row r="2893" customFormat="false" ht="15" hidden="false" customHeight="false" outlineLevel="0" collapsed="false">
      <c r="A2893" s="23"/>
      <c r="B2893" s="24"/>
      <c r="C2893" s="25"/>
      <c r="D2893" s="24"/>
      <c r="E2893" s="21" t="str">
        <f aca="false">IF(OR(B2893="",N(N2893)=0,N2893=1000),IF(B2893="","","Check"),INDEX(Rules!$B:$B,N2893))</f>
        <v/>
      </c>
      <c r="F2893" s="21" t="str">
        <f aca="false">IF(OR(B2893="",N(N2893)=0,N2893=1000),"",INDEX(Rules!$C:$C,N2893))</f>
        <v/>
      </c>
      <c r="G2893" s="24"/>
      <c r="H2893" s="24"/>
      <c r="I2893" s="20" t="str">
        <f aca="false">IF(B2893="","",IF(G2893&lt;&gt;"",G2893,E2893))</f>
        <v/>
      </c>
      <c r="J2893" s="21" t="str">
        <f aca="false">IF(B2893="","",IF(H2893&lt;&gt;"",H2893,F2893))</f>
        <v/>
      </c>
      <c r="K2893" s="26" t="str">
        <f aca="false">IF(A2893="","",DATE(YEAR(A2893),MONTH(A2893),1))</f>
        <v/>
      </c>
      <c r="L2893" s="21" t="str">
        <f aca="false">IF(J2893="",IF(B2893="","",IF(N(C2893)&gt;=0,"Income","Expense")),IFERROR(INDEX(Lists!$B$2:$B$30,MATCH(J2893,Lists!$A$2:$A$30,0)),""))</f>
        <v/>
      </c>
      <c r="M2893" s="24"/>
      <c r="N2893" s="27" t="str">
        <f aca="false">IF(B2893="","",IFERROR(1000-SUMPRODUCT(MAX(ISNUMBER(SEARCH(Rules!$A$5:$A$204,B2893))*(Rules!$A$5:$A$204&lt;&gt;"")*(1000-ROW(Rules!$A$5:$A$204)))),""))</f>
        <v/>
      </c>
    </row>
    <row r="2894" customFormat="false" ht="15" hidden="false" customHeight="false" outlineLevel="0" collapsed="false">
      <c r="A2894" s="23"/>
      <c r="B2894" s="24"/>
      <c r="C2894" s="25"/>
      <c r="D2894" s="24"/>
      <c r="E2894" s="21" t="str">
        <f aca="false">IF(OR(B2894="",N(N2894)=0,N2894=1000),IF(B2894="","","Check"),INDEX(Rules!$B:$B,N2894))</f>
        <v/>
      </c>
      <c r="F2894" s="21" t="str">
        <f aca="false">IF(OR(B2894="",N(N2894)=0,N2894=1000),"",INDEX(Rules!$C:$C,N2894))</f>
        <v/>
      </c>
      <c r="G2894" s="24"/>
      <c r="H2894" s="24"/>
      <c r="I2894" s="20" t="str">
        <f aca="false">IF(B2894="","",IF(G2894&lt;&gt;"",G2894,E2894))</f>
        <v/>
      </c>
      <c r="J2894" s="21" t="str">
        <f aca="false">IF(B2894="","",IF(H2894&lt;&gt;"",H2894,F2894))</f>
        <v/>
      </c>
      <c r="K2894" s="26" t="str">
        <f aca="false">IF(A2894="","",DATE(YEAR(A2894),MONTH(A2894),1))</f>
        <v/>
      </c>
      <c r="L2894" s="21" t="str">
        <f aca="false">IF(J2894="",IF(B2894="","",IF(N(C2894)&gt;=0,"Income","Expense")),IFERROR(INDEX(Lists!$B$2:$B$30,MATCH(J2894,Lists!$A$2:$A$30,0)),""))</f>
        <v/>
      </c>
      <c r="M2894" s="24"/>
      <c r="N2894" s="27" t="str">
        <f aca="false">IF(B2894="","",IFERROR(1000-SUMPRODUCT(MAX(ISNUMBER(SEARCH(Rules!$A$5:$A$204,B2894))*(Rules!$A$5:$A$204&lt;&gt;"")*(1000-ROW(Rules!$A$5:$A$204)))),""))</f>
        <v/>
      </c>
    </row>
    <row r="2895" customFormat="false" ht="15" hidden="false" customHeight="false" outlineLevel="0" collapsed="false">
      <c r="A2895" s="23"/>
      <c r="B2895" s="24"/>
      <c r="C2895" s="25"/>
      <c r="D2895" s="24"/>
      <c r="E2895" s="21" t="str">
        <f aca="false">IF(OR(B2895="",N(N2895)=0,N2895=1000),IF(B2895="","","Check"),INDEX(Rules!$B:$B,N2895))</f>
        <v/>
      </c>
      <c r="F2895" s="21" t="str">
        <f aca="false">IF(OR(B2895="",N(N2895)=0,N2895=1000),"",INDEX(Rules!$C:$C,N2895))</f>
        <v/>
      </c>
      <c r="G2895" s="24"/>
      <c r="H2895" s="24"/>
      <c r="I2895" s="20" t="str">
        <f aca="false">IF(B2895="","",IF(G2895&lt;&gt;"",G2895,E2895))</f>
        <v/>
      </c>
      <c r="J2895" s="21" t="str">
        <f aca="false">IF(B2895="","",IF(H2895&lt;&gt;"",H2895,F2895))</f>
        <v/>
      </c>
      <c r="K2895" s="26" t="str">
        <f aca="false">IF(A2895="","",DATE(YEAR(A2895),MONTH(A2895),1))</f>
        <v/>
      </c>
      <c r="L2895" s="21" t="str">
        <f aca="false">IF(J2895="",IF(B2895="","",IF(N(C2895)&gt;=0,"Income","Expense")),IFERROR(INDEX(Lists!$B$2:$B$30,MATCH(J2895,Lists!$A$2:$A$30,0)),""))</f>
        <v/>
      </c>
      <c r="M2895" s="24"/>
      <c r="N2895" s="27" t="str">
        <f aca="false">IF(B2895="","",IFERROR(1000-SUMPRODUCT(MAX(ISNUMBER(SEARCH(Rules!$A$5:$A$204,B2895))*(Rules!$A$5:$A$204&lt;&gt;"")*(1000-ROW(Rules!$A$5:$A$204)))),""))</f>
        <v/>
      </c>
    </row>
    <row r="2896" customFormat="false" ht="15" hidden="false" customHeight="false" outlineLevel="0" collapsed="false">
      <c r="A2896" s="23"/>
      <c r="B2896" s="24"/>
      <c r="C2896" s="25"/>
      <c r="D2896" s="24"/>
      <c r="E2896" s="21" t="str">
        <f aca="false">IF(OR(B2896="",N(N2896)=0,N2896=1000),IF(B2896="","","Check"),INDEX(Rules!$B:$B,N2896))</f>
        <v/>
      </c>
      <c r="F2896" s="21" t="str">
        <f aca="false">IF(OR(B2896="",N(N2896)=0,N2896=1000),"",INDEX(Rules!$C:$C,N2896))</f>
        <v/>
      </c>
      <c r="G2896" s="24"/>
      <c r="H2896" s="24"/>
      <c r="I2896" s="20" t="str">
        <f aca="false">IF(B2896="","",IF(G2896&lt;&gt;"",G2896,E2896))</f>
        <v/>
      </c>
      <c r="J2896" s="21" t="str">
        <f aca="false">IF(B2896="","",IF(H2896&lt;&gt;"",H2896,F2896))</f>
        <v/>
      </c>
      <c r="K2896" s="26" t="str">
        <f aca="false">IF(A2896="","",DATE(YEAR(A2896),MONTH(A2896),1))</f>
        <v/>
      </c>
      <c r="L2896" s="21" t="str">
        <f aca="false">IF(J2896="",IF(B2896="","",IF(N(C2896)&gt;=0,"Income","Expense")),IFERROR(INDEX(Lists!$B$2:$B$30,MATCH(J2896,Lists!$A$2:$A$30,0)),""))</f>
        <v/>
      </c>
      <c r="M2896" s="24"/>
      <c r="N2896" s="27" t="str">
        <f aca="false">IF(B2896="","",IFERROR(1000-SUMPRODUCT(MAX(ISNUMBER(SEARCH(Rules!$A$5:$A$204,B2896))*(Rules!$A$5:$A$204&lt;&gt;"")*(1000-ROW(Rules!$A$5:$A$204)))),""))</f>
        <v/>
      </c>
    </row>
    <row r="2897" customFormat="false" ht="15" hidden="false" customHeight="false" outlineLevel="0" collapsed="false">
      <c r="A2897" s="23"/>
      <c r="B2897" s="24"/>
      <c r="C2897" s="25"/>
      <c r="D2897" s="24"/>
      <c r="E2897" s="21" t="str">
        <f aca="false">IF(OR(B2897="",N(N2897)=0,N2897=1000),IF(B2897="","","Check"),INDEX(Rules!$B:$B,N2897))</f>
        <v/>
      </c>
      <c r="F2897" s="21" t="str">
        <f aca="false">IF(OR(B2897="",N(N2897)=0,N2897=1000),"",INDEX(Rules!$C:$C,N2897))</f>
        <v/>
      </c>
      <c r="G2897" s="24"/>
      <c r="H2897" s="24"/>
      <c r="I2897" s="20" t="str">
        <f aca="false">IF(B2897="","",IF(G2897&lt;&gt;"",G2897,E2897))</f>
        <v/>
      </c>
      <c r="J2897" s="21" t="str">
        <f aca="false">IF(B2897="","",IF(H2897&lt;&gt;"",H2897,F2897))</f>
        <v/>
      </c>
      <c r="K2897" s="26" t="str">
        <f aca="false">IF(A2897="","",DATE(YEAR(A2897),MONTH(A2897),1))</f>
        <v/>
      </c>
      <c r="L2897" s="21" t="str">
        <f aca="false">IF(J2897="",IF(B2897="","",IF(N(C2897)&gt;=0,"Income","Expense")),IFERROR(INDEX(Lists!$B$2:$B$30,MATCH(J2897,Lists!$A$2:$A$30,0)),""))</f>
        <v/>
      </c>
      <c r="M2897" s="24"/>
      <c r="N2897" s="27" t="str">
        <f aca="false">IF(B2897="","",IFERROR(1000-SUMPRODUCT(MAX(ISNUMBER(SEARCH(Rules!$A$5:$A$204,B2897))*(Rules!$A$5:$A$204&lt;&gt;"")*(1000-ROW(Rules!$A$5:$A$204)))),""))</f>
        <v/>
      </c>
    </row>
    <row r="2898" customFormat="false" ht="15" hidden="false" customHeight="false" outlineLevel="0" collapsed="false">
      <c r="A2898" s="23"/>
      <c r="B2898" s="24"/>
      <c r="C2898" s="25"/>
      <c r="D2898" s="24"/>
      <c r="E2898" s="21" t="str">
        <f aca="false">IF(OR(B2898="",N(N2898)=0,N2898=1000),IF(B2898="","","Check"),INDEX(Rules!$B:$B,N2898))</f>
        <v/>
      </c>
      <c r="F2898" s="21" t="str">
        <f aca="false">IF(OR(B2898="",N(N2898)=0,N2898=1000),"",INDEX(Rules!$C:$C,N2898))</f>
        <v/>
      </c>
      <c r="G2898" s="24"/>
      <c r="H2898" s="24"/>
      <c r="I2898" s="20" t="str">
        <f aca="false">IF(B2898="","",IF(G2898&lt;&gt;"",G2898,E2898))</f>
        <v/>
      </c>
      <c r="J2898" s="21" t="str">
        <f aca="false">IF(B2898="","",IF(H2898&lt;&gt;"",H2898,F2898))</f>
        <v/>
      </c>
      <c r="K2898" s="26" t="str">
        <f aca="false">IF(A2898="","",DATE(YEAR(A2898),MONTH(A2898),1))</f>
        <v/>
      </c>
      <c r="L2898" s="21" t="str">
        <f aca="false">IF(J2898="",IF(B2898="","",IF(N(C2898)&gt;=0,"Income","Expense")),IFERROR(INDEX(Lists!$B$2:$B$30,MATCH(J2898,Lists!$A$2:$A$30,0)),""))</f>
        <v/>
      </c>
      <c r="M2898" s="24"/>
      <c r="N2898" s="27" t="str">
        <f aca="false">IF(B2898="","",IFERROR(1000-SUMPRODUCT(MAX(ISNUMBER(SEARCH(Rules!$A$5:$A$204,B2898))*(Rules!$A$5:$A$204&lt;&gt;"")*(1000-ROW(Rules!$A$5:$A$204)))),""))</f>
        <v/>
      </c>
    </row>
    <row r="2899" customFormat="false" ht="15" hidden="false" customHeight="false" outlineLevel="0" collapsed="false">
      <c r="A2899" s="23"/>
      <c r="B2899" s="24"/>
      <c r="C2899" s="25"/>
      <c r="D2899" s="24"/>
      <c r="E2899" s="21" t="str">
        <f aca="false">IF(OR(B2899="",N(N2899)=0,N2899=1000),IF(B2899="","","Check"),INDEX(Rules!$B:$B,N2899))</f>
        <v/>
      </c>
      <c r="F2899" s="21" t="str">
        <f aca="false">IF(OR(B2899="",N(N2899)=0,N2899=1000),"",INDEX(Rules!$C:$C,N2899))</f>
        <v/>
      </c>
      <c r="G2899" s="24"/>
      <c r="H2899" s="24"/>
      <c r="I2899" s="20" t="str">
        <f aca="false">IF(B2899="","",IF(G2899&lt;&gt;"",G2899,E2899))</f>
        <v/>
      </c>
      <c r="J2899" s="21" t="str">
        <f aca="false">IF(B2899="","",IF(H2899&lt;&gt;"",H2899,F2899))</f>
        <v/>
      </c>
      <c r="K2899" s="26" t="str">
        <f aca="false">IF(A2899="","",DATE(YEAR(A2899),MONTH(A2899),1))</f>
        <v/>
      </c>
      <c r="L2899" s="21" t="str">
        <f aca="false">IF(J2899="",IF(B2899="","",IF(N(C2899)&gt;=0,"Income","Expense")),IFERROR(INDEX(Lists!$B$2:$B$30,MATCH(J2899,Lists!$A$2:$A$30,0)),""))</f>
        <v/>
      </c>
      <c r="M2899" s="24"/>
      <c r="N2899" s="27" t="str">
        <f aca="false">IF(B2899="","",IFERROR(1000-SUMPRODUCT(MAX(ISNUMBER(SEARCH(Rules!$A$5:$A$204,B2899))*(Rules!$A$5:$A$204&lt;&gt;"")*(1000-ROW(Rules!$A$5:$A$204)))),""))</f>
        <v/>
      </c>
    </row>
    <row r="2900" customFormat="false" ht="15" hidden="false" customHeight="false" outlineLevel="0" collapsed="false">
      <c r="A2900" s="23"/>
      <c r="B2900" s="24"/>
      <c r="C2900" s="25"/>
      <c r="D2900" s="24"/>
      <c r="E2900" s="21" t="str">
        <f aca="false">IF(OR(B2900="",N(N2900)=0,N2900=1000),IF(B2900="","","Check"),INDEX(Rules!$B:$B,N2900))</f>
        <v/>
      </c>
      <c r="F2900" s="21" t="str">
        <f aca="false">IF(OR(B2900="",N(N2900)=0,N2900=1000),"",INDEX(Rules!$C:$C,N2900))</f>
        <v/>
      </c>
      <c r="G2900" s="24"/>
      <c r="H2900" s="24"/>
      <c r="I2900" s="20" t="str">
        <f aca="false">IF(B2900="","",IF(G2900&lt;&gt;"",G2900,E2900))</f>
        <v/>
      </c>
      <c r="J2900" s="21" t="str">
        <f aca="false">IF(B2900="","",IF(H2900&lt;&gt;"",H2900,F2900))</f>
        <v/>
      </c>
      <c r="K2900" s="26" t="str">
        <f aca="false">IF(A2900="","",DATE(YEAR(A2900),MONTH(A2900),1))</f>
        <v/>
      </c>
      <c r="L2900" s="21" t="str">
        <f aca="false">IF(J2900="",IF(B2900="","",IF(N(C2900)&gt;=0,"Income","Expense")),IFERROR(INDEX(Lists!$B$2:$B$30,MATCH(J2900,Lists!$A$2:$A$30,0)),""))</f>
        <v/>
      </c>
      <c r="M2900" s="24"/>
      <c r="N2900" s="27" t="str">
        <f aca="false">IF(B2900="","",IFERROR(1000-SUMPRODUCT(MAX(ISNUMBER(SEARCH(Rules!$A$5:$A$204,B2900))*(Rules!$A$5:$A$204&lt;&gt;"")*(1000-ROW(Rules!$A$5:$A$204)))),""))</f>
        <v/>
      </c>
    </row>
    <row r="2901" customFormat="false" ht="15" hidden="false" customHeight="false" outlineLevel="0" collapsed="false">
      <c r="A2901" s="23"/>
      <c r="B2901" s="24"/>
      <c r="C2901" s="25"/>
      <c r="D2901" s="24"/>
      <c r="E2901" s="21" t="str">
        <f aca="false">IF(OR(B2901="",N(N2901)=0,N2901=1000),IF(B2901="","","Check"),INDEX(Rules!$B:$B,N2901))</f>
        <v/>
      </c>
      <c r="F2901" s="21" t="str">
        <f aca="false">IF(OR(B2901="",N(N2901)=0,N2901=1000),"",INDEX(Rules!$C:$C,N2901))</f>
        <v/>
      </c>
      <c r="G2901" s="24"/>
      <c r="H2901" s="24"/>
      <c r="I2901" s="20" t="str">
        <f aca="false">IF(B2901="","",IF(G2901&lt;&gt;"",G2901,E2901))</f>
        <v/>
      </c>
      <c r="J2901" s="21" t="str">
        <f aca="false">IF(B2901="","",IF(H2901&lt;&gt;"",H2901,F2901))</f>
        <v/>
      </c>
      <c r="K2901" s="26" t="str">
        <f aca="false">IF(A2901="","",DATE(YEAR(A2901),MONTH(A2901),1))</f>
        <v/>
      </c>
      <c r="L2901" s="21" t="str">
        <f aca="false">IF(J2901="",IF(B2901="","",IF(N(C2901)&gt;=0,"Income","Expense")),IFERROR(INDEX(Lists!$B$2:$B$30,MATCH(J2901,Lists!$A$2:$A$30,0)),""))</f>
        <v/>
      </c>
      <c r="M2901" s="24"/>
      <c r="N2901" s="27" t="str">
        <f aca="false">IF(B2901="","",IFERROR(1000-SUMPRODUCT(MAX(ISNUMBER(SEARCH(Rules!$A$5:$A$204,B2901))*(Rules!$A$5:$A$204&lt;&gt;"")*(1000-ROW(Rules!$A$5:$A$204)))),""))</f>
        <v/>
      </c>
    </row>
    <row r="2902" customFormat="false" ht="15" hidden="false" customHeight="false" outlineLevel="0" collapsed="false">
      <c r="A2902" s="23"/>
      <c r="B2902" s="24"/>
      <c r="C2902" s="25"/>
      <c r="D2902" s="24"/>
      <c r="E2902" s="21" t="str">
        <f aca="false">IF(OR(B2902="",N(N2902)=0,N2902=1000),IF(B2902="","","Check"),INDEX(Rules!$B:$B,N2902))</f>
        <v/>
      </c>
      <c r="F2902" s="21" t="str">
        <f aca="false">IF(OR(B2902="",N(N2902)=0,N2902=1000),"",INDEX(Rules!$C:$C,N2902))</f>
        <v/>
      </c>
      <c r="G2902" s="24"/>
      <c r="H2902" s="24"/>
      <c r="I2902" s="20" t="str">
        <f aca="false">IF(B2902="","",IF(G2902&lt;&gt;"",G2902,E2902))</f>
        <v/>
      </c>
      <c r="J2902" s="21" t="str">
        <f aca="false">IF(B2902="","",IF(H2902&lt;&gt;"",H2902,F2902))</f>
        <v/>
      </c>
      <c r="K2902" s="26" t="str">
        <f aca="false">IF(A2902="","",DATE(YEAR(A2902),MONTH(A2902),1))</f>
        <v/>
      </c>
      <c r="L2902" s="21" t="str">
        <f aca="false">IF(J2902="",IF(B2902="","",IF(N(C2902)&gt;=0,"Income","Expense")),IFERROR(INDEX(Lists!$B$2:$B$30,MATCH(J2902,Lists!$A$2:$A$30,0)),""))</f>
        <v/>
      </c>
      <c r="M2902" s="24"/>
      <c r="N2902" s="27" t="str">
        <f aca="false">IF(B2902="","",IFERROR(1000-SUMPRODUCT(MAX(ISNUMBER(SEARCH(Rules!$A$5:$A$204,B2902))*(Rules!$A$5:$A$204&lt;&gt;"")*(1000-ROW(Rules!$A$5:$A$204)))),""))</f>
        <v/>
      </c>
    </row>
    <row r="2903" customFormat="false" ht="15" hidden="false" customHeight="false" outlineLevel="0" collapsed="false">
      <c r="A2903" s="23"/>
      <c r="B2903" s="24"/>
      <c r="C2903" s="25"/>
      <c r="D2903" s="24"/>
      <c r="E2903" s="21" t="str">
        <f aca="false">IF(OR(B2903="",N(N2903)=0,N2903=1000),IF(B2903="","","Check"),INDEX(Rules!$B:$B,N2903))</f>
        <v/>
      </c>
      <c r="F2903" s="21" t="str">
        <f aca="false">IF(OR(B2903="",N(N2903)=0,N2903=1000),"",INDEX(Rules!$C:$C,N2903))</f>
        <v/>
      </c>
      <c r="G2903" s="24"/>
      <c r="H2903" s="24"/>
      <c r="I2903" s="20" t="str">
        <f aca="false">IF(B2903="","",IF(G2903&lt;&gt;"",G2903,E2903))</f>
        <v/>
      </c>
      <c r="J2903" s="21" t="str">
        <f aca="false">IF(B2903="","",IF(H2903&lt;&gt;"",H2903,F2903))</f>
        <v/>
      </c>
      <c r="K2903" s="26" t="str">
        <f aca="false">IF(A2903="","",DATE(YEAR(A2903),MONTH(A2903),1))</f>
        <v/>
      </c>
      <c r="L2903" s="21" t="str">
        <f aca="false">IF(J2903="",IF(B2903="","",IF(N(C2903)&gt;=0,"Income","Expense")),IFERROR(INDEX(Lists!$B$2:$B$30,MATCH(J2903,Lists!$A$2:$A$30,0)),""))</f>
        <v/>
      </c>
      <c r="M2903" s="24"/>
      <c r="N2903" s="27" t="str">
        <f aca="false">IF(B2903="","",IFERROR(1000-SUMPRODUCT(MAX(ISNUMBER(SEARCH(Rules!$A$5:$A$204,B2903))*(Rules!$A$5:$A$204&lt;&gt;"")*(1000-ROW(Rules!$A$5:$A$204)))),""))</f>
        <v/>
      </c>
    </row>
    <row r="2904" customFormat="false" ht="15" hidden="false" customHeight="false" outlineLevel="0" collapsed="false">
      <c r="A2904" s="23"/>
      <c r="B2904" s="24"/>
      <c r="C2904" s="25"/>
      <c r="D2904" s="24"/>
      <c r="E2904" s="21" t="str">
        <f aca="false">IF(OR(B2904="",N(N2904)=0,N2904=1000),IF(B2904="","","Check"),INDEX(Rules!$B:$B,N2904))</f>
        <v/>
      </c>
      <c r="F2904" s="21" t="str">
        <f aca="false">IF(OR(B2904="",N(N2904)=0,N2904=1000),"",INDEX(Rules!$C:$C,N2904))</f>
        <v/>
      </c>
      <c r="G2904" s="24"/>
      <c r="H2904" s="24"/>
      <c r="I2904" s="20" t="str">
        <f aca="false">IF(B2904="","",IF(G2904&lt;&gt;"",G2904,E2904))</f>
        <v/>
      </c>
      <c r="J2904" s="21" t="str">
        <f aca="false">IF(B2904="","",IF(H2904&lt;&gt;"",H2904,F2904))</f>
        <v/>
      </c>
      <c r="K2904" s="26" t="str">
        <f aca="false">IF(A2904="","",DATE(YEAR(A2904),MONTH(A2904),1))</f>
        <v/>
      </c>
      <c r="L2904" s="21" t="str">
        <f aca="false">IF(J2904="",IF(B2904="","",IF(N(C2904)&gt;=0,"Income","Expense")),IFERROR(INDEX(Lists!$B$2:$B$30,MATCH(J2904,Lists!$A$2:$A$30,0)),""))</f>
        <v/>
      </c>
      <c r="M2904" s="24"/>
      <c r="N2904" s="27" t="str">
        <f aca="false">IF(B2904="","",IFERROR(1000-SUMPRODUCT(MAX(ISNUMBER(SEARCH(Rules!$A$5:$A$204,B2904))*(Rules!$A$5:$A$204&lt;&gt;"")*(1000-ROW(Rules!$A$5:$A$204)))),""))</f>
        <v/>
      </c>
    </row>
    <row r="2905" customFormat="false" ht="15" hidden="false" customHeight="false" outlineLevel="0" collapsed="false">
      <c r="A2905" s="23"/>
      <c r="B2905" s="24"/>
      <c r="C2905" s="25"/>
      <c r="D2905" s="24"/>
      <c r="E2905" s="21" t="str">
        <f aca="false">IF(OR(B2905="",N(N2905)=0,N2905=1000),IF(B2905="","","Check"),INDEX(Rules!$B:$B,N2905))</f>
        <v/>
      </c>
      <c r="F2905" s="21" t="str">
        <f aca="false">IF(OR(B2905="",N(N2905)=0,N2905=1000),"",INDEX(Rules!$C:$C,N2905))</f>
        <v/>
      </c>
      <c r="G2905" s="24"/>
      <c r="H2905" s="24"/>
      <c r="I2905" s="20" t="str">
        <f aca="false">IF(B2905="","",IF(G2905&lt;&gt;"",G2905,E2905))</f>
        <v/>
      </c>
      <c r="J2905" s="21" t="str">
        <f aca="false">IF(B2905="","",IF(H2905&lt;&gt;"",H2905,F2905))</f>
        <v/>
      </c>
      <c r="K2905" s="26" t="str">
        <f aca="false">IF(A2905="","",DATE(YEAR(A2905),MONTH(A2905),1))</f>
        <v/>
      </c>
      <c r="L2905" s="21" t="str">
        <f aca="false">IF(J2905="",IF(B2905="","",IF(N(C2905)&gt;=0,"Income","Expense")),IFERROR(INDEX(Lists!$B$2:$B$30,MATCH(J2905,Lists!$A$2:$A$30,0)),""))</f>
        <v/>
      </c>
      <c r="M2905" s="24"/>
      <c r="N2905" s="27" t="str">
        <f aca="false">IF(B2905="","",IFERROR(1000-SUMPRODUCT(MAX(ISNUMBER(SEARCH(Rules!$A$5:$A$204,B2905))*(Rules!$A$5:$A$204&lt;&gt;"")*(1000-ROW(Rules!$A$5:$A$204)))),""))</f>
        <v/>
      </c>
    </row>
    <row r="2906" customFormat="false" ht="15" hidden="false" customHeight="false" outlineLevel="0" collapsed="false">
      <c r="A2906" s="23"/>
      <c r="B2906" s="24"/>
      <c r="C2906" s="25"/>
      <c r="D2906" s="24"/>
      <c r="E2906" s="21" t="str">
        <f aca="false">IF(OR(B2906="",N(N2906)=0,N2906=1000),IF(B2906="","","Check"),INDEX(Rules!$B:$B,N2906))</f>
        <v/>
      </c>
      <c r="F2906" s="21" t="str">
        <f aca="false">IF(OR(B2906="",N(N2906)=0,N2906=1000),"",INDEX(Rules!$C:$C,N2906))</f>
        <v/>
      </c>
      <c r="G2906" s="24"/>
      <c r="H2906" s="24"/>
      <c r="I2906" s="20" t="str">
        <f aca="false">IF(B2906="","",IF(G2906&lt;&gt;"",G2906,E2906))</f>
        <v/>
      </c>
      <c r="J2906" s="21" t="str">
        <f aca="false">IF(B2906="","",IF(H2906&lt;&gt;"",H2906,F2906))</f>
        <v/>
      </c>
      <c r="K2906" s="26" t="str">
        <f aca="false">IF(A2906="","",DATE(YEAR(A2906),MONTH(A2906),1))</f>
        <v/>
      </c>
      <c r="L2906" s="21" t="str">
        <f aca="false">IF(J2906="",IF(B2906="","",IF(N(C2906)&gt;=0,"Income","Expense")),IFERROR(INDEX(Lists!$B$2:$B$30,MATCH(J2906,Lists!$A$2:$A$30,0)),""))</f>
        <v/>
      </c>
      <c r="M2906" s="24"/>
      <c r="N2906" s="27" t="str">
        <f aca="false">IF(B2906="","",IFERROR(1000-SUMPRODUCT(MAX(ISNUMBER(SEARCH(Rules!$A$5:$A$204,B2906))*(Rules!$A$5:$A$204&lt;&gt;"")*(1000-ROW(Rules!$A$5:$A$204)))),""))</f>
        <v/>
      </c>
    </row>
    <row r="2907" customFormat="false" ht="15" hidden="false" customHeight="false" outlineLevel="0" collapsed="false">
      <c r="A2907" s="23"/>
      <c r="B2907" s="24"/>
      <c r="C2907" s="25"/>
      <c r="D2907" s="24"/>
      <c r="E2907" s="21" t="str">
        <f aca="false">IF(OR(B2907="",N(N2907)=0,N2907=1000),IF(B2907="","","Check"),INDEX(Rules!$B:$B,N2907))</f>
        <v/>
      </c>
      <c r="F2907" s="21" t="str">
        <f aca="false">IF(OR(B2907="",N(N2907)=0,N2907=1000),"",INDEX(Rules!$C:$C,N2907))</f>
        <v/>
      </c>
      <c r="G2907" s="24"/>
      <c r="H2907" s="24"/>
      <c r="I2907" s="20" t="str">
        <f aca="false">IF(B2907="","",IF(G2907&lt;&gt;"",G2907,E2907))</f>
        <v/>
      </c>
      <c r="J2907" s="21" t="str">
        <f aca="false">IF(B2907="","",IF(H2907&lt;&gt;"",H2907,F2907))</f>
        <v/>
      </c>
      <c r="K2907" s="26" t="str">
        <f aca="false">IF(A2907="","",DATE(YEAR(A2907),MONTH(A2907),1))</f>
        <v/>
      </c>
      <c r="L2907" s="21" t="str">
        <f aca="false">IF(J2907="",IF(B2907="","",IF(N(C2907)&gt;=0,"Income","Expense")),IFERROR(INDEX(Lists!$B$2:$B$30,MATCH(J2907,Lists!$A$2:$A$30,0)),""))</f>
        <v/>
      </c>
      <c r="M2907" s="24"/>
      <c r="N2907" s="27" t="str">
        <f aca="false">IF(B2907="","",IFERROR(1000-SUMPRODUCT(MAX(ISNUMBER(SEARCH(Rules!$A$5:$A$204,B2907))*(Rules!$A$5:$A$204&lt;&gt;"")*(1000-ROW(Rules!$A$5:$A$204)))),""))</f>
        <v/>
      </c>
    </row>
    <row r="2908" customFormat="false" ht="15" hidden="false" customHeight="false" outlineLevel="0" collapsed="false">
      <c r="A2908" s="23"/>
      <c r="B2908" s="24"/>
      <c r="C2908" s="25"/>
      <c r="D2908" s="24"/>
      <c r="E2908" s="21" t="str">
        <f aca="false">IF(OR(B2908="",N(N2908)=0,N2908=1000),IF(B2908="","","Check"),INDEX(Rules!$B:$B,N2908))</f>
        <v/>
      </c>
      <c r="F2908" s="21" t="str">
        <f aca="false">IF(OR(B2908="",N(N2908)=0,N2908=1000),"",INDEX(Rules!$C:$C,N2908))</f>
        <v/>
      </c>
      <c r="G2908" s="24"/>
      <c r="H2908" s="24"/>
      <c r="I2908" s="20" t="str">
        <f aca="false">IF(B2908="","",IF(G2908&lt;&gt;"",G2908,E2908))</f>
        <v/>
      </c>
      <c r="J2908" s="21" t="str">
        <f aca="false">IF(B2908="","",IF(H2908&lt;&gt;"",H2908,F2908))</f>
        <v/>
      </c>
      <c r="K2908" s="26" t="str">
        <f aca="false">IF(A2908="","",DATE(YEAR(A2908),MONTH(A2908),1))</f>
        <v/>
      </c>
      <c r="L2908" s="21" t="str">
        <f aca="false">IF(J2908="",IF(B2908="","",IF(N(C2908)&gt;=0,"Income","Expense")),IFERROR(INDEX(Lists!$B$2:$B$30,MATCH(J2908,Lists!$A$2:$A$30,0)),""))</f>
        <v/>
      </c>
      <c r="M2908" s="24"/>
      <c r="N2908" s="27" t="str">
        <f aca="false">IF(B2908="","",IFERROR(1000-SUMPRODUCT(MAX(ISNUMBER(SEARCH(Rules!$A$5:$A$204,B2908))*(Rules!$A$5:$A$204&lt;&gt;"")*(1000-ROW(Rules!$A$5:$A$204)))),""))</f>
        <v/>
      </c>
    </row>
    <row r="2909" customFormat="false" ht="15" hidden="false" customHeight="false" outlineLevel="0" collapsed="false">
      <c r="A2909" s="23"/>
      <c r="B2909" s="24"/>
      <c r="C2909" s="25"/>
      <c r="D2909" s="24"/>
      <c r="E2909" s="21" t="str">
        <f aca="false">IF(OR(B2909="",N(N2909)=0,N2909=1000),IF(B2909="","","Check"),INDEX(Rules!$B:$B,N2909))</f>
        <v/>
      </c>
      <c r="F2909" s="21" t="str">
        <f aca="false">IF(OR(B2909="",N(N2909)=0,N2909=1000),"",INDEX(Rules!$C:$C,N2909))</f>
        <v/>
      </c>
      <c r="G2909" s="24"/>
      <c r="H2909" s="24"/>
      <c r="I2909" s="20" t="str">
        <f aca="false">IF(B2909="","",IF(G2909&lt;&gt;"",G2909,E2909))</f>
        <v/>
      </c>
      <c r="J2909" s="21" t="str">
        <f aca="false">IF(B2909="","",IF(H2909&lt;&gt;"",H2909,F2909))</f>
        <v/>
      </c>
      <c r="K2909" s="26" t="str">
        <f aca="false">IF(A2909="","",DATE(YEAR(A2909),MONTH(A2909),1))</f>
        <v/>
      </c>
      <c r="L2909" s="21" t="str">
        <f aca="false">IF(J2909="",IF(B2909="","",IF(N(C2909)&gt;=0,"Income","Expense")),IFERROR(INDEX(Lists!$B$2:$B$30,MATCH(J2909,Lists!$A$2:$A$30,0)),""))</f>
        <v/>
      </c>
      <c r="M2909" s="24"/>
      <c r="N2909" s="27" t="str">
        <f aca="false">IF(B2909="","",IFERROR(1000-SUMPRODUCT(MAX(ISNUMBER(SEARCH(Rules!$A$5:$A$204,B2909))*(Rules!$A$5:$A$204&lt;&gt;"")*(1000-ROW(Rules!$A$5:$A$204)))),""))</f>
        <v/>
      </c>
    </row>
    <row r="2910" customFormat="false" ht="15" hidden="false" customHeight="false" outlineLevel="0" collapsed="false">
      <c r="A2910" s="23"/>
      <c r="B2910" s="24"/>
      <c r="C2910" s="25"/>
      <c r="D2910" s="24"/>
      <c r="E2910" s="21" t="str">
        <f aca="false">IF(OR(B2910="",N(N2910)=0,N2910=1000),IF(B2910="","","Check"),INDEX(Rules!$B:$B,N2910))</f>
        <v/>
      </c>
      <c r="F2910" s="21" t="str">
        <f aca="false">IF(OR(B2910="",N(N2910)=0,N2910=1000),"",INDEX(Rules!$C:$C,N2910))</f>
        <v/>
      </c>
      <c r="G2910" s="24"/>
      <c r="H2910" s="24"/>
      <c r="I2910" s="20" t="str">
        <f aca="false">IF(B2910="","",IF(G2910&lt;&gt;"",G2910,E2910))</f>
        <v/>
      </c>
      <c r="J2910" s="21" t="str">
        <f aca="false">IF(B2910="","",IF(H2910&lt;&gt;"",H2910,F2910))</f>
        <v/>
      </c>
      <c r="K2910" s="26" t="str">
        <f aca="false">IF(A2910="","",DATE(YEAR(A2910),MONTH(A2910),1))</f>
        <v/>
      </c>
      <c r="L2910" s="21" t="str">
        <f aca="false">IF(J2910="",IF(B2910="","",IF(N(C2910)&gt;=0,"Income","Expense")),IFERROR(INDEX(Lists!$B$2:$B$30,MATCH(J2910,Lists!$A$2:$A$30,0)),""))</f>
        <v/>
      </c>
      <c r="M2910" s="24"/>
      <c r="N2910" s="27" t="str">
        <f aca="false">IF(B2910="","",IFERROR(1000-SUMPRODUCT(MAX(ISNUMBER(SEARCH(Rules!$A$5:$A$204,B2910))*(Rules!$A$5:$A$204&lt;&gt;"")*(1000-ROW(Rules!$A$5:$A$204)))),""))</f>
        <v/>
      </c>
    </row>
    <row r="2911" customFormat="false" ht="15" hidden="false" customHeight="false" outlineLevel="0" collapsed="false">
      <c r="A2911" s="23"/>
      <c r="B2911" s="24"/>
      <c r="C2911" s="25"/>
      <c r="D2911" s="24"/>
      <c r="E2911" s="21" t="str">
        <f aca="false">IF(OR(B2911="",N(N2911)=0,N2911=1000),IF(B2911="","","Check"),INDEX(Rules!$B:$B,N2911))</f>
        <v/>
      </c>
      <c r="F2911" s="21" t="str">
        <f aca="false">IF(OR(B2911="",N(N2911)=0,N2911=1000),"",INDEX(Rules!$C:$C,N2911))</f>
        <v/>
      </c>
      <c r="G2911" s="24"/>
      <c r="H2911" s="24"/>
      <c r="I2911" s="20" t="str">
        <f aca="false">IF(B2911="","",IF(G2911&lt;&gt;"",G2911,E2911))</f>
        <v/>
      </c>
      <c r="J2911" s="21" t="str">
        <f aca="false">IF(B2911="","",IF(H2911&lt;&gt;"",H2911,F2911))</f>
        <v/>
      </c>
      <c r="K2911" s="26" t="str">
        <f aca="false">IF(A2911="","",DATE(YEAR(A2911),MONTH(A2911),1))</f>
        <v/>
      </c>
      <c r="L2911" s="21" t="str">
        <f aca="false">IF(J2911="",IF(B2911="","",IF(N(C2911)&gt;=0,"Income","Expense")),IFERROR(INDEX(Lists!$B$2:$B$30,MATCH(J2911,Lists!$A$2:$A$30,0)),""))</f>
        <v/>
      </c>
      <c r="M2911" s="24"/>
      <c r="N2911" s="27" t="str">
        <f aca="false">IF(B2911="","",IFERROR(1000-SUMPRODUCT(MAX(ISNUMBER(SEARCH(Rules!$A$5:$A$204,B2911))*(Rules!$A$5:$A$204&lt;&gt;"")*(1000-ROW(Rules!$A$5:$A$204)))),""))</f>
        <v/>
      </c>
    </row>
    <row r="2912" customFormat="false" ht="15" hidden="false" customHeight="false" outlineLevel="0" collapsed="false">
      <c r="A2912" s="23"/>
      <c r="B2912" s="24"/>
      <c r="C2912" s="25"/>
      <c r="D2912" s="24"/>
      <c r="E2912" s="21" t="str">
        <f aca="false">IF(OR(B2912="",N(N2912)=0,N2912=1000),IF(B2912="","","Check"),INDEX(Rules!$B:$B,N2912))</f>
        <v/>
      </c>
      <c r="F2912" s="21" t="str">
        <f aca="false">IF(OR(B2912="",N(N2912)=0,N2912=1000),"",INDEX(Rules!$C:$C,N2912))</f>
        <v/>
      </c>
      <c r="G2912" s="24"/>
      <c r="H2912" s="24"/>
      <c r="I2912" s="20" t="str">
        <f aca="false">IF(B2912="","",IF(G2912&lt;&gt;"",G2912,E2912))</f>
        <v/>
      </c>
      <c r="J2912" s="21" t="str">
        <f aca="false">IF(B2912="","",IF(H2912&lt;&gt;"",H2912,F2912))</f>
        <v/>
      </c>
      <c r="K2912" s="26" t="str">
        <f aca="false">IF(A2912="","",DATE(YEAR(A2912),MONTH(A2912),1))</f>
        <v/>
      </c>
      <c r="L2912" s="21" t="str">
        <f aca="false">IF(J2912="",IF(B2912="","",IF(N(C2912)&gt;=0,"Income","Expense")),IFERROR(INDEX(Lists!$B$2:$B$30,MATCH(J2912,Lists!$A$2:$A$30,0)),""))</f>
        <v/>
      </c>
      <c r="M2912" s="24"/>
      <c r="N2912" s="27" t="str">
        <f aca="false">IF(B2912="","",IFERROR(1000-SUMPRODUCT(MAX(ISNUMBER(SEARCH(Rules!$A$5:$A$204,B2912))*(Rules!$A$5:$A$204&lt;&gt;"")*(1000-ROW(Rules!$A$5:$A$204)))),""))</f>
        <v/>
      </c>
    </row>
    <row r="2913" customFormat="false" ht="15" hidden="false" customHeight="false" outlineLevel="0" collapsed="false">
      <c r="A2913" s="23"/>
      <c r="B2913" s="24"/>
      <c r="C2913" s="25"/>
      <c r="D2913" s="24"/>
      <c r="E2913" s="21" t="str">
        <f aca="false">IF(OR(B2913="",N(N2913)=0,N2913=1000),IF(B2913="","","Check"),INDEX(Rules!$B:$B,N2913))</f>
        <v/>
      </c>
      <c r="F2913" s="21" t="str">
        <f aca="false">IF(OR(B2913="",N(N2913)=0,N2913=1000),"",INDEX(Rules!$C:$C,N2913))</f>
        <v/>
      </c>
      <c r="G2913" s="24"/>
      <c r="H2913" s="24"/>
      <c r="I2913" s="20" t="str">
        <f aca="false">IF(B2913="","",IF(G2913&lt;&gt;"",G2913,E2913))</f>
        <v/>
      </c>
      <c r="J2913" s="21" t="str">
        <f aca="false">IF(B2913="","",IF(H2913&lt;&gt;"",H2913,F2913))</f>
        <v/>
      </c>
      <c r="K2913" s="26" t="str">
        <f aca="false">IF(A2913="","",DATE(YEAR(A2913),MONTH(A2913),1))</f>
        <v/>
      </c>
      <c r="L2913" s="21" t="str">
        <f aca="false">IF(J2913="",IF(B2913="","",IF(N(C2913)&gt;=0,"Income","Expense")),IFERROR(INDEX(Lists!$B$2:$B$30,MATCH(J2913,Lists!$A$2:$A$30,0)),""))</f>
        <v/>
      </c>
      <c r="M2913" s="24"/>
      <c r="N2913" s="27" t="str">
        <f aca="false">IF(B2913="","",IFERROR(1000-SUMPRODUCT(MAX(ISNUMBER(SEARCH(Rules!$A$5:$A$204,B2913))*(Rules!$A$5:$A$204&lt;&gt;"")*(1000-ROW(Rules!$A$5:$A$204)))),""))</f>
        <v/>
      </c>
    </row>
    <row r="2914" customFormat="false" ht="15" hidden="false" customHeight="false" outlineLevel="0" collapsed="false">
      <c r="A2914" s="23"/>
      <c r="B2914" s="24"/>
      <c r="C2914" s="25"/>
      <c r="D2914" s="24"/>
      <c r="E2914" s="21" t="str">
        <f aca="false">IF(OR(B2914="",N(N2914)=0,N2914=1000),IF(B2914="","","Check"),INDEX(Rules!$B:$B,N2914))</f>
        <v/>
      </c>
      <c r="F2914" s="21" t="str">
        <f aca="false">IF(OR(B2914="",N(N2914)=0,N2914=1000),"",INDEX(Rules!$C:$C,N2914))</f>
        <v/>
      </c>
      <c r="G2914" s="24"/>
      <c r="H2914" s="24"/>
      <c r="I2914" s="20" t="str">
        <f aca="false">IF(B2914="","",IF(G2914&lt;&gt;"",G2914,E2914))</f>
        <v/>
      </c>
      <c r="J2914" s="21" t="str">
        <f aca="false">IF(B2914="","",IF(H2914&lt;&gt;"",H2914,F2914))</f>
        <v/>
      </c>
      <c r="K2914" s="26" t="str">
        <f aca="false">IF(A2914="","",DATE(YEAR(A2914),MONTH(A2914),1))</f>
        <v/>
      </c>
      <c r="L2914" s="21" t="str">
        <f aca="false">IF(J2914="",IF(B2914="","",IF(N(C2914)&gt;=0,"Income","Expense")),IFERROR(INDEX(Lists!$B$2:$B$30,MATCH(J2914,Lists!$A$2:$A$30,0)),""))</f>
        <v/>
      </c>
      <c r="M2914" s="24"/>
      <c r="N2914" s="27" t="str">
        <f aca="false">IF(B2914="","",IFERROR(1000-SUMPRODUCT(MAX(ISNUMBER(SEARCH(Rules!$A$5:$A$204,B2914))*(Rules!$A$5:$A$204&lt;&gt;"")*(1000-ROW(Rules!$A$5:$A$204)))),""))</f>
        <v/>
      </c>
    </row>
    <row r="2915" customFormat="false" ht="15" hidden="false" customHeight="false" outlineLevel="0" collapsed="false">
      <c r="A2915" s="23"/>
      <c r="B2915" s="24"/>
      <c r="C2915" s="25"/>
      <c r="D2915" s="24"/>
      <c r="E2915" s="21" t="str">
        <f aca="false">IF(OR(B2915="",N(N2915)=0,N2915=1000),IF(B2915="","","Check"),INDEX(Rules!$B:$B,N2915))</f>
        <v/>
      </c>
      <c r="F2915" s="21" t="str">
        <f aca="false">IF(OR(B2915="",N(N2915)=0,N2915=1000),"",INDEX(Rules!$C:$C,N2915))</f>
        <v/>
      </c>
      <c r="G2915" s="24"/>
      <c r="H2915" s="24"/>
      <c r="I2915" s="20" t="str">
        <f aca="false">IF(B2915="","",IF(G2915&lt;&gt;"",G2915,E2915))</f>
        <v/>
      </c>
      <c r="J2915" s="21" t="str">
        <f aca="false">IF(B2915="","",IF(H2915&lt;&gt;"",H2915,F2915))</f>
        <v/>
      </c>
      <c r="K2915" s="26" t="str">
        <f aca="false">IF(A2915="","",DATE(YEAR(A2915),MONTH(A2915),1))</f>
        <v/>
      </c>
      <c r="L2915" s="21" t="str">
        <f aca="false">IF(J2915="",IF(B2915="","",IF(N(C2915)&gt;=0,"Income","Expense")),IFERROR(INDEX(Lists!$B$2:$B$30,MATCH(J2915,Lists!$A$2:$A$30,0)),""))</f>
        <v/>
      </c>
      <c r="M2915" s="24"/>
      <c r="N2915" s="27" t="str">
        <f aca="false">IF(B2915="","",IFERROR(1000-SUMPRODUCT(MAX(ISNUMBER(SEARCH(Rules!$A$5:$A$204,B2915))*(Rules!$A$5:$A$204&lt;&gt;"")*(1000-ROW(Rules!$A$5:$A$204)))),""))</f>
        <v/>
      </c>
    </row>
    <row r="2916" customFormat="false" ht="15" hidden="false" customHeight="false" outlineLevel="0" collapsed="false">
      <c r="A2916" s="23"/>
      <c r="B2916" s="24"/>
      <c r="C2916" s="25"/>
      <c r="D2916" s="24"/>
      <c r="E2916" s="21" t="str">
        <f aca="false">IF(OR(B2916="",N(N2916)=0,N2916=1000),IF(B2916="","","Check"),INDEX(Rules!$B:$B,N2916))</f>
        <v/>
      </c>
      <c r="F2916" s="21" t="str">
        <f aca="false">IF(OR(B2916="",N(N2916)=0,N2916=1000),"",INDEX(Rules!$C:$C,N2916))</f>
        <v/>
      </c>
      <c r="G2916" s="24"/>
      <c r="H2916" s="24"/>
      <c r="I2916" s="20" t="str">
        <f aca="false">IF(B2916="","",IF(G2916&lt;&gt;"",G2916,E2916))</f>
        <v/>
      </c>
      <c r="J2916" s="21" t="str">
        <f aca="false">IF(B2916="","",IF(H2916&lt;&gt;"",H2916,F2916))</f>
        <v/>
      </c>
      <c r="K2916" s="26" t="str">
        <f aca="false">IF(A2916="","",DATE(YEAR(A2916),MONTH(A2916),1))</f>
        <v/>
      </c>
      <c r="L2916" s="21" t="str">
        <f aca="false">IF(J2916="",IF(B2916="","",IF(N(C2916)&gt;=0,"Income","Expense")),IFERROR(INDEX(Lists!$B$2:$B$30,MATCH(J2916,Lists!$A$2:$A$30,0)),""))</f>
        <v/>
      </c>
      <c r="M2916" s="24"/>
      <c r="N2916" s="27" t="str">
        <f aca="false">IF(B2916="","",IFERROR(1000-SUMPRODUCT(MAX(ISNUMBER(SEARCH(Rules!$A$5:$A$204,B2916))*(Rules!$A$5:$A$204&lt;&gt;"")*(1000-ROW(Rules!$A$5:$A$204)))),""))</f>
        <v/>
      </c>
    </row>
    <row r="2917" customFormat="false" ht="15" hidden="false" customHeight="false" outlineLevel="0" collapsed="false">
      <c r="A2917" s="23"/>
      <c r="B2917" s="24"/>
      <c r="C2917" s="25"/>
      <c r="D2917" s="24"/>
      <c r="E2917" s="21" t="str">
        <f aca="false">IF(OR(B2917="",N(N2917)=0,N2917=1000),IF(B2917="","","Check"),INDEX(Rules!$B:$B,N2917))</f>
        <v/>
      </c>
      <c r="F2917" s="21" t="str">
        <f aca="false">IF(OR(B2917="",N(N2917)=0,N2917=1000),"",INDEX(Rules!$C:$C,N2917))</f>
        <v/>
      </c>
      <c r="G2917" s="24"/>
      <c r="H2917" s="24"/>
      <c r="I2917" s="20" t="str">
        <f aca="false">IF(B2917="","",IF(G2917&lt;&gt;"",G2917,E2917))</f>
        <v/>
      </c>
      <c r="J2917" s="21" t="str">
        <f aca="false">IF(B2917="","",IF(H2917&lt;&gt;"",H2917,F2917))</f>
        <v/>
      </c>
      <c r="K2917" s="26" t="str">
        <f aca="false">IF(A2917="","",DATE(YEAR(A2917),MONTH(A2917),1))</f>
        <v/>
      </c>
      <c r="L2917" s="21" t="str">
        <f aca="false">IF(J2917="",IF(B2917="","",IF(N(C2917)&gt;=0,"Income","Expense")),IFERROR(INDEX(Lists!$B$2:$B$30,MATCH(J2917,Lists!$A$2:$A$30,0)),""))</f>
        <v/>
      </c>
      <c r="M2917" s="24"/>
      <c r="N2917" s="27" t="str">
        <f aca="false">IF(B2917="","",IFERROR(1000-SUMPRODUCT(MAX(ISNUMBER(SEARCH(Rules!$A$5:$A$204,B2917))*(Rules!$A$5:$A$204&lt;&gt;"")*(1000-ROW(Rules!$A$5:$A$204)))),""))</f>
        <v/>
      </c>
    </row>
    <row r="2918" customFormat="false" ht="15" hidden="false" customHeight="false" outlineLevel="0" collapsed="false">
      <c r="A2918" s="23"/>
      <c r="B2918" s="24"/>
      <c r="C2918" s="25"/>
      <c r="D2918" s="24"/>
      <c r="E2918" s="21" t="str">
        <f aca="false">IF(OR(B2918="",N(N2918)=0,N2918=1000),IF(B2918="","","Check"),INDEX(Rules!$B:$B,N2918))</f>
        <v/>
      </c>
      <c r="F2918" s="21" t="str">
        <f aca="false">IF(OR(B2918="",N(N2918)=0,N2918=1000),"",INDEX(Rules!$C:$C,N2918))</f>
        <v/>
      </c>
      <c r="G2918" s="24"/>
      <c r="H2918" s="24"/>
      <c r="I2918" s="20" t="str">
        <f aca="false">IF(B2918="","",IF(G2918&lt;&gt;"",G2918,E2918))</f>
        <v/>
      </c>
      <c r="J2918" s="21" t="str">
        <f aca="false">IF(B2918="","",IF(H2918&lt;&gt;"",H2918,F2918))</f>
        <v/>
      </c>
      <c r="K2918" s="26" t="str">
        <f aca="false">IF(A2918="","",DATE(YEAR(A2918),MONTH(A2918),1))</f>
        <v/>
      </c>
      <c r="L2918" s="21" t="str">
        <f aca="false">IF(J2918="",IF(B2918="","",IF(N(C2918)&gt;=0,"Income","Expense")),IFERROR(INDEX(Lists!$B$2:$B$30,MATCH(J2918,Lists!$A$2:$A$30,0)),""))</f>
        <v/>
      </c>
      <c r="M2918" s="24"/>
      <c r="N2918" s="27" t="str">
        <f aca="false">IF(B2918="","",IFERROR(1000-SUMPRODUCT(MAX(ISNUMBER(SEARCH(Rules!$A$5:$A$204,B2918))*(Rules!$A$5:$A$204&lt;&gt;"")*(1000-ROW(Rules!$A$5:$A$204)))),""))</f>
        <v/>
      </c>
    </row>
    <row r="2919" customFormat="false" ht="15" hidden="false" customHeight="false" outlineLevel="0" collapsed="false">
      <c r="A2919" s="23"/>
      <c r="B2919" s="24"/>
      <c r="C2919" s="25"/>
      <c r="D2919" s="24"/>
      <c r="E2919" s="21" t="str">
        <f aca="false">IF(OR(B2919="",N(N2919)=0,N2919=1000),IF(B2919="","","Check"),INDEX(Rules!$B:$B,N2919))</f>
        <v/>
      </c>
      <c r="F2919" s="21" t="str">
        <f aca="false">IF(OR(B2919="",N(N2919)=0,N2919=1000),"",INDEX(Rules!$C:$C,N2919))</f>
        <v/>
      </c>
      <c r="G2919" s="24"/>
      <c r="H2919" s="24"/>
      <c r="I2919" s="20" t="str">
        <f aca="false">IF(B2919="","",IF(G2919&lt;&gt;"",G2919,E2919))</f>
        <v/>
      </c>
      <c r="J2919" s="21" t="str">
        <f aca="false">IF(B2919="","",IF(H2919&lt;&gt;"",H2919,F2919))</f>
        <v/>
      </c>
      <c r="K2919" s="26" t="str">
        <f aca="false">IF(A2919="","",DATE(YEAR(A2919),MONTH(A2919),1))</f>
        <v/>
      </c>
      <c r="L2919" s="21" t="str">
        <f aca="false">IF(J2919="",IF(B2919="","",IF(N(C2919)&gt;=0,"Income","Expense")),IFERROR(INDEX(Lists!$B$2:$B$30,MATCH(J2919,Lists!$A$2:$A$30,0)),""))</f>
        <v/>
      </c>
      <c r="M2919" s="24"/>
      <c r="N2919" s="27" t="str">
        <f aca="false">IF(B2919="","",IFERROR(1000-SUMPRODUCT(MAX(ISNUMBER(SEARCH(Rules!$A$5:$A$204,B2919))*(Rules!$A$5:$A$204&lt;&gt;"")*(1000-ROW(Rules!$A$5:$A$204)))),""))</f>
        <v/>
      </c>
    </row>
    <row r="2920" customFormat="false" ht="15" hidden="false" customHeight="false" outlineLevel="0" collapsed="false">
      <c r="A2920" s="23"/>
      <c r="B2920" s="24"/>
      <c r="C2920" s="25"/>
      <c r="D2920" s="24"/>
      <c r="E2920" s="21" t="str">
        <f aca="false">IF(OR(B2920="",N(N2920)=0,N2920=1000),IF(B2920="","","Check"),INDEX(Rules!$B:$B,N2920))</f>
        <v/>
      </c>
      <c r="F2920" s="21" t="str">
        <f aca="false">IF(OR(B2920="",N(N2920)=0,N2920=1000),"",INDEX(Rules!$C:$C,N2920))</f>
        <v/>
      </c>
      <c r="G2920" s="24"/>
      <c r="H2920" s="24"/>
      <c r="I2920" s="20" t="str">
        <f aca="false">IF(B2920="","",IF(G2920&lt;&gt;"",G2920,E2920))</f>
        <v/>
      </c>
      <c r="J2920" s="21" t="str">
        <f aca="false">IF(B2920="","",IF(H2920&lt;&gt;"",H2920,F2920))</f>
        <v/>
      </c>
      <c r="K2920" s="26" t="str">
        <f aca="false">IF(A2920="","",DATE(YEAR(A2920),MONTH(A2920),1))</f>
        <v/>
      </c>
      <c r="L2920" s="21" t="str">
        <f aca="false">IF(J2920="",IF(B2920="","",IF(N(C2920)&gt;=0,"Income","Expense")),IFERROR(INDEX(Lists!$B$2:$B$30,MATCH(J2920,Lists!$A$2:$A$30,0)),""))</f>
        <v/>
      </c>
      <c r="M2920" s="24"/>
      <c r="N2920" s="27" t="str">
        <f aca="false">IF(B2920="","",IFERROR(1000-SUMPRODUCT(MAX(ISNUMBER(SEARCH(Rules!$A$5:$A$204,B2920))*(Rules!$A$5:$A$204&lt;&gt;"")*(1000-ROW(Rules!$A$5:$A$204)))),""))</f>
        <v/>
      </c>
    </row>
    <row r="2921" customFormat="false" ht="15" hidden="false" customHeight="false" outlineLevel="0" collapsed="false">
      <c r="A2921" s="23"/>
      <c r="B2921" s="24"/>
      <c r="C2921" s="25"/>
      <c r="D2921" s="24"/>
      <c r="E2921" s="21" t="str">
        <f aca="false">IF(OR(B2921="",N(N2921)=0,N2921=1000),IF(B2921="","","Check"),INDEX(Rules!$B:$B,N2921))</f>
        <v/>
      </c>
      <c r="F2921" s="21" t="str">
        <f aca="false">IF(OR(B2921="",N(N2921)=0,N2921=1000),"",INDEX(Rules!$C:$C,N2921))</f>
        <v/>
      </c>
      <c r="G2921" s="24"/>
      <c r="H2921" s="24"/>
      <c r="I2921" s="20" t="str">
        <f aca="false">IF(B2921="","",IF(G2921&lt;&gt;"",G2921,E2921))</f>
        <v/>
      </c>
      <c r="J2921" s="21" t="str">
        <f aca="false">IF(B2921="","",IF(H2921&lt;&gt;"",H2921,F2921))</f>
        <v/>
      </c>
      <c r="K2921" s="26" t="str">
        <f aca="false">IF(A2921="","",DATE(YEAR(A2921),MONTH(A2921),1))</f>
        <v/>
      </c>
      <c r="L2921" s="21" t="str">
        <f aca="false">IF(J2921="",IF(B2921="","",IF(N(C2921)&gt;=0,"Income","Expense")),IFERROR(INDEX(Lists!$B$2:$B$30,MATCH(J2921,Lists!$A$2:$A$30,0)),""))</f>
        <v/>
      </c>
      <c r="M2921" s="24"/>
      <c r="N2921" s="27" t="str">
        <f aca="false">IF(B2921="","",IFERROR(1000-SUMPRODUCT(MAX(ISNUMBER(SEARCH(Rules!$A$5:$A$204,B2921))*(Rules!$A$5:$A$204&lt;&gt;"")*(1000-ROW(Rules!$A$5:$A$204)))),""))</f>
        <v/>
      </c>
    </row>
    <row r="2922" customFormat="false" ht="15" hidden="false" customHeight="false" outlineLevel="0" collapsed="false">
      <c r="A2922" s="23"/>
      <c r="B2922" s="24"/>
      <c r="C2922" s="25"/>
      <c r="D2922" s="24"/>
      <c r="E2922" s="21" t="str">
        <f aca="false">IF(OR(B2922="",N(N2922)=0,N2922=1000),IF(B2922="","","Check"),INDEX(Rules!$B:$B,N2922))</f>
        <v/>
      </c>
      <c r="F2922" s="21" t="str">
        <f aca="false">IF(OR(B2922="",N(N2922)=0,N2922=1000),"",INDEX(Rules!$C:$C,N2922))</f>
        <v/>
      </c>
      <c r="G2922" s="24"/>
      <c r="H2922" s="24"/>
      <c r="I2922" s="20" t="str">
        <f aca="false">IF(B2922="","",IF(G2922&lt;&gt;"",G2922,E2922))</f>
        <v/>
      </c>
      <c r="J2922" s="21" t="str">
        <f aca="false">IF(B2922="","",IF(H2922&lt;&gt;"",H2922,F2922))</f>
        <v/>
      </c>
      <c r="K2922" s="26" t="str">
        <f aca="false">IF(A2922="","",DATE(YEAR(A2922),MONTH(A2922),1))</f>
        <v/>
      </c>
      <c r="L2922" s="21" t="str">
        <f aca="false">IF(J2922="",IF(B2922="","",IF(N(C2922)&gt;=0,"Income","Expense")),IFERROR(INDEX(Lists!$B$2:$B$30,MATCH(J2922,Lists!$A$2:$A$30,0)),""))</f>
        <v/>
      </c>
      <c r="M2922" s="24"/>
      <c r="N2922" s="27" t="str">
        <f aca="false">IF(B2922="","",IFERROR(1000-SUMPRODUCT(MAX(ISNUMBER(SEARCH(Rules!$A$5:$A$204,B2922))*(Rules!$A$5:$A$204&lt;&gt;"")*(1000-ROW(Rules!$A$5:$A$204)))),""))</f>
        <v/>
      </c>
    </row>
    <row r="2923" customFormat="false" ht="15" hidden="false" customHeight="false" outlineLevel="0" collapsed="false">
      <c r="A2923" s="23"/>
      <c r="B2923" s="24"/>
      <c r="C2923" s="25"/>
      <c r="D2923" s="24"/>
      <c r="E2923" s="21" t="str">
        <f aca="false">IF(OR(B2923="",N(N2923)=0,N2923=1000),IF(B2923="","","Check"),INDEX(Rules!$B:$B,N2923))</f>
        <v/>
      </c>
      <c r="F2923" s="21" t="str">
        <f aca="false">IF(OR(B2923="",N(N2923)=0,N2923=1000),"",INDEX(Rules!$C:$C,N2923))</f>
        <v/>
      </c>
      <c r="G2923" s="24"/>
      <c r="H2923" s="24"/>
      <c r="I2923" s="20" t="str">
        <f aca="false">IF(B2923="","",IF(G2923&lt;&gt;"",G2923,E2923))</f>
        <v/>
      </c>
      <c r="J2923" s="21" t="str">
        <f aca="false">IF(B2923="","",IF(H2923&lt;&gt;"",H2923,F2923))</f>
        <v/>
      </c>
      <c r="K2923" s="26" t="str">
        <f aca="false">IF(A2923="","",DATE(YEAR(A2923),MONTH(A2923),1))</f>
        <v/>
      </c>
      <c r="L2923" s="21" t="str">
        <f aca="false">IF(J2923="",IF(B2923="","",IF(N(C2923)&gt;=0,"Income","Expense")),IFERROR(INDEX(Lists!$B$2:$B$30,MATCH(J2923,Lists!$A$2:$A$30,0)),""))</f>
        <v/>
      </c>
      <c r="M2923" s="24"/>
      <c r="N2923" s="27" t="str">
        <f aca="false">IF(B2923="","",IFERROR(1000-SUMPRODUCT(MAX(ISNUMBER(SEARCH(Rules!$A$5:$A$204,B2923))*(Rules!$A$5:$A$204&lt;&gt;"")*(1000-ROW(Rules!$A$5:$A$204)))),""))</f>
        <v/>
      </c>
    </row>
    <row r="2924" customFormat="false" ht="15" hidden="false" customHeight="false" outlineLevel="0" collapsed="false">
      <c r="A2924" s="23"/>
      <c r="B2924" s="24"/>
      <c r="C2924" s="25"/>
      <c r="D2924" s="24"/>
      <c r="E2924" s="21" t="str">
        <f aca="false">IF(OR(B2924="",N(N2924)=0,N2924=1000),IF(B2924="","","Check"),INDEX(Rules!$B:$B,N2924))</f>
        <v/>
      </c>
      <c r="F2924" s="21" t="str">
        <f aca="false">IF(OR(B2924="",N(N2924)=0,N2924=1000),"",INDEX(Rules!$C:$C,N2924))</f>
        <v/>
      </c>
      <c r="G2924" s="24"/>
      <c r="H2924" s="24"/>
      <c r="I2924" s="20" t="str">
        <f aca="false">IF(B2924="","",IF(G2924&lt;&gt;"",G2924,E2924))</f>
        <v/>
      </c>
      <c r="J2924" s="21" t="str">
        <f aca="false">IF(B2924="","",IF(H2924&lt;&gt;"",H2924,F2924))</f>
        <v/>
      </c>
      <c r="K2924" s="26" t="str">
        <f aca="false">IF(A2924="","",DATE(YEAR(A2924),MONTH(A2924),1))</f>
        <v/>
      </c>
      <c r="L2924" s="21" t="str">
        <f aca="false">IF(J2924="",IF(B2924="","",IF(N(C2924)&gt;=0,"Income","Expense")),IFERROR(INDEX(Lists!$B$2:$B$30,MATCH(J2924,Lists!$A$2:$A$30,0)),""))</f>
        <v/>
      </c>
      <c r="M2924" s="24"/>
      <c r="N2924" s="27" t="str">
        <f aca="false">IF(B2924="","",IFERROR(1000-SUMPRODUCT(MAX(ISNUMBER(SEARCH(Rules!$A$5:$A$204,B2924))*(Rules!$A$5:$A$204&lt;&gt;"")*(1000-ROW(Rules!$A$5:$A$204)))),""))</f>
        <v/>
      </c>
    </row>
    <row r="2925" customFormat="false" ht="15" hidden="false" customHeight="false" outlineLevel="0" collapsed="false">
      <c r="A2925" s="23"/>
      <c r="B2925" s="24"/>
      <c r="C2925" s="25"/>
      <c r="D2925" s="24"/>
      <c r="E2925" s="21" t="str">
        <f aca="false">IF(OR(B2925="",N(N2925)=0,N2925=1000),IF(B2925="","","Check"),INDEX(Rules!$B:$B,N2925))</f>
        <v/>
      </c>
      <c r="F2925" s="21" t="str">
        <f aca="false">IF(OR(B2925="",N(N2925)=0,N2925=1000),"",INDEX(Rules!$C:$C,N2925))</f>
        <v/>
      </c>
      <c r="G2925" s="24"/>
      <c r="H2925" s="24"/>
      <c r="I2925" s="20" t="str">
        <f aca="false">IF(B2925="","",IF(G2925&lt;&gt;"",G2925,E2925))</f>
        <v/>
      </c>
      <c r="J2925" s="21" t="str">
        <f aca="false">IF(B2925="","",IF(H2925&lt;&gt;"",H2925,F2925))</f>
        <v/>
      </c>
      <c r="K2925" s="26" t="str">
        <f aca="false">IF(A2925="","",DATE(YEAR(A2925),MONTH(A2925),1))</f>
        <v/>
      </c>
      <c r="L2925" s="21" t="str">
        <f aca="false">IF(J2925="",IF(B2925="","",IF(N(C2925)&gt;=0,"Income","Expense")),IFERROR(INDEX(Lists!$B$2:$B$30,MATCH(J2925,Lists!$A$2:$A$30,0)),""))</f>
        <v/>
      </c>
      <c r="M2925" s="24"/>
      <c r="N2925" s="27" t="str">
        <f aca="false">IF(B2925="","",IFERROR(1000-SUMPRODUCT(MAX(ISNUMBER(SEARCH(Rules!$A$5:$A$204,B2925))*(Rules!$A$5:$A$204&lt;&gt;"")*(1000-ROW(Rules!$A$5:$A$204)))),""))</f>
        <v/>
      </c>
    </row>
    <row r="2926" customFormat="false" ht="15" hidden="false" customHeight="false" outlineLevel="0" collapsed="false">
      <c r="A2926" s="23"/>
      <c r="B2926" s="24"/>
      <c r="C2926" s="25"/>
      <c r="D2926" s="24"/>
      <c r="E2926" s="21" t="str">
        <f aca="false">IF(OR(B2926="",N(N2926)=0,N2926=1000),IF(B2926="","","Check"),INDEX(Rules!$B:$B,N2926))</f>
        <v/>
      </c>
      <c r="F2926" s="21" t="str">
        <f aca="false">IF(OR(B2926="",N(N2926)=0,N2926=1000),"",INDEX(Rules!$C:$C,N2926))</f>
        <v/>
      </c>
      <c r="G2926" s="24"/>
      <c r="H2926" s="24"/>
      <c r="I2926" s="20" t="str">
        <f aca="false">IF(B2926="","",IF(G2926&lt;&gt;"",G2926,E2926))</f>
        <v/>
      </c>
      <c r="J2926" s="21" t="str">
        <f aca="false">IF(B2926="","",IF(H2926&lt;&gt;"",H2926,F2926))</f>
        <v/>
      </c>
      <c r="K2926" s="26" t="str">
        <f aca="false">IF(A2926="","",DATE(YEAR(A2926),MONTH(A2926),1))</f>
        <v/>
      </c>
      <c r="L2926" s="21" t="str">
        <f aca="false">IF(J2926="",IF(B2926="","",IF(N(C2926)&gt;=0,"Income","Expense")),IFERROR(INDEX(Lists!$B$2:$B$30,MATCH(J2926,Lists!$A$2:$A$30,0)),""))</f>
        <v/>
      </c>
      <c r="M2926" s="24"/>
      <c r="N2926" s="27" t="str">
        <f aca="false">IF(B2926="","",IFERROR(1000-SUMPRODUCT(MAX(ISNUMBER(SEARCH(Rules!$A$5:$A$204,B2926))*(Rules!$A$5:$A$204&lt;&gt;"")*(1000-ROW(Rules!$A$5:$A$204)))),""))</f>
        <v/>
      </c>
    </row>
    <row r="2927" customFormat="false" ht="15" hidden="false" customHeight="false" outlineLevel="0" collapsed="false">
      <c r="A2927" s="23"/>
      <c r="B2927" s="24"/>
      <c r="C2927" s="25"/>
      <c r="D2927" s="24"/>
      <c r="E2927" s="21" t="str">
        <f aca="false">IF(OR(B2927="",N(N2927)=0,N2927=1000),IF(B2927="","","Check"),INDEX(Rules!$B:$B,N2927))</f>
        <v/>
      </c>
      <c r="F2927" s="21" t="str">
        <f aca="false">IF(OR(B2927="",N(N2927)=0,N2927=1000),"",INDEX(Rules!$C:$C,N2927))</f>
        <v/>
      </c>
      <c r="G2927" s="24"/>
      <c r="H2927" s="24"/>
      <c r="I2927" s="20" t="str">
        <f aca="false">IF(B2927="","",IF(G2927&lt;&gt;"",G2927,E2927))</f>
        <v/>
      </c>
      <c r="J2927" s="21" t="str">
        <f aca="false">IF(B2927="","",IF(H2927&lt;&gt;"",H2927,F2927))</f>
        <v/>
      </c>
      <c r="K2927" s="26" t="str">
        <f aca="false">IF(A2927="","",DATE(YEAR(A2927),MONTH(A2927),1))</f>
        <v/>
      </c>
      <c r="L2927" s="21" t="str">
        <f aca="false">IF(J2927="",IF(B2927="","",IF(N(C2927)&gt;=0,"Income","Expense")),IFERROR(INDEX(Lists!$B$2:$B$30,MATCH(J2927,Lists!$A$2:$A$30,0)),""))</f>
        <v/>
      </c>
      <c r="M2927" s="24"/>
      <c r="N2927" s="27" t="str">
        <f aca="false">IF(B2927="","",IFERROR(1000-SUMPRODUCT(MAX(ISNUMBER(SEARCH(Rules!$A$5:$A$204,B2927))*(Rules!$A$5:$A$204&lt;&gt;"")*(1000-ROW(Rules!$A$5:$A$204)))),""))</f>
        <v/>
      </c>
    </row>
    <row r="2928" customFormat="false" ht="15" hidden="false" customHeight="false" outlineLevel="0" collapsed="false">
      <c r="A2928" s="23"/>
      <c r="B2928" s="24"/>
      <c r="C2928" s="25"/>
      <c r="D2928" s="24"/>
      <c r="E2928" s="21" t="str">
        <f aca="false">IF(OR(B2928="",N(N2928)=0,N2928=1000),IF(B2928="","","Check"),INDEX(Rules!$B:$B,N2928))</f>
        <v/>
      </c>
      <c r="F2928" s="21" t="str">
        <f aca="false">IF(OR(B2928="",N(N2928)=0,N2928=1000),"",INDEX(Rules!$C:$C,N2928))</f>
        <v/>
      </c>
      <c r="G2928" s="24"/>
      <c r="H2928" s="24"/>
      <c r="I2928" s="20" t="str">
        <f aca="false">IF(B2928="","",IF(G2928&lt;&gt;"",G2928,E2928))</f>
        <v/>
      </c>
      <c r="J2928" s="21" t="str">
        <f aca="false">IF(B2928="","",IF(H2928&lt;&gt;"",H2928,F2928))</f>
        <v/>
      </c>
      <c r="K2928" s="26" t="str">
        <f aca="false">IF(A2928="","",DATE(YEAR(A2928),MONTH(A2928),1))</f>
        <v/>
      </c>
      <c r="L2928" s="21" t="str">
        <f aca="false">IF(J2928="",IF(B2928="","",IF(N(C2928)&gt;=0,"Income","Expense")),IFERROR(INDEX(Lists!$B$2:$B$30,MATCH(J2928,Lists!$A$2:$A$30,0)),""))</f>
        <v/>
      </c>
      <c r="M2928" s="24"/>
      <c r="N2928" s="27" t="str">
        <f aca="false">IF(B2928="","",IFERROR(1000-SUMPRODUCT(MAX(ISNUMBER(SEARCH(Rules!$A$5:$A$204,B2928))*(Rules!$A$5:$A$204&lt;&gt;"")*(1000-ROW(Rules!$A$5:$A$204)))),""))</f>
        <v/>
      </c>
    </row>
    <row r="2929" customFormat="false" ht="15" hidden="false" customHeight="false" outlineLevel="0" collapsed="false">
      <c r="A2929" s="23"/>
      <c r="B2929" s="24"/>
      <c r="C2929" s="25"/>
      <c r="D2929" s="24"/>
      <c r="E2929" s="21" t="str">
        <f aca="false">IF(OR(B2929="",N(N2929)=0,N2929=1000),IF(B2929="","","Check"),INDEX(Rules!$B:$B,N2929))</f>
        <v/>
      </c>
      <c r="F2929" s="21" t="str">
        <f aca="false">IF(OR(B2929="",N(N2929)=0,N2929=1000),"",INDEX(Rules!$C:$C,N2929))</f>
        <v/>
      </c>
      <c r="G2929" s="24"/>
      <c r="H2929" s="24"/>
      <c r="I2929" s="20" t="str">
        <f aca="false">IF(B2929="","",IF(G2929&lt;&gt;"",G2929,E2929))</f>
        <v/>
      </c>
      <c r="J2929" s="21" t="str">
        <f aca="false">IF(B2929="","",IF(H2929&lt;&gt;"",H2929,F2929))</f>
        <v/>
      </c>
      <c r="K2929" s="26" t="str">
        <f aca="false">IF(A2929="","",DATE(YEAR(A2929),MONTH(A2929),1))</f>
        <v/>
      </c>
      <c r="L2929" s="21" t="str">
        <f aca="false">IF(J2929="",IF(B2929="","",IF(N(C2929)&gt;=0,"Income","Expense")),IFERROR(INDEX(Lists!$B$2:$B$30,MATCH(J2929,Lists!$A$2:$A$30,0)),""))</f>
        <v/>
      </c>
      <c r="M2929" s="24"/>
      <c r="N2929" s="27" t="str">
        <f aca="false">IF(B2929="","",IFERROR(1000-SUMPRODUCT(MAX(ISNUMBER(SEARCH(Rules!$A$5:$A$204,B2929))*(Rules!$A$5:$A$204&lt;&gt;"")*(1000-ROW(Rules!$A$5:$A$204)))),""))</f>
        <v/>
      </c>
    </row>
    <row r="2930" customFormat="false" ht="15" hidden="false" customHeight="false" outlineLevel="0" collapsed="false">
      <c r="A2930" s="23"/>
      <c r="B2930" s="24"/>
      <c r="C2930" s="25"/>
      <c r="D2930" s="24"/>
      <c r="E2930" s="21" t="str">
        <f aca="false">IF(OR(B2930="",N(N2930)=0,N2930=1000),IF(B2930="","","Check"),INDEX(Rules!$B:$B,N2930))</f>
        <v/>
      </c>
      <c r="F2930" s="21" t="str">
        <f aca="false">IF(OR(B2930="",N(N2930)=0,N2930=1000),"",INDEX(Rules!$C:$C,N2930))</f>
        <v/>
      </c>
      <c r="G2930" s="24"/>
      <c r="H2930" s="24"/>
      <c r="I2930" s="20" t="str">
        <f aca="false">IF(B2930="","",IF(G2930&lt;&gt;"",G2930,E2930))</f>
        <v/>
      </c>
      <c r="J2930" s="21" t="str">
        <f aca="false">IF(B2930="","",IF(H2930&lt;&gt;"",H2930,F2930))</f>
        <v/>
      </c>
      <c r="K2930" s="26" t="str">
        <f aca="false">IF(A2930="","",DATE(YEAR(A2930),MONTH(A2930),1))</f>
        <v/>
      </c>
      <c r="L2930" s="21" t="str">
        <f aca="false">IF(J2930="",IF(B2930="","",IF(N(C2930)&gt;=0,"Income","Expense")),IFERROR(INDEX(Lists!$B$2:$B$30,MATCH(J2930,Lists!$A$2:$A$30,0)),""))</f>
        <v/>
      </c>
      <c r="M2930" s="24"/>
      <c r="N2930" s="27" t="str">
        <f aca="false">IF(B2930="","",IFERROR(1000-SUMPRODUCT(MAX(ISNUMBER(SEARCH(Rules!$A$5:$A$204,B2930))*(Rules!$A$5:$A$204&lt;&gt;"")*(1000-ROW(Rules!$A$5:$A$204)))),""))</f>
        <v/>
      </c>
    </row>
    <row r="2931" customFormat="false" ht="15" hidden="false" customHeight="false" outlineLevel="0" collapsed="false">
      <c r="A2931" s="23"/>
      <c r="B2931" s="24"/>
      <c r="C2931" s="25"/>
      <c r="D2931" s="24"/>
      <c r="E2931" s="21" t="str">
        <f aca="false">IF(OR(B2931="",N(N2931)=0,N2931=1000),IF(B2931="","","Check"),INDEX(Rules!$B:$B,N2931))</f>
        <v/>
      </c>
      <c r="F2931" s="21" t="str">
        <f aca="false">IF(OR(B2931="",N(N2931)=0,N2931=1000),"",INDEX(Rules!$C:$C,N2931))</f>
        <v/>
      </c>
      <c r="G2931" s="24"/>
      <c r="H2931" s="24"/>
      <c r="I2931" s="20" t="str">
        <f aca="false">IF(B2931="","",IF(G2931&lt;&gt;"",G2931,E2931))</f>
        <v/>
      </c>
      <c r="J2931" s="21" t="str">
        <f aca="false">IF(B2931="","",IF(H2931&lt;&gt;"",H2931,F2931))</f>
        <v/>
      </c>
      <c r="K2931" s="26" t="str">
        <f aca="false">IF(A2931="","",DATE(YEAR(A2931),MONTH(A2931),1))</f>
        <v/>
      </c>
      <c r="L2931" s="21" t="str">
        <f aca="false">IF(J2931="",IF(B2931="","",IF(N(C2931)&gt;=0,"Income","Expense")),IFERROR(INDEX(Lists!$B$2:$B$30,MATCH(J2931,Lists!$A$2:$A$30,0)),""))</f>
        <v/>
      </c>
      <c r="M2931" s="24"/>
      <c r="N2931" s="27" t="str">
        <f aca="false">IF(B2931="","",IFERROR(1000-SUMPRODUCT(MAX(ISNUMBER(SEARCH(Rules!$A$5:$A$204,B2931))*(Rules!$A$5:$A$204&lt;&gt;"")*(1000-ROW(Rules!$A$5:$A$204)))),""))</f>
        <v/>
      </c>
    </row>
    <row r="2932" customFormat="false" ht="15" hidden="false" customHeight="false" outlineLevel="0" collapsed="false">
      <c r="A2932" s="23"/>
      <c r="B2932" s="24"/>
      <c r="C2932" s="25"/>
      <c r="D2932" s="24"/>
      <c r="E2932" s="21" t="str">
        <f aca="false">IF(OR(B2932="",N(N2932)=0,N2932=1000),IF(B2932="","","Check"),INDEX(Rules!$B:$B,N2932))</f>
        <v/>
      </c>
      <c r="F2932" s="21" t="str">
        <f aca="false">IF(OR(B2932="",N(N2932)=0,N2932=1000),"",INDEX(Rules!$C:$C,N2932))</f>
        <v/>
      </c>
      <c r="G2932" s="24"/>
      <c r="H2932" s="24"/>
      <c r="I2932" s="20" t="str">
        <f aca="false">IF(B2932="","",IF(G2932&lt;&gt;"",G2932,E2932))</f>
        <v/>
      </c>
      <c r="J2932" s="21" t="str">
        <f aca="false">IF(B2932="","",IF(H2932&lt;&gt;"",H2932,F2932))</f>
        <v/>
      </c>
      <c r="K2932" s="26" t="str">
        <f aca="false">IF(A2932="","",DATE(YEAR(A2932),MONTH(A2932),1))</f>
        <v/>
      </c>
      <c r="L2932" s="21" t="str">
        <f aca="false">IF(J2932="",IF(B2932="","",IF(N(C2932)&gt;=0,"Income","Expense")),IFERROR(INDEX(Lists!$B$2:$B$30,MATCH(J2932,Lists!$A$2:$A$30,0)),""))</f>
        <v/>
      </c>
      <c r="M2932" s="24"/>
      <c r="N2932" s="27" t="str">
        <f aca="false">IF(B2932="","",IFERROR(1000-SUMPRODUCT(MAX(ISNUMBER(SEARCH(Rules!$A$5:$A$204,B2932))*(Rules!$A$5:$A$204&lt;&gt;"")*(1000-ROW(Rules!$A$5:$A$204)))),""))</f>
        <v/>
      </c>
    </row>
    <row r="2933" customFormat="false" ht="15" hidden="false" customHeight="false" outlineLevel="0" collapsed="false">
      <c r="A2933" s="23"/>
      <c r="B2933" s="24"/>
      <c r="C2933" s="25"/>
      <c r="D2933" s="24"/>
      <c r="E2933" s="21" t="str">
        <f aca="false">IF(OR(B2933="",N(N2933)=0,N2933=1000),IF(B2933="","","Check"),INDEX(Rules!$B:$B,N2933))</f>
        <v/>
      </c>
      <c r="F2933" s="21" t="str">
        <f aca="false">IF(OR(B2933="",N(N2933)=0,N2933=1000),"",INDEX(Rules!$C:$C,N2933))</f>
        <v/>
      </c>
      <c r="G2933" s="24"/>
      <c r="H2933" s="24"/>
      <c r="I2933" s="20" t="str">
        <f aca="false">IF(B2933="","",IF(G2933&lt;&gt;"",G2933,E2933))</f>
        <v/>
      </c>
      <c r="J2933" s="21" t="str">
        <f aca="false">IF(B2933="","",IF(H2933&lt;&gt;"",H2933,F2933))</f>
        <v/>
      </c>
      <c r="K2933" s="26" t="str">
        <f aca="false">IF(A2933="","",DATE(YEAR(A2933),MONTH(A2933),1))</f>
        <v/>
      </c>
      <c r="L2933" s="21" t="str">
        <f aca="false">IF(J2933="",IF(B2933="","",IF(N(C2933)&gt;=0,"Income","Expense")),IFERROR(INDEX(Lists!$B$2:$B$30,MATCH(J2933,Lists!$A$2:$A$30,0)),""))</f>
        <v/>
      </c>
      <c r="M2933" s="24"/>
      <c r="N2933" s="27" t="str">
        <f aca="false">IF(B2933="","",IFERROR(1000-SUMPRODUCT(MAX(ISNUMBER(SEARCH(Rules!$A$5:$A$204,B2933))*(Rules!$A$5:$A$204&lt;&gt;"")*(1000-ROW(Rules!$A$5:$A$204)))),""))</f>
        <v/>
      </c>
    </row>
    <row r="2934" customFormat="false" ht="15" hidden="false" customHeight="false" outlineLevel="0" collapsed="false">
      <c r="A2934" s="23"/>
      <c r="B2934" s="24"/>
      <c r="C2934" s="25"/>
      <c r="D2934" s="24"/>
      <c r="E2934" s="21" t="str">
        <f aca="false">IF(OR(B2934="",N(N2934)=0,N2934=1000),IF(B2934="","","Check"),INDEX(Rules!$B:$B,N2934))</f>
        <v/>
      </c>
      <c r="F2934" s="21" t="str">
        <f aca="false">IF(OR(B2934="",N(N2934)=0,N2934=1000),"",INDEX(Rules!$C:$C,N2934))</f>
        <v/>
      </c>
      <c r="G2934" s="24"/>
      <c r="H2934" s="24"/>
      <c r="I2934" s="20" t="str">
        <f aca="false">IF(B2934="","",IF(G2934&lt;&gt;"",G2934,E2934))</f>
        <v/>
      </c>
      <c r="J2934" s="21" t="str">
        <f aca="false">IF(B2934="","",IF(H2934&lt;&gt;"",H2934,F2934))</f>
        <v/>
      </c>
      <c r="K2934" s="26" t="str">
        <f aca="false">IF(A2934="","",DATE(YEAR(A2934),MONTH(A2934),1))</f>
        <v/>
      </c>
      <c r="L2934" s="21" t="str">
        <f aca="false">IF(J2934="",IF(B2934="","",IF(N(C2934)&gt;=0,"Income","Expense")),IFERROR(INDEX(Lists!$B$2:$B$30,MATCH(J2934,Lists!$A$2:$A$30,0)),""))</f>
        <v/>
      </c>
      <c r="M2934" s="24"/>
      <c r="N2934" s="27" t="str">
        <f aca="false">IF(B2934="","",IFERROR(1000-SUMPRODUCT(MAX(ISNUMBER(SEARCH(Rules!$A$5:$A$204,B2934))*(Rules!$A$5:$A$204&lt;&gt;"")*(1000-ROW(Rules!$A$5:$A$204)))),""))</f>
        <v/>
      </c>
    </row>
    <row r="2935" customFormat="false" ht="15" hidden="false" customHeight="false" outlineLevel="0" collapsed="false">
      <c r="A2935" s="23"/>
      <c r="B2935" s="24"/>
      <c r="C2935" s="25"/>
      <c r="D2935" s="24"/>
      <c r="E2935" s="21" t="str">
        <f aca="false">IF(OR(B2935="",N(N2935)=0,N2935=1000),IF(B2935="","","Check"),INDEX(Rules!$B:$B,N2935))</f>
        <v/>
      </c>
      <c r="F2935" s="21" t="str">
        <f aca="false">IF(OR(B2935="",N(N2935)=0,N2935=1000),"",INDEX(Rules!$C:$C,N2935))</f>
        <v/>
      </c>
      <c r="G2935" s="24"/>
      <c r="H2935" s="24"/>
      <c r="I2935" s="20" t="str">
        <f aca="false">IF(B2935="","",IF(G2935&lt;&gt;"",G2935,E2935))</f>
        <v/>
      </c>
      <c r="J2935" s="21" t="str">
        <f aca="false">IF(B2935="","",IF(H2935&lt;&gt;"",H2935,F2935))</f>
        <v/>
      </c>
      <c r="K2935" s="26" t="str">
        <f aca="false">IF(A2935="","",DATE(YEAR(A2935),MONTH(A2935),1))</f>
        <v/>
      </c>
      <c r="L2935" s="21" t="str">
        <f aca="false">IF(J2935="",IF(B2935="","",IF(N(C2935)&gt;=0,"Income","Expense")),IFERROR(INDEX(Lists!$B$2:$B$30,MATCH(J2935,Lists!$A$2:$A$30,0)),""))</f>
        <v/>
      </c>
      <c r="M2935" s="24"/>
      <c r="N2935" s="27" t="str">
        <f aca="false">IF(B2935="","",IFERROR(1000-SUMPRODUCT(MAX(ISNUMBER(SEARCH(Rules!$A$5:$A$204,B2935))*(Rules!$A$5:$A$204&lt;&gt;"")*(1000-ROW(Rules!$A$5:$A$204)))),""))</f>
        <v/>
      </c>
    </row>
    <row r="2936" customFormat="false" ht="15" hidden="false" customHeight="false" outlineLevel="0" collapsed="false">
      <c r="A2936" s="23"/>
      <c r="B2936" s="24"/>
      <c r="C2936" s="25"/>
      <c r="D2936" s="24"/>
      <c r="E2936" s="21" t="str">
        <f aca="false">IF(OR(B2936="",N(N2936)=0,N2936=1000),IF(B2936="","","Check"),INDEX(Rules!$B:$B,N2936))</f>
        <v/>
      </c>
      <c r="F2936" s="21" t="str">
        <f aca="false">IF(OR(B2936="",N(N2936)=0,N2936=1000),"",INDEX(Rules!$C:$C,N2936))</f>
        <v/>
      </c>
      <c r="G2936" s="24"/>
      <c r="H2936" s="24"/>
      <c r="I2936" s="20" t="str">
        <f aca="false">IF(B2936="","",IF(G2936&lt;&gt;"",G2936,E2936))</f>
        <v/>
      </c>
      <c r="J2936" s="21" t="str">
        <f aca="false">IF(B2936="","",IF(H2936&lt;&gt;"",H2936,F2936))</f>
        <v/>
      </c>
      <c r="K2936" s="26" t="str">
        <f aca="false">IF(A2936="","",DATE(YEAR(A2936),MONTH(A2936),1))</f>
        <v/>
      </c>
      <c r="L2936" s="21" t="str">
        <f aca="false">IF(J2936="",IF(B2936="","",IF(N(C2936)&gt;=0,"Income","Expense")),IFERROR(INDEX(Lists!$B$2:$B$30,MATCH(J2936,Lists!$A$2:$A$30,0)),""))</f>
        <v/>
      </c>
      <c r="M2936" s="24"/>
      <c r="N2936" s="27" t="str">
        <f aca="false">IF(B2936="","",IFERROR(1000-SUMPRODUCT(MAX(ISNUMBER(SEARCH(Rules!$A$5:$A$204,B2936))*(Rules!$A$5:$A$204&lt;&gt;"")*(1000-ROW(Rules!$A$5:$A$204)))),""))</f>
        <v/>
      </c>
    </row>
    <row r="2937" customFormat="false" ht="15" hidden="false" customHeight="false" outlineLevel="0" collapsed="false">
      <c r="A2937" s="23"/>
      <c r="B2937" s="24"/>
      <c r="C2937" s="25"/>
      <c r="D2937" s="24"/>
      <c r="E2937" s="21" t="str">
        <f aca="false">IF(OR(B2937="",N(N2937)=0,N2937=1000),IF(B2937="","","Check"),INDEX(Rules!$B:$B,N2937))</f>
        <v/>
      </c>
      <c r="F2937" s="21" t="str">
        <f aca="false">IF(OR(B2937="",N(N2937)=0,N2937=1000),"",INDEX(Rules!$C:$C,N2937))</f>
        <v/>
      </c>
      <c r="G2937" s="24"/>
      <c r="H2937" s="24"/>
      <c r="I2937" s="20" t="str">
        <f aca="false">IF(B2937="","",IF(G2937&lt;&gt;"",G2937,E2937))</f>
        <v/>
      </c>
      <c r="J2937" s="21" t="str">
        <f aca="false">IF(B2937="","",IF(H2937&lt;&gt;"",H2937,F2937))</f>
        <v/>
      </c>
      <c r="K2937" s="26" t="str">
        <f aca="false">IF(A2937="","",DATE(YEAR(A2937),MONTH(A2937),1))</f>
        <v/>
      </c>
      <c r="L2937" s="21" t="str">
        <f aca="false">IF(J2937="",IF(B2937="","",IF(N(C2937)&gt;=0,"Income","Expense")),IFERROR(INDEX(Lists!$B$2:$B$30,MATCH(J2937,Lists!$A$2:$A$30,0)),""))</f>
        <v/>
      </c>
      <c r="M2937" s="24"/>
      <c r="N2937" s="27" t="str">
        <f aca="false">IF(B2937="","",IFERROR(1000-SUMPRODUCT(MAX(ISNUMBER(SEARCH(Rules!$A$5:$A$204,B2937))*(Rules!$A$5:$A$204&lt;&gt;"")*(1000-ROW(Rules!$A$5:$A$204)))),""))</f>
        <v/>
      </c>
    </row>
    <row r="2938" customFormat="false" ht="15" hidden="false" customHeight="false" outlineLevel="0" collapsed="false">
      <c r="A2938" s="23"/>
      <c r="B2938" s="24"/>
      <c r="C2938" s="25"/>
      <c r="D2938" s="24"/>
      <c r="E2938" s="21" t="str">
        <f aca="false">IF(OR(B2938="",N(N2938)=0,N2938=1000),IF(B2938="","","Check"),INDEX(Rules!$B:$B,N2938))</f>
        <v/>
      </c>
      <c r="F2938" s="21" t="str">
        <f aca="false">IF(OR(B2938="",N(N2938)=0,N2938=1000),"",INDEX(Rules!$C:$C,N2938))</f>
        <v/>
      </c>
      <c r="G2938" s="24"/>
      <c r="H2938" s="24"/>
      <c r="I2938" s="20" t="str">
        <f aca="false">IF(B2938="","",IF(G2938&lt;&gt;"",G2938,E2938))</f>
        <v/>
      </c>
      <c r="J2938" s="21" t="str">
        <f aca="false">IF(B2938="","",IF(H2938&lt;&gt;"",H2938,F2938))</f>
        <v/>
      </c>
      <c r="K2938" s="26" t="str">
        <f aca="false">IF(A2938="","",DATE(YEAR(A2938),MONTH(A2938),1))</f>
        <v/>
      </c>
      <c r="L2938" s="21" t="str">
        <f aca="false">IF(J2938="",IF(B2938="","",IF(N(C2938)&gt;=0,"Income","Expense")),IFERROR(INDEX(Lists!$B$2:$B$30,MATCH(J2938,Lists!$A$2:$A$30,0)),""))</f>
        <v/>
      </c>
      <c r="M2938" s="24"/>
      <c r="N2938" s="27" t="str">
        <f aca="false">IF(B2938="","",IFERROR(1000-SUMPRODUCT(MAX(ISNUMBER(SEARCH(Rules!$A$5:$A$204,B2938))*(Rules!$A$5:$A$204&lt;&gt;"")*(1000-ROW(Rules!$A$5:$A$204)))),""))</f>
        <v/>
      </c>
    </row>
    <row r="2939" customFormat="false" ht="15" hidden="false" customHeight="false" outlineLevel="0" collapsed="false">
      <c r="A2939" s="23"/>
      <c r="B2939" s="24"/>
      <c r="C2939" s="25"/>
      <c r="D2939" s="24"/>
      <c r="E2939" s="21" t="str">
        <f aca="false">IF(OR(B2939="",N(N2939)=0,N2939=1000),IF(B2939="","","Check"),INDEX(Rules!$B:$B,N2939))</f>
        <v/>
      </c>
      <c r="F2939" s="21" t="str">
        <f aca="false">IF(OR(B2939="",N(N2939)=0,N2939=1000),"",INDEX(Rules!$C:$C,N2939))</f>
        <v/>
      </c>
      <c r="G2939" s="24"/>
      <c r="H2939" s="24"/>
      <c r="I2939" s="20" t="str">
        <f aca="false">IF(B2939="","",IF(G2939&lt;&gt;"",G2939,E2939))</f>
        <v/>
      </c>
      <c r="J2939" s="21" t="str">
        <f aca="false">IF(B2939="","",IF(H2939&lt;&gt;"",H2939,F2939))</f>
        <v/>
      </c>
      <c r="K2939" s="26" t="str">
        <f aca="false">IF(A2939="","",DATE(YEAR(A2939),MONTH(A2939),1))</f>
        <v/>
      </c>
      <c r="L2939" s="21" t="str">
        <f aca="false">IF(J2939="",IF(B2939="","",IF(N(C2939)&gt;=0,"Income","Expense")),IFERROR(INDEX(Lists!$B$2:$B$30,MATCH(J2939,Lists!$A$2:$A$30,0)),""))</f>
        <v/>
      </c>
      <c r="M2939" s="24"/>
      <c r="N2939" s="27" t="str">
        <f aca="false">IF(B2939="","",IFERROR(1000-SUMPRODUCT(MAX(ISNUMBER(SEARCH(Rules!$A$5:$A$204,B2939))*(Rules!$A$5:$A$204&lt;&gt;"")*(1000-ROW(Rules!$A$5:$A$204)))),""))</f>
        <v/>
      </c>
    </row>
    <row r="2940" customFormat="false" ht="15" hidden="false" customHeight="false" outlineLevel="0" collapsed="false">
      <c r="A2940" s="23"/>
      <c r="B2940" s="24"/>
      <c r="C2940" s="25"/>
      <c r="D2940" s="24"/>
      <c r="E2940" s="21" t="str">
        <f aca="false">IF(OR(B2940="",N(N2940)=0,N2940=1000),IF(B2940="","","Check"),INDEX(Rules!$B:$B,N2940))</f>
        <v/>
      </c>
      <c r="F2940" s="21" t="str">
        <f aca="false">IF(OR(B2940="",N(N2940)=0,N2940=1000),"",INDEX(Rules!$C:$C,N2940))</f>
        <v/>
      </c>
      <c r="G2940" s="24"/>
      <c r="H2940" s="24"/>
      <c r="I2940" s="20" t="str">
        <f aca="false">IF(B2940="","",IF(G2940&lt;&gt;"",G2940,E2940))</f>
        <v/>
      </c>
      <c r="J2940" s="21" t="str">
        <f aca="false">IF(B2940="","",IF(H2940&lt;&gt;"",H2940,F2940))</f>
        <v/>
      </c>
      <c r="K2940" s="26" t="str">
        <f aca="false">IF(A2940="","",DATE(YEAR(A2940),MONTH(A2940),1))</f>
        <v/>
      </c>
      <c r="L2940" s="21" t="str">
        <f aca="false">IF(J2940="",IF(B2940="","",IF(N(C2940)&gt;=0,"Income","Expense")),IFERROR(INDEX(Lists!$B$2:$B$30,MATCH(J2940,Lists!$A$2:$A$30,0)),""))</f>
        <v/>
      </c>
      <c r="M2940" s="24"/>
      <c r="N2940" s="27" t="str">
        <f aca="false">IF(B2940="","",IFERROR(1000-SUMPRODUCT(MAX(ISNUMBER(SEARCH(Rules!$A$5:$A$204,B2940))*(Rules!$A$5:$A$204&lt;&gt;"")*(1000-ROW(Rules!$A$5:$A$204)))),""))</f>
        <v/>
      </c>
    </row>
    <row r="2941" customFormat="false" ht="15" hidden="false" customHeight="false" outlineLevel="0" collapsed="false">
      <c r="A2941" s="23"/>
      <c r="B2941" s="24"/>
      <c r="C2941" s="25"/>
      <c r="D2941" s="24"/>
      <c r="E2941" s="21" t="str">
        <f aca="false">IF(OR(B2941="",N(N2941)=0,N2941=1000),IF(B2941="","","Check"),INDEX(Rules!$B:$B,N2941))</f>
        <v/>
      </c>
      <c r="F2941" s="21" t="str">
        <f aca="false">IF(OR(B2941="",N(N2941)=0,N2941=1000),"",INDEX(Rules!$C:$C,N2941))</f>
        <v/>
      </c>
      <c r="G2941" s="24"/>
      <c r="H2941" s="24"/>
      <c r="I2941" s="20" t="str">
        <f aca="false">IF(B2941="","",IF(G2941&lt;&gt;"",G2941,E2941))</f>
        <v/>
      </c>
      <c r="J2941" s="21" t="str">
        <f aca="false">IF(B2941="","",IF(H2941&lt;&gt;"",H2941,F2941))</f>
        <v/>
      </c>
      <c r="K2941" s="26" t="str">
        <f aca="false">IF(A2941="","",DATE(YEAR(A2941),MONTH(A2941),1))</f>
        <v/>
      </c>
      <c r="L2941" s="21" t="str">
        <f aca="false">IF(J2941="",IF(B2941="","",IF(N(C2941)&gt;=0,"Income","Expense")),IFERROR(INDEX(Lists!$B$2:$B$30,MATCH(J2941,Lists!$A$2:$A$30,0)),""))</f>
        <v/>
      </c>
      <c r="M2941" s="24"/>
      <c r="N2941" s="27" t="str">
        <f aca="false">IF(B2941="","",IFERROR(1000-SUMPRODUCT(MAX(ISNUMBER(SEARCH(Rules!$A$5:$A$204,B2941))*(Rules!$A$5:$A$204&lt;&gt;"")*(1000-ROW(Rules!$A$5:$A$204)))),""))</f>
        <v/>
      </c>
    </row>
    <row r="2942" customFormat="false" ht="15" hidden="false" customHeight="false" outlineLevel="0" collapsed="false">
      <c r="A2942" s="23"/>
      <c r="B2942" s="24"/>
      <c r="C2942" s="25"/>
      <c r="D2942" s="24"/>
      <c r="E2942" s="21" t="str">
        <f aca="false">IF(OR(B2942="",N(N2942)=0,N2942=1000),IF(B2942="","","Check"),INDEX(Rules!$B:$B,N2942))</f>
        <v/>
      </c>
      <c r="F2942" s="21" t="str">
        <f aca="false">IF(OR(B2942="",N(N2942)=0,N2942=1000),"",INDEX(Rules!$C:$C,N2942))</f>
        <v/>
      </c>
      <c r="G2942" s="24"/>
      <c r="H2942" s="24"/>
      <c r="I2942" s="20" t="str">
        <f aca="false">IF(B2942="","",IF(G2942&lt;&gt;"",G2942,E2942))</f>
        <v/>
      </c>
      <c r="J2942" s="21" t="str">
        <f aca="false">IF(B2942="","",IF(H2942&lt;&gt;"",H2942,F2942))</f>
        <v/>
      </c>
      <c r="K2942" s="26" t="str">
        <f aca="false">IF(A2942="","",DATE(YEAR(A2942),MONTH(A2942),1))</f>
        <v/>
      </c>
      <c r="L2942" s="21" t="str">
        <f aca="false">IF(J2942="",IF(B2942="","",IF(N(C2942)&gt;=0,"Income","Expense")),IFERROR(INDEX(Lists!$B$2:$B$30,MATCH(J2942,Lists!$A$2:$A$30,0)),""))</f>
        <v/>
      </c>
      <c r="M2942" s="24"/>
      <c r="N2942" s="27" t="str">
        <f aca="false">IF(B2942="","",IFERROR(1000-SUMPRODUCT(MAX(ISNUMBER(SEARCH(Rules!$A$5:$A$204,B2942))*(Rules!$A$5:$A$204&lt;&gt;"")*(1000-ROW(Rules!$A$5:$A$204)))),""))</f>
        <v/>
      </c>
    </row>
    <row r="2943" customFormat="false" ht="15" hidden="false" customHeight="false" outlineLevel="0" collapsed="false">
      <c r="A2943" s="23"/>
      <c r="B2943" s="24"/>
      <c r="C2943" s="25"/>
      <c r="D2943" s="24"/>
      <c r="E2943" s="21" t="str">
        <f aca="false">IF(OR(B2943="",N(N2943)=0,N2943=1000),IF(B2943="","","Check"),INDEX(Rules!$B:$B,N2943))</f>
        <v/>
      </c>
      <c r="F2943" s="21" t="str">
        <f aca="false">IF(OR(B2943="",N(N2943)=0,N2943=1000),"",INDEX(Rules!$C:$C,N2943))</f>
        <v/>
      </c>
      <c r="G2943" s="24"/>
      <c r="H2943" s="24"/>
      <c r="I2943" s="20" t="str">
        <f aca="false">IF(B2943="","",IF(G2943&lt;&gt;"",G2943,E2943))</f>
        <v/>
      </c>
      <c r="J2943" s="21" t="str">
        <f aca="false">IF(B2943="","",IF(H2943&lt;&gt;"",H2943,F2943))</f>
        <v/>
      </c>
      <c r="K2943" s="26" t="str">
        <f aca="false">IF(A2943="","",DATE(YEAR(A2943),MONTH(A2943),1))</f>
        <v/>
      </c>
      <c r="L2943" s="21" t="str">
        <f aca="false">IF(J2943="",IF(B2943="","",IF(N(C2943)&gt;=0,"Income","Expense")),IFERROR(INDEX(Lists!$B$2:$B$30,MATCH(J2943,Lists!$A$2:$A$30,0)),""))</f>
        <v/>
      </c>
      <c r="M2943" s="24"/>
      <c r="N2943" s="27" t="str">
        <f aca="false">IF(B2943="","",IFERROR(1000-SUMPRODUCT(MAX(ISNUMBER(SEARCH(Rules!$A$5:$A$204,B2943))*(Rules!$A$5:$A$204&lt;&gt;"")*(1000-ROW(Rules!$A$5:$A$204)))),""))</f>
        <v/>
      </c>
    </row>
    <row r="2944" customFormat="false" ht="15" hidden="false" customHeight="false" outlineLevel="0" collapsed="false">
      <c r="A2944" s="23"/>
      <c r="B2944" s="24"/>
      <c r="C2944" s="25"/>
      <c r="D2944" s="24"/>
      <c r="E2944" s="21" t="str">
        <f aca="false">IF(OR(B2944="",N(N2944)=0,N2944=1000),IF(B2944="","","Check"),INDEX(Rules!$B:$B,N2944))</f>
        <v/>
      </c>
      <c r="F2944" s="21" t="str">
        <f aca="false">IF(OR(B2944="",N(N2944)=0,N2944=1000),"",INDEX(Rules!$C:$C,N2944))</f>
        <v/>
      </c>
      <c r="G2944" s="24"/>
      <c r="H2944" s="24"/>
      <c r="I2944" s="20" t="str">
        <f aca="false">IF(B2944="","",IF(G2944&lt;&gt;"",G2944,E2944))</f>
        <v/>
      </c>
      <c r="J2944" s="21" t="str">
        <f aca="false">IF(B2944="","",IF(H2944&lt;&gt;"",H2944,F2944))</f>
        <v/>
      </c>
      <c r="K2944" s="26" t="str">
        <f aca="false">IF(A2944="","",DATE(YEAR(A2944),MONTH(A2944),1))</f>
        <v/>
      </c>
      <c r="L2944" s="21" t="str">
        <f aca="false">IF(J2944="",IF(B2944="","",IF(N(C2944)&gt;=0,"Income","Expense")),IFERROR(INDEX(Lists!$B$2:$B$30,MATCH(J2944,Lists!$A$2:$A$30,0)),""))</f>
        <v/>
      </c>
      <c r="M2944" s="24"/>
      <c r="N2944" s="27" t="str">
        <f aca="false">IF(B2944="","",IFERROR(1000-SUMPRODUCT(MAX(ISNUMBER(SEARCH(Rules!$A$5:$A$204,B2944))*(Rules!$A$5:$A$204&lt;&gt;"")*(1000-ROW(Rules!$A$5:$A$204)))),""))</f>
        <v/>
      </c>
    </row>
    <row r="2945" customFormat="false" ht="15" hidden="false" customHeight="false" outlineLevel="0" collapsed="false">
      <c r="A2945" s="23"/>
      <c r="B2945" s="24"/>
      <c r="C2945" s="25"/>
      <c r="D2945" s="24"/>
      <c r="E2945" s="21" t="str">
        <f aca="false">IF(OR(B2945="",N(N2945)=0,N2945=1000),IF(B2945="","","Check"),INDEX(Rules!$B:$B,N2945))</f>
        <v/>
      </c>
      <c r="F2945" s="21" t="str">
        <f aca="false">IF(OR(B2945="",N(N2945)=0,N2945=1000),"",INDEX(Rules!$C:$C,N2945))</f>
        <v/>
      </c>
      <c r="G2945" s="24"/>
      <c r="H2945" s="24"/>
      <c r="I2945" s="20" t="str">
        <f aca="false">IF(B2945="","",IF(G2945&lt;&gt;"",G2945,E2945))</f>
        <v/>
      </c>
      <c r="J2945" s="21" t="str">
        <f aca="false">IF(B2945="","",IF(H2945&lt;&gt;"",H2945,F2945))</f>
        <v/>
      </c>
      <c r="K2945" s="26" t="str">
        <f aca="false">IF(A2945="","",DATE(YEAR(A2945),MONTH(A2945),1))</f>
        <v/>
      </c>
      <c r="L2945" s="21" t="str">
        <f aca="false">IF(J2945="",IF(B2945="","",IF(N(C2945)&gt;=0,"Income","Expense")),IFERROR(INDEX(Lists!$B$2:$B$30,MATCH(J2945,Lists!$A$2:$A$30,0)),""))</f>
        <v/>
      </c>
      <c r="M2945" s="24"/>
      <c r="N2945" s="27" t="str">
        <f aca="false">IF(B2945="","",IFERROR(1000-SUMPRODUCT(MAX(ISNUMBER(SEARCH(Rules!$A$5:$A$204,B2945))*(Rules!$A$5:$A$204&lt;&gt;"")*(1000-ROW(Rules!$A$5:$A$204)))),""))</f>
        <v/>
      </c>
    </row>
    <row r="2946" customFormat="false" ht="15" hidden="false" customHeight="false" outlineLevel="0" collapsed="false">
      <c r="A2946" s="23"/>
      <c r="B2946" s="24"/>
      <c r="C2946" s="25"/>
      <c r="D2946" s="24"/>
      <c r="E2946" s="21" t="str">
        <f aca="false">IF(OR(B2946="",N(N2946)=0,N2946=1000),IF(B2946="","","Check"),INDEX(Rules!$B:$B,N2946))</f>
        <v/>
      </c>
      <c r="F2946" s="21" t="str">
        <f aca="false">IF(OR(B2946="",N(N2946)=0,N2946=1000),"",INDEX(Rules!$C:$C,N2946))</f>
        <v/>
      </c>
      <c r="G2946" s="24"/>
      <c r="H2946" s="24"/>
      <c r="I2946" s="20" t="str">
        <f aca="false">IF(B2946="","",IF(G2946&lt;&gt;"",G2946,E2946))</f>
        <v/>
      </c>
      <c r="J2946" s="21" t="str">
        <f aca="false">IF(B2946="","",IF(H2946&lt;&gt;"",H2946,F2946))</f>
        <v/>
      </c>
      <c r="K2946" s="26" t="str">
        <f aca="false">IF(A2946="","",DATE(YEAR(A2946),MONTH(A2946),1))</f>
        <v/>
      </c>
      <c r="L2946" s="21" t="str">
        <f aca="false">IF(J2946="",IF(B2946="","",IF(N(C2946)&gt;=0,"Income","Expense")),IFERROR(INDEX(Lists!$B$2:$B$30,MATCH(J2946,Lists!$A$2:$A$30,0)),""))</f>
        <v/>
      </c>
      <c r="M2946" s="24"/>
      <c r="N2946" s="27" t="str">
        <f aca="false">IF(B2946="","",IFERROR(1000-SUMPRODUCT(MAX(ISNUMBER(SEARCH(Rules!$A$5:$A$204,B2946))*(Rules!$A$5:$A$204&lt;&gt;"")*(1000-ROW(Rules!$A$5:$A$204)))),""))</f>
        <v/>
      </c>
    </row>
    <row r="2947" customFormat="false" ht="15" hidden="false" customHeight="false" outlineLevel="0" collapsed="false">
      <c r="A2947" s="23"/>
      <c r="B2947" s="24"/>
      <c r="C2947" s="25"/>
      <c r="D2947" s="24"/>
      <c r="E2947" s="21" t="str">
        <f aca="false">IF(OR(B2947="",N(N2947)=0,N2947=1000),IF(B2947="","","Check"),INDEX(Rules!$B:$B,N2947))</f>
        <v/>
      </c>
      <c r="F2947" s="21" t="str">
        <f aca="false">IF(OR(B2947="",N(N2947)=0,N2947=1000),"",INDEX(Rules!$C:$C,N2947))</f>
        <v/>
      </c>
      <c r="G2947" s="24"/>
      <c r="H2947" s="24"/>
      <c r="I2947" s="20" t="str">
        <f aca="false">IF(B2947="","",IF(G2947&lt;&gt;"",G2947,E2947))</f>
        <v/>
      </c>
      <c r="J2947" s="21" t="str">
        <f aca="false">IF(B2947="","",IF(H2947&lt;&gt;"",H2947,F2947))</f>
        <v/>
      </c>
      <c r="K2947" s="26" t="str">
        <f aca="false">IF(A2947="","",DATE(YEAR(A2947),MONTH(A2947),1))</f>
        <v/>
      </c>
      <c r="L2947" s="21" t="str">
        <f aca="false">IF(J2947="",IF(B2947="","",IF(N(C2947)&gt;=0,"Income","Expense")),IFERROR(INDEX(Lists!$B$2:$B$30,MATCH(J2947,Lists!$A$2:$A$30,0)),""))</f>
        <v/>
      </c>
      <c r="M2947" s="24"/>
      <c r="N2947" s="27" t="str">
        <f aca="false">IF(B2947="","",IFERROR(1000-SUMPRODUCT(MAX(ISNUMBER(SEARCH(Rules!$A$5:$A$204,B2947))*(Rules!$A$5:$A$204&lt;&gt;"")*(1000-ROW(Rules!$A$5:$A$204)))),""))</f>
        <v/>
      </c>
    </row>
    <row r="2948" customFormat="false" ht="15" hidden="false" customHeight="false" outlineLevel="0" collapsed="false">
      <c r="A2948" s="23"/>
      <c r="B2948" s="24"/>
      <c r="C2948" s="25"/>
      <c r="D2948" s="24"/>
      <c r="E2948" s="21" t="str">
        <f aca="false">IF(OR(B2948="",N(N2948)=0,N2948=1000),IF(B2948="","","Check"),INDEX(Rules!$B:$B,N2948))</f>
        <v/>
      </c>
      <c r="F2948" s="21" t="str">
        <f aca="false">IF(OR(B2948="",N(N2948)=0,N2948=1000),"",INDEX(Rules!$C:$C,N2948))</f>
        <v/>
      </c>
      <c r="G2948" s="24"/>
      <c r="H2948" s="24"/>
      <c r="I2948" s="20" t="str">
        <f aca="false">IF(B2948="","",IF(G2948&lt;&gt;"",G2948,E2948))</f>
        <v/>
      </c>
      <c r="J2948" s="21" t="str">
        <f aca="false">IF(B2948="","",IF(H2948&lt;&gt;"",H2948,F2948))</f>
        <v/>
      </c>
      <c r="K2948" s="26" t="str">
        <f aca="false">IF(A2948="","",DATE(YEAR(A2948),MONTH(A2948),1))</f>
        <v/>
      </c>
      <c r="L2948" s="21" t="str">
        <f aca="false">IF(J2948="",IF(B2948="","",IF(N(C2948)&gt;=0,"Income","Expense")),IFERROR(INDEX(Lists!$B$2:$B$30,MATCH(J2948,Lists!$A$2:$A$30,0)),""))</f>
        <v/>
      </c>
      <c r="M2948" s="24"/>
      <c r="N2948" s="27" t="str">
        <f aca="false">IF(B2948="","",IFERROR(1000-SUMPRODUCT(MAX(ISNUMBER(SEARCH(Rules!$A$5:$A$204,B2948))*(Rules!$A$5:$A$204&lt;&gt;"")*(1000-ROW(Rules!$A$5:$A$204)))),""))</f>
        <v/>
      </c>
    </row>
    <row r="2949" customFormat="false" ht="15" hidden="false" customHeight="false" outlineLevel="0" collapsed="false">
      <c r="A2949" s="23"/>
      <c r="B2949" s="24"/>
      <c r="C2949" s="25"/>
      <c r="D2949" s="24"/>
      <c r="E2949" s="21" t="str">
        <f aca="false">IF(OR(B2949="",N(N2949)=0,N2949=1000),IF(B2949="","","Check"),INDEX(Rules!$B:$B,N2949))</f>
        <v/>
      </c>
      <c r="F2949" s="21" t="str">
        <f aca="false">IF(OR(B2949="",N(N2949)=0,N2949=1000),"",INDEX(Rules!$C:$C,N2949))</f>
        <v/>
      </c>
      <c r="G2949" s="24"/>
      <c r="H2949" s="24"/>
      <c r="I2949" s="20" t="str">
        <f aca="false">IF(B2949="","",IF(G2949&lt;&gt;"",G2949,E2949))</f>
        <v/>
      </c>
      <c r="J2949" s="21" t="str">
        <f aca="false">IF(B2949="","",IF(H2949&lt;&gt;"",H2949,F2949))</f>
        <v/>
      </c>
      <c r="K2949" s="26" t="str">
        <f aca="false">IF(A2949="","",DATE(YEAR(A2949),MONTH(A2949),1))</f>
        <v/>
      </c>
      <c r="L2949" s="21" t="str">
        <f aca="false">IF(J2949="",IF(B2949="","",IF(N(C2949)&gt;=0,"Income","Expense")),IFERROR(INDEX(Lists!$B$2:$B$30,MATCH(J2949,Lists!$A$2:$A$30,0)),""))</f>
        <v/>
      </c>
      <c r="M2949" s="24"/>
      <c r="N2949" s="27" t="str">
        <f aca="false">IF(B2949="","",IFERROR(1000-SUMPRODUCT(MAX(ISNUMBER(SEARCH(Rules!$A$5:$A$204,B2949))*(Rules!$A$5:$A$204&lt;&gt;"")*(1000-ROW(Rules!$A$5:$A$204)))),""))</f>
        <v/>
      </c>
    </row>
    <row r="2950" customFormat="false" ht="15" hidden="false" customHeight="false" outlineLevel="0" collapsed="false">
      <c r="A2950" s="23"/>
      <c r="B2950" s="24"/>
      <c r="C2950" s="25"/>
      <c r="D2950" s="24"/>
      <c r="E2950" s="21" t="str">
        <f aca="false">IF(OR(B2950="",N(N2950)=0,N2950=1000),IF(B2950="","","Check"),INDEX(Rules!$B:$B,N2950))</f>
        <v/>
      </c>
      <c r="F2950" s="21" t="str">
        <f aca="false">IF(OR(B2950="",N(N2950)=0,N2950=1000),"",INDEX(Rules!$C:$C,N2950))</f>
        <v/>
      </c>
      <c r="G2950" s="24"/>
      <c r="H2950" s="24"/>
      <c r="I2950" s="20" t="str">
        <f aca="false">IF(B2950="","",IF(G2950&lt;&gt;"",G2950,E2950))</f>
        <v/>
      </c>
      <c r="J2950" s="21" t="str">
        <f aca="false">IF(B2950="","",IF(H2950&lt;&gt;"",H2950,F2950))</f>
        <v/>
      </c>
      <c r="K2950" s="26" t="str">
        <f aca="false">IF(A2950="","",DATE(YEAR(A2950),MONTH(A2950),1))</f>
        <v/>
      </c>
      <c r="L2950" s="21" t="str">
        <f aca="false">IF(J2950="",IF(B2950="","",IF(N(C2950)&gt;=0,"Income","Expense")),IFERROR(INDEX(Lists!$B$2:$B$30,MATCH(J2950,Lists!$A$2:$A$30,0)),""))</f>
        <v/>
      </c>
      <c r="M2950" s="24"/>
      <c r="N2950" s="27" t="str">
        <f aca="false">IF(B2950="","",IFERROR(1000-SUMPRODUCT(MAX(ISNUMBER(SEARCH(Rules!$A$5:$A$204,B2950))*(Rules!$A$5:$A$204&lt;&gt;"")*(1000-ROW(Rules!$A$5:$A$204)))),""))</f>
        <v/>
      </c>
    </row>
    <row r="2951" customFormat="false" ht="15" hidden="false" customHeight="false" outlineLevel="0" collapsed="false">
      <c r="A2951" s="23"/>
      <c r="B2951" s="24"/>
      <c r="C2951" s="25"/>
      <c r="D2951" s="24"/>
      <c r="E2951" s="21" t="str">
        <f aca="false">IF(OR(B2951="",N(N2951)=0,N2951=1000),IF(B2951="","","Check"),INDEX(Rules!$B:$B,N2951))</f>
        <v/>
      </c>
      <c r="F2951" s="21" t="str">
        <f aca="false">IF(OR(B2951="",N(N2951)=0,N2951=1000),"",INDEX(Rules!$C:$C,N2951))</f>
        <v/>
      </c>
      <c r="G2951" s="24"/>
      <c r="H2951" s="24"/>
      <c r="I2951" s="20" t="str">
        <f aca="false">IF(B2951="","",IF(G2951&lt;&gt;"",G2951,E2951))</f>
        <v/>
      </c>
      <c r="J2951" s="21" t="str">
        <f aca="false">IF(B2951="","",IF(H2951&lt;&gt;"",H2951,F2951))</f>
        <v/>
      </c>
      <c r="K2951" s="26" t="str">
        <f aca="false">IF(A2951="","",DATE(YEAR(A2951),MONTH(A2951),1))</f>
        <v/>
      </c>
      <c r="L2951" s="21" t="str">
        <f aca="false">IF(J2951="",IF(B2951="","",IF(N(C2951)&gt;=0,"Income","Expense")),IFERROR(INDEX(Lists!$B$2:$B$30,MATCH(J2951,Lists!$A$2:$A$30,0)),""))</f>
        <v/>
      </c>
      <c r="M2951" s="24"/>
      <c r="N2951" s="27" t="str">
        <f aca="false">IF(B2951="","",IFERROR(1000-SUMPRODUCT(MAX(ISNUMBER(SEARCH(Rules!$A$5:$A$204,B2951))*(Rules!$A$5:$A$204&lt;&gt;"")*(1000-ROW(Rules!$A$5:$A$204)))),""))</f>
        <v/>
      </c>
    </row>
    <row r="2952" customFormat="false" ht="15" hidden="false" customHeight="false" outlineLevel="0" collapsed="false">
      <c r="A2952" s="23"/>
      <c r="B2952" s="24"/>
      <c r="C2952" s="25"/>
      <c r="D2952" s="24"/>
      <c r="E2952" s="21" t="str">
        <f aca="false">IF(OR(B2952="",N(N2952)=0,N2952=1000),IF(B2952="","","Check"),INDEX(Rules!$B:$B,N2952))</f>
        <v/>
      </c>
      <c r="F2952" s="21" t="str">
        <f aca="false">IF(OR(B2952="",N(N2952)=0,N2952=1000),"",INDEX(Rules!$C:$C,N2952))</f>
        <v/>
      </c>
      <c r="G2952" s="24"/>
      <c r="H2952" s="24"/>
      <c r="I2952" s="20" t="str">
        <f aca="false">IF(B2952="","",IF(G2952&lt;&gt;"",G2952,E2952))</f>
        <v/>
      </c>
      <c r="J2952" s="21" t="str">
        <f aca="false">IF(B2952="","",IF(H2952&lt;&gt;"",H2952,F2952))</f>
        <v/>
      </c>
      <c r="K2952" s="26" t="str">
        <f aca="false">IF(A2952="","",DATE(YEAR(A2952),MONTH(A2952),1))</f>
        <v/>
      </c>
      <c r="L2952" s="21" t="str">
        <f aca="false">IF(J2952="",IF(B2952="","",IF(N(C2952)&gt;=0,"Income","Expense")),IFERROR(INDEX(Lists!$B$2:$B$30,MATCH(J2952,Lists!$A$2:$A$30,0)),""))</f>
        <v/>
      </c>
      <c r="M2952" s="24"/>
      <c r="N2952" s="27" t="str">
        <f aca="false">IF(B2952="","",IFERROR(1000-SUMPRODUCT(MAX(ISNUMBER(SEARCH(Rules!$A$5:$A$204,B2952))*(Rules!$A$5:$A$204&lt;&gt;"")*(1000-ROW(Rules!$A$5:$A$204)))),""))</f>
        <v/>
      </c>
    </row>
    <row r="2953" customFormat="false" ht="15" hidden="false" customHeight="false" outlineLevel="0" collapsed="false">
      <c r="A2953" s="23"/>
      <c r="B2953" s="24"/>
      <c r="C2953" s="25"/>
      <c r="D2953" s="24"/>
      <c r="E2953" s="21" t="str">
        <f aca="false">IF(OR(B2953="",N(N2953)=0,N2953=1000),IF(B2953="","","Check"),INDEX(Rules!$B:$B,N2953))</f>
        <v/>
      </c>
      <c r="F2953" s="21" t="str">
        <f aca="false">IF(OR(B2953="",N(N2953)=0,N2953=1000),"",INDEX(Rules!$C:$C,N2953))</f>
        <v/>
      </c>
      <c r="G2953" s="24"/>
      <c r="H2953" s="24"/>
      <c r="I2953" s="20" t="str">
        <f aca="false">IF(B2953="","",IF(G2953&lt;&gt;"",G2953,E2953))</f>
        <v/>
      </c>
      <c r="J2953" s="21" t="str">
        <f aca="false">IF(B2953="","",IF(H2953&lt;&gt;"",H2953,F2953))</f>
        <v/>
      </c>
      <c r="K2953" s="26" t="str">
        <f aca="false">IF(A2953="","",DATE(YEAR(A2953),MONTH(A2953),1))</f>
        <v/>
      </c>
      <c r="L2953" s="21" t="str">
        <f aca="false">IF(J2953="",IF(B2953="","",IF(N(C2953)&gt;=0,"Income","Expense")),IFERROR(INDEX(Lists!$B$2:$B$30,MATCH(J2953,Lists!$A$2:$A$30,0)),""))</f>
        <v/>
      </c>
      <c r="M2953" s="24"/>
      <c r="N2953" s="27" t="str">
        <f aca="false">IF(B2953="","",IFERROR(1000-SUMPRODUCT(MAX(ISNUMBER(SEARCH(Rules!$A$5:$A$204,B2953))*(Rules!$A$5:$A$204&lt;&gt;"")*(1000-ROW(Rules!$A$5:$A$204)))),""))</f>
        <v/>
      </c>
    </row>
    <row r="2954" customFormat="false" ht="15" hidden="false" customHeight="false" outlineLevel="0" collapsed="false">
      <c r="A2954" s="23"/>
      <c r="B2954" s="24"/>
      <c r="C2954" s="25"/>
      <c r="D2954" s="24"/>
      <c r="E2954" s="21" t="str">
        <f aca="false">IF(OR(B2954="",N(N2954)=0,N2954=1000),IF(B2954="","","Check"),INDEX(Rules!$B:$B,N2954))</f>
        <v/>
      </c>
      <c r="F2954" s="21" t="str">
        <f aca="false">IF(OR(B2954="",N(N2954)=0,N2954=1000),"",INDEX(Rules!$C:$C,N2954))</f>
        <v/>
      </c>
      <c r="G2954" s="24"/>
      <c r="H2954" s="24"/>
      <c r="I2954" s="20" t="str">
        <f aca="false">IF(B2954="","",IF(G2954&lt;&gt;"",G2954,E2954))</f>
        <v/>
      </c>
      <c r="J2954" s="21" t="str">
        <f aca="false">IF(B2954="","",IF(H2954&lt;&gt;"",H2954,F2954))</f>
        <v/>
      </c>
      <c r="K2954" s="26" t="str">
        <f aca="false">IF(A2954="","",DATE(YEAR(A2954),MONTH(A2954),1))</f>
        <v/>
      </c>
      <c r="L2954" s="21" t="str">
        <f aca="false">IF(J2954="",IF(B2954="","",IF(N(C2954)&gt;=0,"Income","Expense")),IFERROR(INDEX(Lists!$B$2:$B$30,MATCH(J2954,Lists!$A$2:$A$30,0)),""))</f>
        <v/>
      </c>
      <c r="M2954" s="24"/>
      <c r="N2954" s="27" t="str">
        <f aca="false">IF(B2954="","",IFERROR(1000-SUMPRODUCT(MAX(ISNUMBER(SEARCH(Rules!$A$5:$A$204,B2954))*(Rules!$A$5:$A$204&lt;&gt;"")*(1000-ROW(Rules!$A$5:$A$204)))),""))</f>
        <v/>
      </c>
    </row>
    <row r="2955" customFormat="false" ht="15" hidden="false" customHeight="false" outlineLevel="0" collapsed="false">
      <c r="A2955" s="23"/>
      <c r="B2955" s="24"/>
      <c r="C2955" s="25"/>
      <c r="D2955" s="24"/>
      <c r="E2955" s="21" t="str">
        <f aca="false">IF(OR(B2955="",N(N2955)=0,N2955=1000),IF(B2955="","","Check"),INDEX(Rules!$B:$B,N2955))</f>
        <v/>
      </c>
      <c r="F2955" s="21" t="str">
        <f aca="false">IF(OR(B2955="",N(N2955)=0,N2955=1000),"",INDEX(Rules!$C:$C,N2955))</f>
        <v/>
      </c>
      <c r="G2955" s="24"/>
      <c r="H2955" s="24"/>
      <c r="I2955" s="20" t="str">
        <f aca="false">IF(B2955="","",IF(G2955&lt;&gt;"",G2955,E2955))</f>
        <v/>
      </c>
      <c r="J2955" s="21" t="str">
        <f aca="false">IF(B2955="","",IF(H2955&lt;&gt;"",H2955,F2955))</f>
        <v/>
      </c>
      <c r="K2955" s="26" t="str">
        <f aca="false">IF(A2955="","",DATE(YEAR(A2955),MONTH(A2955),1))</f>
        <v/>
      </c>
      <c r="L2955" s="21" t="str">
        <f aca="false">IF(J2955="",IF(B2955="","",IF(N(C2955)&gt;=0,"Income","Expense")),IFERROR(INDEX(Lists!$B$2:$B$30,MATCH(J2955,Lists!$A$2:$A$30,0)),""))</f>
        <v/>
      </c>
      <c r="M2955" s="24"/>
      <c r="N2955" s="27" t="str">
        <f aca="false">IF(B2955="","",IFERROR(1000-SUMPRODUCT(MAX(ISNUMBER(SEARCH(Rules!$A$5:$A$204,B2955))*(Rules!$A$5:$A$204&lt;&gt;"")*(1000-ROW(Rules!$A$5:$A$204)))),""))</f>
        <v/>
      </c>
    </row>
    <row r="2956" customFormat="false" ht="15" hidden="false" customHeight="false" outlineLevel="0" collapsed="false">
      <c r="A2956" s="23"/>
      <c r="B2956" s="24"/>
      <c r="C2956" s="25"/>
      <c r="D2956" s="24"/>
      <c r="E2956" s="21" t="str">
        <f aca="false">IF(OR(B2956="",N(N2956)=0,N2956=1000),IF(B2956="","","Check"),INDEX(Rules!$B:$B,N2956))</f>
        <v/>
      </c>
      <c r="F2956" s="21" t="str">
        <f aca="false">IF(OR(B2956="",N(N2956)=0,N2956=1000),"",INDEX(Rules!$C:$C,N2956))</f>
        <v/>
      </c>
      <c r="G2956" s="24"/>
      <c r="H2956" s="24"/>
      <c r="I2956" s="20" t="str">
        <f aca="false">IF(B2956="","",IF(G2956&lt;&gt;"",G2956,E2956))</f>
        <v/>
      </c>
      <c r="J2956" s="21" t="str">
        <f aca="false">IF(B2956="","",IF(H2956&lt;&gt;"",H2956,F2956))</f>
        <v/>
      </c>
      <c r="K2956" s="26" t="str">
        <f aca="false">IF(A2956="","",DATE(YEAR(A2956),MONTH(A2956),1))</f>
        <v/>
      </c>
      <c r="L2956" s="21" t="str">
        <f aca="false">IF(J2956="",IF(B2956="","",IF(N(C2956)&gt;=0,"Income","Expense")),IFERROR(INDEX(Lists!$B$2:$B$30,MATCH(J2956,Lists!$A$2:$A$30,0)),""))</f>
        <v/>
      </c>
      <c r="M2956" s="24"/>
      <c r="N2956" s="27" t="str">
        <f aca="false">IF(B2956="","",IFERROR(1000-SUMPRODUCT(MAX(ISNUMBER(SEARCH(Rules!$A$5:$A$204,B2956))*(Rules!$A$5:$A$204&lt;&gt;"")*(1000-ROW(Rules!$A$5:$A$204)))),""))</f>
        <v/>
      </c>
    </row>
    <row r="2957" customFormat="false" ht="15" hidden="false" customHeight="false" outlineLevel="0" collapsed="false">
      <c r="A2957" s="23"/>
      <c r="B2957" s="24"/>
      <c r="C2957" s="25"/>
      <c r="D2957" s="24"/>
      <c r="E2957" s="21" t="str">
        <f aca="false">IF(OR(B2957="",N(N2957)=0,N2957=1000),IF(B2957="","","Check"),INDEX(Rules!$B:$B,N2957))</f>
        <v/>
      </c>
      <c r="F2957" s="21" t="str">
        <f aca="false">IF(OR(B2957="",N(N2957)=0,N2957=1000),"",INDEX(Rules!$C:$C,N2957))</f>
        <v/>
      </c>
      <c r="G2957" s="24"/>
      <c r="H2957" s="24"/>
      <c r="I2957" s="20" t="str">
        <f aca="false">IF(B2957="","",IF(G2957&lt;&gt;"",G2957,E2957))</f>
        <v/>
      </c>
      <c r="J2957" s="21" t="str">
        <f aca="false">IF(B2957="","",IF(H2957&lt;&gt;"",H2957,F2957))</f>
        <v/>
      </c>
      <c r="K2957" s="26" t="str">
        <f aca="false">IF(A2957="","",DATE(YEAR(A2957),MONTH(A2957),1))</f>
        <v/>
      </c>
      <c r="L2957" s="21" t="str">
        <f aca="false">IF(J2957="",IF(B2957="","",IF(N(C2957)&gt;=0,"Income","Expense")),IFERROR(INDEX(Lists!$B$2:$B$30,MATCH(J2957,Lists!$A$2:$A$30,0)),""))</f>
        <v/>
      </c>
      <c r="M2957" s="24"/>
      <c r="N2957" s="27" t="str">
        <f aca="false">IF(B2957="","",IFERROR(1000-SUMPRODUCT(MAX(ISNUMBER(SEARCH(Rules!$A$5:$A$204,B2957))*(Rules!$A$5:$A$204&lt;&gt;"")*(1000-ROW(Rules!$A$5:$A$204)))),""))</f>
        <v/>
      </c>
    </row>
    <row r="2958" customFormat="false" ht="15" hidden="false" customHeight="false" outlineLevel="0" collapsed="false">
      <c r="A2958" s="23"/>
      <c r="B2958" s="24"/>
      <c r="C2958" s="25"/>
      <c r="D2958" s="24"/>
      <c r="E2958" s="21" t="str">
        <f aca="false">IF(OR(B2958="",N(N2958)=0,N2958=1000),IF(B2958="","","Check"),INDEX(Rules!$B:$B,N2958))</f>
        <v/>
      </c>
      <c r="F2958" s="21" t="str">
        <f aca="false">IF(OR(B2958="",N(N2958)=0,N2958=1000),"",INDEX(Rules!$C:$C,N2958))</f>
        <v/>
      </c>
      <c r="G2958" s="24"/>
      <c r="H2958" s="24"/>
      <c r="I2958" s="20" t="str">
        <f aca="false">IF(B2958="","",IF(G2958&lt;&gt;"",G2958,E2958))</f>
        <v/>
      </c>
      <c r="J2958" s="21" t="str">
        <f aca="false">IF(B2958="","",IF(H2958&lt;&gt;"",H2958,F2958))</f>
        <v/>
      </c>
      <c r="K2958" s="26" t="str">
        <f aca="false">IF(A2958="","",DATE(YEAR(A2958),MONTH(A2958),1))</f>
        <v/>
      </c>
      <c r="L2958" s="21" t="str">
        <f aca="false">IF(J2958="",IF(B2958="","",IF(N(C2958)&gt;=0,"Income","Expense")),IFERROR(INDEX(Lists!$B$2:$B$30,MATCH(J2958,Lists!$A$2:$A$30,0)),""))</f>
        <v/>
      </c>
      <c r="M2958" s="24"/>
      <c r="N2958" s="27" t="str">
        <f aca="false">IF(B2958="","",IFERROR(1000-SUMPRODUCT(MAX(ISNUMBER(SEARCH(Rules!$A$5:$A$204,B2958))*(Rules!$A$5:$A$204&lt;&gt;"")*(1000-ROW(Rules!$A$5:$A$204)))),""))</f>
        <v/>
      </c>
    </row>
    <row r="2959" customFormat="false" ht="15" hidden="false" customHeight="false" outlineLevel="0" collapsed="false">
      <c r="A2959" s="23"/>
      <c r="B2959" s="24"/>
      <c r="C2959" s="25"/>
      <c r="D2959" s="24"/>
      <c r="E2959" s="21" t="str">
        <f aca="false">IF(OR(B2959="",N(N2959)=0,N2959=1000),IF(B2959="","","Check"),INDEX(Rules!$B:$B,N2959))</f>
        <v/>
      </c>
      <c r="F2959" s="21" t="str">
        <f aca="false">IF(OR(B2959="",N(N2959)=0,N2959=1000),"",INDEX(Rules!$C:$C,N2959))</f>
        <v/>
      </c>
      <c r="G2959" s="24"/>
      <c r="H2959" s="24"/>
      <c r="I2959" s="20" t="str">
        <f aca="false">IF(B2959="","",IF(G2959&lt;&gt;"",G2959,E2959))</f>
        <v/>
      </c>
      <c r="J2959" s="21" t="str">
        <f aca="false">IF(B2959="","",IF(H2959&lt;&gt;"",H2959,F2959))</f>
        <v/>
      </c>
      <c r="K2959" s="26" t="str">
        <f aca="false">IF(A2959="","",DATE(YEAR(A2959),MONTH(A2959),1))</f>
        <v/>
      </c>
      <c r="L2959" s="21" t="str">
        <f aca="false">IF(J2959="",IF(B2959="","",IF(N(C2959)&gt;=0,"Income","Expense")),IFERROR(INDEX(Lists!$B$2:$B$30,MATCH(J2959,Lists!$A$2:$A$30,0)),""))</f>
        <v/>
      </c>
      <c r="M2959" s="24"/>
      <c r="N2959" s="27" t="str">
        <f aca="false">IF(B2959="","",IFERROR(1000-SUMPRODUCT(MAX(ISNUMBER(SEARCH(Rules!$A$5:$A$204,B2959))*(Rules!$A$5:$A$204&lt;&gt;"")*(1000-ROW(Rules!$A$5:$A$204)))),""))</f>
        <v/>
      </c>
    </row>
    <row r="2960" customFormat="false" ht="15" hidden="false" customHeight="false" outlineLevel="0" collapsed="false">
      <c r="A2960" s="23"/>
      <c r="B2960" s="24"/>
      <c r="C2960" s="25"/>
      <c r="D2960" s="24"/>
      <c r="E2960" s="21" t="str">
        <f aca="false">IF(OR(B2960="",N(N2960)=0,N2960=1000),IF(B2960="","","Check"),INDEX(Rules!$B:$B,N2960))</f>
        <v/>
      </c>
      <c r="F2960" s="21" t="str">
        <f aca="false">IF(OR(B2960="",N(N2960)=0,N2960=1000),"",INDEX(Rules!$C:$C,N2960))</f>
        <v/>
      </c>
      <c r="G2960" s="24"/>
      <c r="H2960" s="24"/>
      <c r="I2960" s="20" t="str">
        <f aca="false">IF(B2960="","",IF(G2960&lt;&gt;"",G2960,E2960))</f>
        <v/>
      </c>
      <c r="J2960" s="21" t="str">
        <f aca="false">IF(B2960="","",IF(H2960&lt;&gt;"",H2960,F2960))</f>
        <v/>
      </c>
      <c r="K2960" s="26" t="str">
        <f aca="false">IF(A2960="","",DATE(YEAR(A2960),MONTH(A2960),1))</f>
        <v/>
      </c>
      <c r="L2960" s="21" t="str">
        <f aca="false">IF(J2960="",IF(B2960="","",IF(N(C2960)&gt;=0,"Income","Expense")),IFERROR(INDEX(Lists!$B$2:$B$30,MATCH(J2960,Lists!$A$2:$A$30,0)),""))</f>
        <v/>
      </c>
      <c r="M2960" s="24"/>
      <c r="N2960" s="27" t="str">
        <f aca="false">IF(B2960="","",IFERROR(1000-SUMPRODUCT(MAX(ISNUMBER(SEARCH(Rules!$A$5:$A$204,B2960))*(Rules!$A$5:$A$204&lt;&gt;"")*(1000-ROW(Rules!$A$5:$A$204)))),""))</f>
        <v/>
      </c>
    </row>
    <row r="2961" customFormat="false" ht="15" hidden="false" customHeight="false" outlineLevel="0" collapsed="false">
      <c r="A2961" s="23"/>
      <c r="B2961" s="24"/>
      <c r="C2961" s="25"/>
      <c r="D2961" s="24"/>
      <c r="E2961" s="21" t="str">
        <f aca="false">IF(OR(B2961="",N(N2961)=0,N2961=1000),IF(B2961="","","Check"),INDEX(Rules!$B:$B,N2961))</f>
        <v/>
      </c>
      <c r="F2961" s="21" t="str">
        <f aca="false">IF(OR(B2961="",N(N2961)=0,N2961=1000),"",INDEX(Rules!$C:$C,N2961))</f>
        <v/>
      </c>
      <c r="G2961" s="24"/>
      <c r="H2961" s="24"/>
      <c r="I2961" s="20" t="str">
        <f aca="false">IF(B2961="","",IF(G2961&lt;&gt;"",G2961,E2961))</f>
        <v/>
      </c>
      <c r="J2961" s="21" t="str">
        <f aca="false">IF(B2961="","",IF(H2961&lt;&gt;"",H2961,F2961))</f>
        <v/>
      </c>
      <c r="K2961" s="26" t="str">
        <f aca="false">IF(A2961="","",DATE(YEAR(A2961),MONTH(A2961),1))</f>
        <v/>
      </c>
      <c r="L2961" s="21" t="str">
        <f aca="false">IF(J2961="",IF(B2961="","",IF(N(C2961)&gt;=0,"Income","Expense")),IFERROR(INDEX(Lists!$B$2:$B$30,MATCH(J2961,Lists!$A$2:$A$30,0)),""))</f>
        <v/>
      </c>
      <c r="M2961" s="24"/>
      <c r="N2961" s="27" t="str">
        <f aca="false">IF(B2961="","",IFERROR(1000-SUMPRODUCT(MAX(ISNUMBER(SEARCH(Rules!$A$5:$A$204,B2961))*(Rules!$A$5:$A$204&lt;&gt;"")*(1000-ROW(Rules!$A$5:$A$204)))),""))</f>
        <v/>
      </c>
    </row>
    <row r="2962" customFormat="false" ht="15" hidden="false" customHeight="false" outlineLevel="0" collapsed="false">
      <c r="A2962" s="23"/>
      <c r="B2962" s="24"/>
      <c r="C2962" s="25"/>
      <c r="D2962" s="24"/>
      <c r="E2962" s="21" t="str">
        <f aca="false">IF(OR(B2962="",N(N2962)=0,N2962=1000),IF(B2962="","","Check"),INDEX(Rules!$B:$B,N2962))</f>
        <v/>
      </c>
      <c r="F2962" s="21" t="str">
        <f aca="false">IF(OR(B2962="",N(N2962)=0,N2962=1000),"",INDEX(Rules!$C:$C,N2962))</f>
        <v/>
      </c>
      <c r="G2962" s="24"/>
      <c r="H2962" s="24"/>
      <c r="I2962" s="20" t="str">
        <f aca="false">IF(B2962="","",IF(G2962&lt;&gt;"",G2962,E2962))</f>
        <v/>
      </c>
      <c r="J2962" s="21" t="str">
        <f aca="false">IF(B2962="","",IF(H2962&lt;&gt;"",H2962,F2962))</f>
        <v/>
      </c>
      <c r="K2962" s="26" t="str">
        <f aca="false">IF(A2962="","",DATE(YEAR(A2962),MONTH(A2962),1))</f>
        <v/>
      </c>
      <c r="L2962" s="21" t="str">
        <f aca="false">IF(J2962="",IF(B2962="","",IF(N(C2962)&gt;=0,"Income","Expense")),IFERROR(INDEX(Lists!$B$2:$B$30,MATCH(J2962,Lists!$A$2:$A$30,0)),""))</f>
        <v/>
      </c>
      <c r="M2962" s="24"/>
      <c r="N2962" s="27" t="str">
        <f aca="false">IF(B2962="","",IFERROR(1000-SUMPRODUCT(MAX(ISNUMBER(SEARCH(Rules!$A$5:$A$204,B2962))*(Rules!$A$5:$A$204&lt;&gt;"")*(1000-ROW(Rules!$A$5:$A$204)))),""))</f>
        <v/>
      </c>
    </row>
    <row r="2963" customFormat="false" ht="15" hidden="false" customHeight="false" outlineLevel="0" collapsed="false">
      <c r="A2963" s="23"/>
      <c r="B2963" s="24"/>
      <c r="C2963" s="25"/>
      <c r="D2963" s="24"/>
      <c r="E2963" s="21" t="str">
        <f aca="false">IF(OR(B2963="",N(N2963)=0,N2963=1000),IF(B2963="","","Check"),INDEX(Rules!$B:$B,N2963))</f>
        <v/>
      </c>
      <c r="F2963" s="21" t="str">
        <f aca="false">IF(OR(B2963="",N(N2963)=0,N2963=1000),"",INDEX(Rules!$C:$C,N2963))</f>
        <v/>
      </c>
      <c r="G2963" s="24"/>
      <c r="H2963" s="24"/>
      <c r="I2963" s="20" t="str">
        <f aca="false">IF(B2963="","",IF(G2963&lt;&gt;"",G2963,E2963))</f>
        <v/>
      </c>
      <c r="J2963" s="21" t="str">
        <f aca="false">IF(B2963="","",IF(H2963&lt;&gt;"",H2963,F2963))</f>
        <v/>
      </c>
      <c r="K2963" s="26" t="str">
        <f aca="false">IF(A2963="","",DATE(YEAR(A2963),MONTH(A2963),1))</f>
        <v/>
      </c>
      <c r="L2963" s="21" t="str">
        <f aca="false">IF(J2963="",IF(B2963="","",IF(N(C2963)&gt;=0,"Income","Expense")),IFERROR(INDEX(Lists!$B$2:$B$30,MATCH(J2963,Lists!$A$2:$A$30,0)),""))</f>
        <v/>
      </c>
      <c r="M2963" s="24"/>
      <c r="N2963" s="27" t="str">
        <f aca="false">IF(B2963="","",IFERROR(1000-SUMPRODUCT(MAX(ISNUMBER(SEARCH(Rules!$A$5:$A$204,B2963))*(Rules!$A$5:$A$204&lt;&gt;"")*(1000-ROW(Rules!$A$5:$A$204)))),""))</f>
        <v/>
      </c>
    </row>
    <row r="2964" customFormat="false" ht="15" hidden="false" customHeight="false" outlineLevel="0" collapsed="false">
      <c r="A2964" s="23"/>
      <c r="B2964" s="24"/>
      <c r="C2964" s="25"/>
      <c r="D2964" s="24"/>
      <c r="E2964" s="21" t="str">
        <f aca="false">IF(OR(B2964="",N(N2964)=0,N2964=1000),IF(B2964="","","Check"),INDEX(Rules!$B:$B,N2964))</f>
        <v/>
      </c>
      <c r="F2964" s="21" t="str">
        <f aca="false">IF(OR(B2964="",N(N2964)=0,N2964=1000),"",INDEX(Rules!$C:$C,N2964))</f>
        <v/>
      </c>
      <c r="G2964" s="24"/>
      <c r="H2964" s="24"/>
      <c r="I2964" s="20" t="str">
        <f aca="false">IF(B2964="","",IF(G2964&lt;&gt;"",G2964,E2964))</f>
        <v/>
      </c>
      <c r="J2964" s="21" t="str">
        <f aca="false">IF(B2964="","",IF(H2964&lt;&gt;"",H2964,F2964))</f>
        <v/>
      </c>
      <c r="K2964" s="26" t="str">
        <f aca="false">IF(A2964="","",DATE(YEAR(A2964),MONTH(A2964),1))</f>
        <v/>
      </c>
      <c r="L2964" s="21" t="str">
        <f aca="false">IF(J2964="",IF(B2964="","",IF(N(C2964)&gt;=0,"Income","Expense")),IFERROR(INDEX(Lists!$B$2:$B$30,MATCH(J2964,Lists!$A$2:$A$30,0)),""))</f>
        <v/>
      </c>
      <c r="M2964" s="24"/>
      <c r="N2964" s="27" t="str">
        <f aca="false">IF(B2964="","",IFERROR(1000-SUMPRODUCT(MAX(ISNUMBER(SEARCH(Rules!$A$5:$A$204,B2964))*(Rules!$A$5:$A$204&lt;&gt;"")*(1000-ROW(Rules!$A$5:$A$204)))),""))</f>
        <v/>
      </c>
    </row>
    <row r="2965" customFormat="false" ht="15" hidden="false" customHeight="false" outlineLevel="0" collapsed="false">
      <c r="A2965" s="23"/>
      <c r="B2965" s="24"/>
      <c r="C2965" s="25"/>
      <c r="D2965" s="24"/>
      <c r="E2965" s="21" t="str">
        <f aca="false">IF(OR(B2965="",N(N2965)=0,N2965=1000),IF(B2965="","","Check"),INDEX(Rules!$B:$B,N2965))</f>
        <v/>
      </c>
      <c r="F2965" s="21" t="str">
        <f aca="false">IF(OR(B2965="",N(N2965)=0,N2965=1000),"",INDEX(Rules!$C:$C,N2965))</f>
        <v/>
      </c>
      <c r="G2965" s="24"/>
      <c r="H2965" s="24"/>
      <c r="I2965" s="20" t="str">
        <f aca="false">IF(B2965="","",IF(G2965&lt;&gt;"",G2965,E2965))</f>
        <v/>
      </c>
      <c r="J2965" s="21" t="str">
        <f aca="false">IF(B2965="","",IF(H2965&lt;&gt;"",H2965,F2965))</f>
        <v/>
      </c>
      <c r="K2965" s="26" t="str">
        <f aca="false">IF(A2965="","",DATE(YEAR(A2965),MONTH(A2965),1))</f>
        <v/>
      </c>
      <c r="L2965" s="21" t="str">
        <f aca="false">IF(J2965="",IF(B2965="","",IF(N(C2965)&gt;=0,"Income","Expense")),IFERROR(INDEX(Lists!$B$2:$B$30,MATCH(J2965,Lists!$A$2:$A$30,0)),""))</f>
        <v/>
      </c>
      <c r="M2965" s="24"/>
      <c r="N2965" s="27" t="str">
        <f aca="false">IF(B2965="","",IFERROR(1000-SUMPRODUCT(MAX(ISNUMBER(SEARCH(Rules!$A$5:$A$204,B2965))*(Rules!$A$5:$A$204&lt;&gt;"")*(1000-ROW(Rules!$A$5:$A$204)))),""))</f>
        <v/>
      </c>
    </row>
    <row r="2966" customFormat="false" ht="15" hidden="false" customHeight="false" outlineLevel="0" collapsed="false">
      <c r="A2966" s="23"/>
      <c r="B2966" s="24"/>
      <c r="C2966" s="25"/>
      <c r="D2966" s="24"/>
      <c r="E2966" s="21" t="str">
        <f aca="false">IF(OR(B2966="",N(N2966)=0,N2966=1000),IF(B2966="","","Check"),INDEX(Rules!$B:$B,N2966))</f>
        <v/>
      </c>
      <c r="F2966" s="21" t="str">
        <f aca="false">IF(OR(B2966="",N(N2966)=0,N2966=1000),"",INDEX(Rules!$C:$C,N2966))</f>
        <v/>
      </c>
      <c r="G2966" s="24"/>
      <c r="H2966" s="24"/>
      <c r="I2966" s="20" t="str">
        <f aca="false">IF(B2966="","",IF(G2966&lt;&gt;"",G2966,E2966))</f>
        <v/>
      </c>
      <c r="J2966" s="21" t="str">
        <f aca="false">IF(B2966="","",IF(H2966&lt;&gt;"",H2966,F2966))</f>
        <v/>
      </c>
      <c r="K2966" s="26" t="str">
        <f aca="false">IF(A2966="","",DATE(YEAR(A2966),MONTH(A2966),1))</f>
        <v/>
      </c>
      <c r="L2966" s="21" t="str">
        <f aca="false">IF(J2966="",IF(B2966="","",IF(N(C2966)&gt;=0,"Income","Expense")),IFERROR(INDEX(Lists!$B$2:$B$30,MATCH(J2966,Lists!$A$2:$A$30,0)),""))</f>
        <v/>
      </c>
      <c r="M2966" s="24"/>
      <c r="N2966" s="27" t="str">
        <f aca="false">IF(B2966="","",IFERROR(1000-SUMPRODUCT(MAX(ISNUMBER(SEARCH(Rules!$A$5:$A$204,B2966))*(Rules!$A$5:$A$204&lt;&gt;"")*(1000-ROW(Rules!$A$5:$A$204)))),""))</f>
        <v/>
      </c>
    </row>
    <row r="2967" customFormat="false" ht="15" hidden="false" customHeight="false" outlineLevel="0" collapsed="false">
      <c r="A2967" s="23"/>
      <c r="B2967" s="24"/>
      <c r="C2967" s="25"/>
      <c r="D2967" s="24"/>
      <c r="E2967" s="21" t="str">
        <f aca="false">IF(OR(B2967="",N(N2967)=0,N2967=1000),IF(B2967="","","Check"),INDEX(Rules!$B:$B,N2967))</f>
        <v/>
      </c>
      <c r="F2967" s="21" t="str">
        <f aca="false">IF(OR(B2967="",N(N2967)=0,N2967=1000),"",INDEX(Rules!$C:$C,N2967))</f>
        <v/>
      </c>
      <c r="G2967" s="24"/>
      <c r="H2967" s="24"/>
      <c r="I2967" s="20" t="str">
        <f aca="false">IF(B2967="","",IF(G2967&lt;&gt;"",G2967,E2967))</f>
        <v/>
      </c>
      <c r="J2967" s="21" t="str">
        <f aca="false">IF(B2967="","",IF(H2967&lt;&gt;"",H2967,F2967))</f>
        <v/>
      </c>
      <c r="K2967" s="26" t="str">
        <f aca="false">IF(A2967="","",DATE(YEAR(A2967),MONTH(A2967),1))</f>
        <v/>
      </c>
      <c r="L2967" s="21" t="str">
        <f aca="false">IF(J2967="",IF(B2967="","",IF(N(C2967)&gt;=0,"Income","Expense")),IFERROR(INDEX(Lists!$B$2:$B$30,MATCH(J2967,Lists!$A$2:$A$30,0)),""))</f>
        <v/>
      </c>
      <c r="M2967" s="24"/>
      <c r="N2967" s="27" t="str">
        <f aca="false">IF(B2967="","",IFERROR(1000-SUMPRODUCT(MAX(ISNUMBER(SEARCH(Rules!$A$5:$A$204,B2967))*(Rules!$A$5:$A$204&lt;&gt;"")*(1000-ROW(Rules!$A$5:$A$204)))),""))</f>
        <v/>
      </c>
    </row>
    <row r="2968" customFormat="false" ht="15" hidden="false" customHeight="false" outlineLevel="0" collapsed="false">
      <c r="A2968" s="23"/>
      <c r="B2968" s="24"/>
      <c r="C2968" s="25"/>
      <c r="D2968" s="24"/>
      <c r="E2968" s="21" t="str">
        <f aca="false">IF(OR(B2968="",N(N2968)=0,N2968=1000),IF(B2968="","","Check"),INDEX(Rules!$B:$B,N2968))</f>
        <v/>
      </c>
      <c r="F2968" s="21" t="str">
        <f aca="false">IF(OR(B2968="",N(N2968)=0,N2968=1000),"",INDEX(Rules!$C:$C,N2968))</f>
        <v/>
      </c>
      <c r="G2968" s="24"/>
      <c r="H2968" s="24"/>
      <c r="I2968" s="20" t="str">
        <f aca="false">IF(B2968="","",IF(G2968&lt;&gt;"",G2968,E2968))</f>
        <v/>
      </c>
      <c r="J2968" s="21" t="str">
        <f aca="false">IF(B2968="","",IF(H2968&lt;&gt;"",H2968,F2968))</f>
        <v/>
      </c>
      <c r="K2968" s="26" t="str">
        <f aca="false">IF(A2968="","",DATE(YEAR(A2968),MONTH(A2968),1))</f>
        <v/>
      </c>
      <c r="L2968" s="21" t="str">
        <f aca="false">IF(J2968="",IF(B2968="","",IF(N(C2968)&gt;=0,"Income","Expense")),IFERROR(INDEX(Lists!$B$2:$B$30,MATCH(J2968,Lists!$A$2:$A$30,0)),""))</f>
        <v/>
      </c>
      <c r="M2968" s="24"/>
      <c r="N2968" s="27" t="str">
        <f aca="false">IF(B2968="","",IFERROR(1000-SUMPRODUCT(MAX(ISNUMBER(SEARCH(Rules!$A$5:$A$204,B2968))*(Rules!$A$5:$A$204&lt;&gt;"")*(1000-ROW(Rules!$A$5:$A$204)))),""))</f>
        <v/>
      </c>
    </row>
    <row r="2969" customFormat="false" ht="15" hidden="false" customHeight="false" outlineLevel="0" collapsed="false">
      <c r="A2969" s="23"/>
      <c r="B2969" s="24"/>
      <c r="C2969" s="25"/>
      <c r="D2969" s="24"/>
      <c r="E2969" s="21" t="str">
        <f aca="false">IF(OR(B2969="",N(N2969)=0,N2969=1000),IF(B2969="","","Check"),INDEX(Rules!$B:$B,N2969))</f>
        <v/>
      </c>
      <c r="F2969" s="21" t="str">
        <f aca="false">IF(OR(B2969="",N(N2969)=0,N2969=1000),"",INDEX(Rules!$C:$C,N2969))</f>
        <v/>
      </c>
      <c r="G2969" s="24"/>
      <c r="H2969" s="24"/>
      <c r="I2969" s="20" t="str">
        <f aca="false">IF(B2969="","",IF(G2969&lt;&gt;"",G2969,E2969))</f>
        <v/>
      </c>
      <c r="J2969" s="21" t="str">
        <f aca="false">IF(B2969="","",IF(H2969&lt;&gt;"",H2969,F2969))</f>
        <v/>
      </c>
      <c r="K2969" s="26" t="str">
        <f aca="false">IF(A2969="","",DATE(YEAR(A2969),MONTH(A2969),1))</f>
        <v/>
      </c>
      <c r="L2969" s="21" t="str">
        <f aca="false">IF(J2969="",IF(B2969="","",IF(N(C2969)&gt;=0,"Income","Expense")),IFERROR(INDEX(Lists!$B$2:$B$30,MATCH(J2969,Lists!$A$2:$A$30,0)),""))</f>
        <v/>
      </c>
      <c r="M2969" s="24"/>
      <c r="N2969" s="27" t="str">
        <f aca="false">IF(B2969="","",IFERROR(1000-SUMPRODUCT(MAX(ISNUMBER(SEARCH(Rules!$A$5:$A$204,B2969))*(Rules!$A$5:$A$204&lt;&gt;"")*(1000-ROW(Rules!$A$5:$A$204)))),""))</f>
        <v/>
      </c>
    </row>
    <row r="2970" customFormat="false" ht="15" hidden="false" customHeight="false" outlineLevel="0" collapsed="false">
      <c r="A2970" s="23"/>
      <c r="B2970" s="24"/>
      <c r="C2970" s="25"/>
      <c r="D2970" s="24"/>
      <c r="E2970" s="21" t="str">
        <f aca="false">IF(OR(B2970="",N(N2970)=0,N2970=1000),IF(B2970="","","Check"),INDEX(Rules!$B:$B,N2970))</f>
        <v/>
      </c>
      <c r="F2970" s="21" t="str">
        <f aca="false">IF(OR(B2970="",N(N2970)=0,N2970=1000),"",INDEX(Rules!$C:$C,N2970))</f>
        <v/>
      </c>
      <c r="G2970" s="24"/>
      <c r="H2970" s="24"/>
      <c r="I2970" s="20" t="str">
        <f aca="false">IF(B2970="","",IF(G2970&lt;&gt;"",G2970,E2970))</f>
        <v/>
      </c>
      <c r="J2970" s="21" t="str">
        <f aca="false">IF(B2970="","",IF(H2970&lt;&gt;"",H2970,F2970))</f>
        <v/>
      </c>
      <c r="K2970" s="26" t="str">
        <f aca="false">IF(A2970="","",DATE(YEAR(A2970),MONTH(A2970),1))</f>
        <v/>
      </c>
      <c r="L2970" s="21" t="str">
        <f aca="false">IF(J2970="",IF(B2970="","",IF(N(C2970)&gt;=0,"Income","Expense")),IFERROR(INDEX(Lists!$B$2:$B$30,MATCH(J2970,Lists!$A$2:$A$30,0)),""))</f>
        <v/>
      </c>
      <c r="M2970" s="24"/>
      <c r="N2970" s="27" t="str">
        <f aca="false">IF(B2970="","",IFERROR(1000-SUMPRODUCT(MAX(ISNUMBER(SEARCH(Rules!$A$5:$A$204,B2970))*(Rules!$A$5:$A$204&lt;&gt;"")*(1000-ROW(Rules!$A$5:$A$204)))),""))</f>
        <v/>
      </c>
    </row>
    <row r="2971" customFormat="false" ht="15" hidden="false" customHeight="false" outlineLevel="0" collapsed="false">
      <c r="A2971" s="23"/>
      <c r="B2971" s="24"/>
      <c r="C2971" s="25"/>
      <c r="D2971" s="24"/>
      <c r="E2971" s="21" t="str">
        <f aca="false">IF(OR(B2971="",N(N2971)=0,N2971=1000),IF(B2971="","","Check"),INDEX(Rules!$B:$B,N2971))</f>
        <v/>
      </c>
      <c r="F2971" s="21" t="str">
        <f aca="false">IF(OR(B2971="",N(N2971)=0,N2971=1000),"",INDEX(Rules!$C:$C,N2971))</f>
        <v/>
      </c>
      <c r="G2971" s="24"/>
      <c r="H2971" s="24"/>
      <c r="I2971" s="20" t="str">
        <f aca="false">IF(B2971="","",IF(G2971&lt;&gt;"",G2971,E2971))</f>
        <v/>
      </c>
      <c r="J2971" s="21" t="str">
        <f aca="false">IF(B2971="","",IF(H2971&lt;&gt;"",H2971,F2971))</f>
        <v/>
      </c>
      <c r="K2971" s="26" t="str">
        <f aca="false">IF(A2971="","",DATE(YEAR(A2971),MONTH(A2971),1))</f>
        <v/>
      </c>
      <c r="L2971" s="21" t="str">
        <f aca="false">IF(J2971="",IF(B2971="","",IF(N(C2971)&gt;=0,"Income","Expense")),IFERROR(INDEX(Lists!$B$2:$B$30,MATCH(J2971,Lists!$A$2:$A$30,0)),""))</f>
        <v/>
      </c>
      <c r="M2971" s="24"/>
      <c r="N2971" s="27" t="str">
        <f aca="false">IF(B2971="","",IFERROR(1000-SUMPRODUCT(MAX(ISNUMBER(SEARCH(Rules!$A$5:$A$204,B2971))*(Rules!$A$5:$A$204&lt;&gt;"")*(1000-ROW(Rules!$A$5:$A$204)))),""))</f>
        <v/>
      </c>
    </row>
    <row r="2972" customFormat="false" ht="15" hidden="false" customHeight="false" outlineLevel="0" collapsed="false">
      <c r="A2972" s="23"/>
      <c r="B2972" s="24"/>
      <c r="C2972" s="25"/>
      <c r="D2972" s="24"/>
      <c r="E2972" s="21" t="str">
        <f aca="false">IF(OR(B2972="",N(N2972)=0,N2972=1000),IF(B2972="","","Check"),INDEX(Rules!$B:$B,N2972))</f>
        <v/>
      </c>
      <c r="F2972" s="21" t="str">
        <f aca="false">IF(OR(B2972="",N(N2972)=0,N2972=1000),"",INDEX(Rules!$C:$C,N2972))</f>
        <v/>
      </c>
      <c r="G2972" s="24"/>
      <c r="H2972" s="24"/>
      <c r="I2972" s="20" t="str">
        <f aca="false">IF(B2972="","",IF(G2972&lt;&gt;"",G2972,E2972))</f>
        <v/>
      </c>
      <c r="J2972" s="21" t="str">
        <f aca="false">IF(B2972="","",IF(H2972&lt;&gt;"",H2972,F2972))</f>
        <v/>
      </c>
      <c r="K2972" s="26" t="str">
        <f aca="false">IF(A2972="","",DATE(YEAR(A2972),MONTH(A2972),1))</f>
        <v/>
      </c>
      <c r="L2972" s="21" t="str">
        <f aca="false">IF(J2972="",IF(B2972="","",IF(N(C2972)&gt;=0,"Income","Expense")),IFERROR(INDEX(Lists!$B$2:$B$30,MATCH(J2972,Lists!$A$2:$A$30,0)),""))</f>
        <v/>
      </c>
      <c r="M2972" s="24"/>
      <c r="N2972" s="27" t="str">
        <f aca="false">IF(B2972="","",IFERROR(1000-SUMPRODUCT(MAX(ISNUMBER(SEARCH(Rules!$A$5:$A$204,B2972))*(Rules!$A$5:$A$204&lt;&gt;"")*(1000-ROW(Rules!$A$5:$A$204)))),""))</f>
        <v/>
      </c>
    </row>
    <row r="2973" customFormat="false" ht="15" hidden="false" customHeight="false" outlineLevel="0" collapsed="false">
      <c r="A2973" s="23"/>
      <c r="B2973" s="24"/>
      <c r="C2973" s="25"/>
      <c r="D2973" s="24"/>
      <c r="E2973" s="21" t="str">
        <f aca="false">IF(OR(B2973="",N(N2973)=0,N2973=1000),IF(B2973="","","Check"),INDEX(Rules!$B:$B,N2973))</f>
        <v/>
      </c>
      <c r="F2973" s="21" t="str">
        <f aca="false">IF(OR(B2973="",N(N2973)=0,N2973=1000),"",INDEX(Rules!$C:$C,N2973))</f>
        <v/>
      </c>
      <c r="G2973" s="24"/>
      <c r="H2973" s="24"/>
      <c r="I2973" s="20" t="str">
        <f aca="false">IF(B2973="","",IF(G2973&lt;&gt;"",G2973,E2973))</f>
        <v/>
      </c>
      <c r="J2973" s="21" t="str">
        <f aca="false">IF(B2973="","",IF(H2973&lt;&gt;"",H2973,F2973))</f>
        <v/>
      </c>
      <c r="K2973" s="26" t="str">
        <f aca="false">IF(A2973="","",DATE(YEAR(A2973),MONTH(A2973),1))</f>
        <v/>
      </c>
      <c r="L2973" s="21" t="str">
        <f aca="false">IF(J2973="",IF(B2973="","",IF(N(C2973)&gt;=0,"Income","Expense")),IFERROR(INDEX(Lists!$B$2:$B$30,MATCH(J2973,Lists!$A$2:$A$30,0)),""))</f>
        <v/>
      </c>
      <c r="M2973" s="24"/>
      <c r="N2973" s="27" t="str">
        <f aca="false">IF(B2973="","",IFERROR(1000-SUMPRODUCT(MAX(ISNUMBER(SEARCH(Rules!$A$5:$A$204,B2973))*(Rules!$A$5:$A$204&lt;&gt;"")*(1000-ROW(Rules!$A$5:$A$204)))),""))</f>
        <v/>
      </c>
    </row>
    <row r="2974" customFormat="false" ht="15" hidden="false" customHeight="false" outlineLevel="0" collapsed="false">
      <c r="A2974" s="23"/>
      <c r="B2974" s="24"/>
      <c r="C2974" s="25"/>
      <c r="D2974" s="24"/>
      <c r="E2974" s="21" t="str">
        <f aca="false">IF(OR(B2974="",N(N2974)=0,N2974=1000),IF(B2974="","","Check"),INDEX(Rules!$B:$B,N2974))</f>
        <v/>
      </c>
      <c r="F2974" s="21" t="str">
        <f aca="false">IF(OR(B2974="",N(N2974)=0,N2974=1000),"",INDEX(Rules!$C:$C,N2974))</f>
        <v/>
      </c>
      <c r="G2974" s="24"/>
      <c r="H2974" s="24"/>
      <c r="I2974" s="20" t="str">
        <f aca="false">IF(B2974="","",IF(G2974&lt;&gt;"",G2974,E2974))</f>
        <v/>
      </c>
      <c r="J2974" s="21" t="str">
        <f aca="false">IF(B2974="","",IF(H2974&lt;&gt;"",H2974,F2974))</f>
        <v/>
      </c>
      <c r="K2974" s="26" t="str">
        <f aca="false">IF(A2974="","",DATE(YEAR(A2974),MONTH(A2974),1))</f>
        <v/>
      </c>
      <c r="L2974" s="21" t="str">
        <f aca="false">IF(J2974="",IF(B2974="","",IF(N(C2974)&gt;=0,"Income","Expense")),IFERROR(INDEX(Lists!$B$2:$B$30,MATCH(J2974,Lists!$A$2:$A$30,0)),""))</f>
        <v/>
      </c>
      <c r="M2974" s="24"/>
      <c r="N2974" s="27" t="str">
        <f aca="false">IF(B2974="","",IFERROR(1000-SUMPRODUCT(MAX(ISNUMBER(SEARCH(Rules!$A$5:$A$204,B2974))*(Rules!$A$5:$A$204&lt;&gt;"")*(1000-ROW(Rules!$A$5:$A$204)))),""))</f>
        <v/>
      </c>
    </row>
    <row r="2975" customFormat="false" ht="15" hidden="false" customHeight="false" outlineLevel="0" collapsed="false">
      <c r="A2975" s="23"/>
      <c r="B2975" s="24"/>
      <c r="C2975" s="25"/>
      <c r="D2975" s="24"/>
      <c r="E2975" s="21" t="str">
        <f aca="false">IF(OR(B2975="",N(N2975)=0,N2975=1000),IF(B2975="","","Check"),INDEX(Rules!$B:$B,N2975))</f>
        <v/>
      </c>
      <c r="F2975" s="21" t="str">
        <f aca="false">IF(OR(B2975="",N(N2975)=0,N2975=1000),"",INDEX(Rules!$C:$C,N2975))</f>
        <v/>
      </c>
      <c r="G2975" s="24"/>
      <c r="H2975" s="24"/>
      <c r="I2975" s="20" t="str">
        <f aca="false">IF(B2975="","",IF(G2975&lt;&gt;"",G2975,E2975))</f>
        <v/>
      </c>
      <c r="J2975" s="21" t="str">
        <f aca="false">IF(B2975="","",IF(H2975&lt;&gt;"",H2975,F2975))</f>
        <v/>
      </c>
      <c r="K2975" s="26" t="str">
        <f aca="false">IF(A2975="","",DATE(YEAR(A2975),MONTH(A2975),1))</f>
        <v/>
      </c>
      <c r="L2975" s="21" t="str">
        <f aca="false">IF(J2975="",IF(B2975="","",IF(N(C2975)&gt;=0,"Income","Expense")),IFERROR(INDEX(Lists!$B$2:$B$30,MATCH(J2975,Lists!$A$2:$A$30,0)),""))</f>
        <v/>
      </c>
      <c r="M2975" s="24"/>
      <c r="N2975" s="27" t="str">
        <f aca="false">IF(B2975="","",IFERROR(1000-SUMPRODUCT(MAX(ISNUMBER(SEARCH(Rules!$A$5:$A$204,B2975))*(Rules!$A$5:$A$204&lt;&gt;"")*(1000-ROW(Rules!$A$5:$A$204)))),""))</f>
        <v/>
      </c>
    </row>
    <row r="2976" customFormat="false" ht="15" hidden="false" customHeight="false" outlineLevel="0" collapsed="false">
      <c r="A2976" s="23"/>
      <c r="B2976" s="24"/>
      <c r="C2976" s="25"/>
      <c r="D2976" s="24"/>
      <c r="E2976" s="21" t="str">
        <f aca="false">IF(OR(B2976="",N(N2976)=0,N2976=1000),IF(B2976="","","Check"),INDEX(Rules!$B:$B,N2976))</f>
        <v/>
      </c>
      <c r="F2976" s="21" t="str">
        <f aca="false">IF(OR(B2976="",N(N2976)=0,N2976=1000),"",INDEX(Rules!$C:$C,N2976))</f>
        <v/>
      </c>
      <c r="G2976" s="24"/>
      <c r="H2976" s="24"/>
      <c r="I2976" s="20" t="str">
        <f aca="false">IF(B2976="","",IF(G2976&lt;&gt;"",G2976,E2976))</f>
        <v/>
      </c>
      <c r="J2976" s="21" t="str">
        <f aca="false">IF(B2976="","",IF(H2976&lt;&gt;"",H2976,F2976))</f>
        <v/>
      </c>
      <c r="K2976" s="26" t="str">
        <f aca="false">IF(A2976="","",DATE(YEAR(A2976),MONTH(A2976),1))</f>
        <v/>
      </c>
      <c r="L2976" s="21" t="str">
        <f aca="false">IF(J2976="",IF(B2976="","",IF(N(C2976)&gt;=0,"Income","Expense")),IFERROR(INDEX(Lists!$B$2:$B$30,MATCH(J2976,Lists!$A$2:$A$30,0)),""))</f>
        <v/>
      </c>
      <c r="M2976" s="24"/>
      <c r="N2976" s="27" t="str">
        <f aca="false">IF(B2976="","",IFERROR(1000-SUMPRODUCT(MAX(ISNUMBER(SEARCH(Rules!$A$5:$A$204,B2976))*(Rules!$A$5:$A$204&lt;&gt;"")*(1000-ROW(Rules!$A$5:$A$204)))),""))</f>
        <v/>
      </c>
    </row>
    <row r="2977" customFormat="false" ht="15" hidden="false" customHeight="false" outlineLevel="0" collapsed="false">
      <c r="A2977" s="23"/>
      <c r="B2977" s="24"/>
      <c r="C2977" s="25"/>
      <c r="D2977" s="24"/>
      <c r="E2977" s="21" t="str">
        <f aca="false">IF(OR(B2977="",N(N2977)=0,N2977=1000),IF(B2977="","","Check"),INDEX(Rules!$B:$B,N2977))</f>
        <v/>
      </c>
      <c r="F2977" s="21" t="str">
        <f aca="false">IF(OR(B2977="",N(N2977)=0,N2977=1000),"",INDEX(Rules!$C:$C,N2977))</f>
        <v/>
      </c>
      <c r="G2977" s="24"/>
      <c r="H2977" s="24"/>
      <c r="I2977" s="20" t="str">
        <f aca="false">IF(B2977="","",IF(G2977&lt;&gt;"",G2977,E2977))</f>
        <v/>
      </c>
      <c r="J2977" s="21" t="str">
        <f aca="false">IF(B2977="","",IF(H2977&lt;&gt;"",H2977,F2977))</f>
        <v/>
      </c>
      <c r="K2977" s="26" t="str">
        <f aca="false">IF(A2977="","",DATE(YEAR(A2977),MONTH(A2977),1))</f>
        <v/>
      </c>
      <c r="L2977" s="21" t="str">
        <f aca="false">IF(J2977="",IF(B2977="","",IF(N(C2977)&gt;=0,"Income","Expense")),IFERROR(INDEX(Lists!$B$2:$B$30,MATCH(J2977,Lists!$A$2:$A$30,0)),""))</f>
        <v/>
      </c>
      <c r="M2977" s="24"/>
      <c r="N2977" s="27" t="str">
        <f aca="false">IF(B2977="","",IFERROR(1000-SUMPRODUCT(MAX(ISNUMBER(SEARCH(Rules!$A$5:$A$204,B2977))*(Rules!$A$5:$A$204&lt;&gt;"")*(1000-ROW(Rules!$A$5:$A$204)))),""))</f>
        <v/>
      </c>
    </row>
    <row r="2978" customFormat="false" ht="15" hidden="false" customHeight="false" outlineLevel="0" collapsed="false">
      <c r="A2978" s="23"/>
      <c r="B2978" s="24"/>
      <c r="C2978" s="25"/>
      <c r="D2978" s="24"/>
      <c r="E2978" s="21" t="str">
        <f aca="false">IF(OR(B2978="",N(N2978)=0,N2978=1000),IF(B2978="","","Check"),INDEX(Rules!$B:$B,N2978))</f>
        <v/>
      </c>
      <c r="F2978" s="21" t="str">
        <f aca="false">IF(OR(B2978="",N(N2978)=0,N2978=1000),"",INDEX(Rules!$C:$C,N2978))</f>
        <v/>
      </c>
      <c r="G2978" s="24"/>
      <c r="H2978" s="24"/>
      <c r="I2978" s="20" t="str">
        <f aca="false">IF(B2978="","",IF(G2978&lt;&gt;"",G2978,E2978))</f>
        <v/>
      </c>
      <c r="J2978" s="21" t="str">
        <f aca="false">IF(B2978="","",IF(H2978&lt;&gt;"",H2978,F2978))</f>
        <v/>
      </c>
      <c r="K2978" s="26" t="str">
        <f aca="false">IF(A2978="","",DATE(YEAR(A2978),MONTH(A2978),1))</f>
        <v/>
      </c>
      <c r="L2978" s="21" t="str">
        <f aca="false">IF(J2978="",IF(B2978="","",IF(N(C2978)&gt;=0,"Income","Expense")),IFERROR(INDEX(Lists!$B$2:$B$30,MATCH(J2978,Lists!$A$2:$A$30,0)),""))</f>
        <v/>
      </c>
      <c r="M2978" s="24"/>
      <c r="N2978" s="27" t="str">
        <f aca="false">IF(B2978="","",IFERROR(1000-SUMPRODUCT(MAX(ISNUMBER(SEARCH(Rules!$A$5:$A$204,B2978))*(Rules!$A$5:$A$204&lt;&gt;"")*(1000-ROW(Rules!$A$5:$A$204)))),""))</f>
        <v/>
      </c>
    </row>
    <row r="2979" customFormat="false" ht="15" hidden="false" customHeight="false" outlineLevel="0" collapsed="false">
      <c r="A2979" s="23"/>
      <c r="B2979" s="24"/>
      <c r="C2979" s="25"/>
      <c r="D2979" s="24"/>
      <c r="E2979" s="21" t="str">
        <f aca="false">IF(OR(B2979="",N(N2979)=0,N2979=1000),IF(B2979="","","Check"),INDEX(Rules!$B:$B,N2979))</f>
        <v/>
      </c>
      <c r="F2979" s="21" t="str">
        <f aca="false">IF(OR(B2979="",N(N2979)=0,N2979=1000),"",INDEX(Rules!$C:$C,N2979))</f>
        <v/>
      </c>
      <c r="G2979" s="24"/>
      <c r="H2979" s="24"/>
      <c r="I2979" s="20" t="str">
        <f aca="false">IF(B2979="","",IF(G2979&lt;&gt;"",G2979,E2979))</f>
        <v/>
      </c>
      <c r="J2979" s="21" t="str">
        <f aca="false">IF(B2979="","",IF(H2979&lt;&gt;"",H2979,F2979))</f>
        <v/>
      </c>
      <c r="K2979" s="26" t="str">
        <f aca="false">IF(A2979="","",DATE(YEAR(A2979),MONTH(A2979),1))</f>
        <v/>
      </c>
      <c r="L2979" s="21" t="str">
        <f aca="false">IF(J2979="",IF(B2979="","",IF(N(C2979)&gt;=0,"Income","Expense")),IFERROR(INDEX(Lists!$B$2:$B$30,MATCH(J2979,Lists!$A$2:$A$30,0)),""))</f>
        <v/>
      </c>
      <c r="M2979" s="24"/>
      <c r="N2979" s="27" t="str">
        <f aca="false">IF(B2979="","",IFERROR(1000-SUMPRODUCT(MAX(ISNUMBER(SEARCH(Rules!$A$5:$A$204,B2979))*(Rules!$A$5:$A$204&lt;&gt;"")*(1000-ROW(Rules!$A$5:$A$204)))),""))</f>
        <v/>
      </c>
    </row>
    <row r="2980" customFormat="false" ht="15" hidden="false" customHeight="false" outlineLevel="0" collapsed="false">
      <c r="A2980" s="23"/>
      <c r="B2980" s="24"/>
      <c r="C2980" s="25"/>
      <c r="D2980" s="24"/>
      <c r="E2980" s="21" t="str">
        <f aca="false">IF(OR(B2980="",N(N2980)=0,N2980=1000),IF(B2980="","","Check"),INDEX(Rules!$B:$B,N2980))</f>
        <v/>
      </c>
      <c r="F2980" s="21" t="str">
        <f aca="false">IF(OR(B2980="",N(N2980)=0,N2980=1000),"",INDEX(Rules!$C:$C,N2980))</f>
        <v/>
      </c>
      <c r="G2980" s="24"/>
      <c r="H2980" s="24"/>
      <c r="I2980" s="20" t="str">
        <f aca="false">IF(B2980="","",IF(G2980&lt;&gt;"",G2980,E2980))</f>
        <v/>
      </c>
      <c r="J2980" s="21" t="str">
        <f aca="false">IF(B2980="","",IF(H2980&lt;&gt;"",H2980,F2980))</f>
        <v/>
      </c>
      <c r="K2980" s="26" t="str">
        <f aca="false">IF(A2980="","",DATE(YEAR(A2980),MONTH(A2980),1))</f>
        <v/>
      </c>
      <c r="L2980" s="21" t="str">
        <f aca="false">IF(J2980="",IF(B2980="","",IF(N(C2980)&gt;=0,"Income","Expense")),IFERROR(INDEX(Lists!$B$2:$B$30,MATCH(J2980,Lists!$A$2:$A$30,0)),""))</f>
        <v/>
      </c>
      <c r="M2980" s="24"/>
      <c r="N2980" s="27" t="str">
        <f aca="false">IF(B2980="","",IFERROR(1000-SUMPRODUCT(MAX(ISNUMBER(SEARCH(Rules!$A$5:$A$204,B2980))*(Rules!$A$5:$A$204&lt;&gt;"")*(1000-ROW(Rules!$A$5:$A$204)))),""))</f>
        <v/>
      </c>
    </row>
    <row r="2981" customFormat="false" ht="15" hidden="false" customHeight="false" outlineLevel="0" collapsed="false">
      <c r="A2981" s="23"/>
      <c r="B2981" s="24"/>
      <c r="C2981" s="25"/>
      <c r="D2981" s="24"/>
      <c r="E2981" s="21" t="str">
        <f aca="false">IF(OR(B2981="",N(N2981)=0,N2981=1000),IF(B2981="","","Check"),INDEX(Rules!$B:$B,N2981))</f>
        <v/>
      </c>
      <c r="F2981" s="21" t="str">
        <f aca="false">IF(OR(B2981="",N(N2981)=0,N2981=1000),"",INDEX(Rules!$C:$C,N2981))</f>
        <v/>
      </c>
      <c r="G2981" s="24"/>
      <c r="H2981" s="24"/>
      <c r="I2981" s="20" t="str">
        <f aca="false">IF(B2981="","",IF(G2981&lt;&gt;"",G2981,E2981))</f>
        <v/>
      </c>
      <c r="J2981" s="21" t="str">
        <f aca="false">IF(B2981="","",IF(H2981&lt;&gt;"",H2981,F2981))</f>
        <v/>
      </c>
      <c r="K2981" s="26" t="str">
        <f aca="false">IF(A2981="","",DATE(YEAR(A2981),MONTH(A2981),1))</f>
        <v/>
      </c>
      <c r="L2981" s="21" t="str">
        <f aca="false">IF(J2981="",IF(B2981="","",IF(N(C2981)&gt;=0,"Income","Expense")),IFERROR(INDEX(Lists!$B$2:$B$30,MATCH(J2981,Lists!$A$2:$A$30,0)),""))</f>
        <v/>
      </c>
      <c r="M2981" s="24"/>
      <c r="N2981" s="27" t="str">
        <f aca="false">IF(B2981="","",IFERROR(1000-SUMPRODUCT(MAX(ISNUMBER(SEARCH(Rules!$A$5:$A$204,B2981))*(Rules!$A$5:$A$204&lt;&gt;"")*(1000-ROW(Rules!$A$5:$A$204)))),""))</f>
        <v/>
      </c>
    </row>
    <row r="2982" customFormat="false" ht="15" hidden="false" customHeight="false" outlineLevel="0" collapsed="false">
      <c r="A2982" s="23"/>
      <c r="B2982" s="24"/>
      <c r="C2982" s="25"/>
      <c r="D2982" s="24"/>
      <c r="E2982" s="21" t="str">
        <f aca="false">IF(OR(B2982="",N(N2982)=0,N2982=1000),IF(B2982="","","Check"),INDEX(Rules!$B:$B,N2982))</f>
        <v/>
      </c>
      <c r="F2982" s="21" t="str">
        <f aca="false">IF(OR(B2982="",N(N2982)=0,N2982=1000),"",INDEX(Rules!$C:$C,N2982))</f>
        <v/>
      </c>
      <c r="G2982" s="24"/>
      <c r="H2982" s="24"/>
      <c r="I2982" s="20" t="str">
        <f aca="false">IF(B2982="","",IF(G2982&lt;&gt;"",G2982,E2982))</f>
        <v/>
      </c>
      <c r="J2982" s="21" t="str">
        <f aca="false">IF(B2982="","",IF(H2982&lt;&gt;"",H2982,F2982))</f>
        <v/>
      </c>
      <c r="K2982" s="26" t="str">
        <f aca="false">IF(A2982="","",DATE(YEAR(A2982),MONTH(A2982),1))</f>
        <v/>
      </c>
      <c r="L2982" s="21" t="str">
        <f aca="false">IF(J2982="",IF(B2982="","",IF(N(C2982)&gt;=0,"Income","Expense")),IFERROR(INDEX(Lists!$B$2:$B$30,MATCH(J2982,Lists!$A$2:$A$30,0)),""))</f>
        <v/>
      </c>
      <c r="M2982" s="24"/>
      <c r="N2982" s="27" t="str">
        <f aca="false">IF(B2982="","",IFERROR(1000-SUMPRODUCT(MAX(ISNUMBER(SEARCH(Rules!$A$5:$A$204,B2982))*(Rules!$A$5:$A$204&lt;&gt;"")*(1000-ROW(Rules!$A$5:$A$204)))),""))</f>
        <v/>
      </c>
    </row>
    <row r="2983" customFormat="false" ht="15" hidden="false" customHeight="false" outlineLevel="0" collapsed="false">
      <c r="A2983" s="23"/>
      <c r="B2983" s="24"/>
      <c r="C2983" s="25"/>
      <c r="D2983" s="24"/>
      <c r="E2983" s="21" t="str">
        <f aca="false">IF(OR(B2983="",N(N2983)=0,N2983=1000),IF(B2983="","","Check"),INDEX(Rules!$B:$B,N2983))</f>
        <v/>
      </c>
      <c r="F2983" s="21" t="str">
        <f aca="false">IF(OR(B2983="",N(N2983)=0,N2983=1000),"",INDEX(Rules!$C:$C,N2983))</f>
        <v/>
      </c>
      <c r="G2983" s="24"/>
      <c r="H2983" s="24"/>
      <c r="I2983" s="20" t="str">
        <f aca="false">IF(B2983="","",IF(G2983&lt;&gt;"",G2983,E2983))</f>
        <v/>
      </c>
      <c r="J2983" s="21" t="str">
        <f aca="false">IF(B2983="","",IF(H2983&lt;&gt;"",H2983,F2983))</f>
        <v/>
      </c>
      <c r="K2983" s="26" t="str">
        <f aca="false">IF(A2983="","",DATE(YEAR(A2983),MONTH(A2983),1))</f>
        <v/>
      </c>
      <c r="L2983" s="21" t="str">
        <f aca="false">IF(J2983="",IF(B2983="","",IF(N(C2983)&gt;=0,"Income","Expense")),IFERROR(INDEX(Lists!$B$2:$B$30,MATCH(J2983,Lists!$A$2:$A$30,0)),""))</f>
        <v/>
      </c>
      <c r="M2983" s="24"/>
      <c r="N2983" s="27" t="str">
        <f aca="false">IF(B2983="","",IFERROR(1000-SUMPRODUCT(MAX(ISNUMBER(SEARCH(Rules!$A$5:$A$204,B2983))*(Rules!$A$5:$A$204&lt;&gt;"")*(1000-ROW(Rules!$A$5:$A$204)))),""))</f>
        <v/>
      </c>
    </row>
    <row r="2984" customFormat="false" ht="15" hidden="false" customHeight="false" outlineLevel="0" collapsed="false">
      <c r="A2984" s="23"/>
      <c r="B2984" s="24"/>
      <c r="C2984" s="25"/>
      <c r="D2984" s="24"/>
      <c r="E2984" s="21" t="str">
        <f aca="false">IF(OR(B2984="",N(N2984)=0,N2984=1000),IF(B2984="","","Check"),INDEX(Rules!$B:$B,N2984))</f>
        <v/>
      </c>
      <c r="F2984" s="21" t="str">
        <f aca="false">IF(OR(B2984="",N(N2984)=0,N2984=1000),"",INDEX(Rules!$C:$C,N2984))</f>
        <v/>
      </c>
      <c r="G2984" s="24"/>
      <c r="H2984" s="24"/>
      <c r="I2984" s="20" t="str">
        <f aca="false">IF(B2984="","",IF(G2984&lt;&gt;"",G2984,E2984))</f>
        <v/>
      </c>
      <c r="J2984" s="21" t="str">
        <f aca="false">IF(B2984="","",IF(H2984&lt;&gt;"",H2984,F2984))</f>
        <v/>
      </c>
      <c r="K2984" s="26" t="str">
        <f aca="false">IF(A2984="","",DATE(YEAR(A2984),MONTH(A2984),1))</f>
        <v/>
      </c>
      <c r="L2984" s="21" t="str">
        <f aca="false">IF(J2984="",IF(B2984="","",IF(N(C2984)&gt;=0,"Income","Expense")),IFERROR(INDEX(Lists!$B$2:$B$30,MATCH(J2984,Lists!$A$2:$A$30,0)),""))</f>
        <v/>
      </c>
      <c r="M2984" s="24"/>
      <c r="N2984" s="27" t="str">
        <f aca="false">IF(B2984="","",IFERROR(1000-SUMPRODUCT(MAX(ISNUMBER(SEARCH(Rules!$A$5:$A$204,B2984))*(Rules!$A$5:$A$204&lt;&gt;"")*(1000-ROW(Rules!$A$5:$A$204)))),""))</f>
        <v/>
      </c>
    </row>
    <row r="2985" customFormat="false" ht="15" hidden="false" customHeight="false" outlineLevel="0" collapsed="false">
      <c r="A2985" s="23"/>
      <c r="B2985" s="24"/>
      <c r="C2985" s="25"/>
      <c r="D2985" s="24"/>
      <c r="E2985" s="21" t="str">
        <f aca="false">IF(OR(B2985="",N(N2985)=0,N2985=1000),IF(B2985="","","Check"),INDEX(Rules!$B:$B,N2985))</f>
        <v/>
      </c>
      <c r="F2985" s="21" t="str">
        <f aca="false">IF(OR(B2985="",N(N2985)=0,N2985=1000),"",INDEX(Rules!$C:$C,N2985))</f>
        <v/>
      </c>
      <c r="G2985" s="24"/>
      <c r="H2985" s="24"/>
      <c r="I2985" s="20" t="str">
        <f aca="false">IF(B2985="","",IF(G2985&lt;&gt;"",G2985,E2985))</f>
        <v/>
      </c>
      <c r="J2985" s="21" t="str">
        <f aca="false">IF(B2985="","",IF(H2985&lt;&gt;"",H2985,F2985))</f>
        <v/>
      </c>
      <c r="K2985" s="26" t="str">
        <f aca="false">IF(A2985="","",DATE(YEAR(A2985),MONTH(A2985),1))</f>
        <v/>
      </c>
      <c r="L2985" s="21" t="str">
        <f aca="false">IF(J2985="",IF(B2985="","",IF(N(C2985)&gt;=0,"Income","Expense")),IFERROR(INDEX(Lists!$B$2:$B$30,MATCH(J2985,Lists!$A$2:$A$30,0)),""))</f>
        <v/>
      </c>
      <c r="M2985" s="24"/>
      <c r="N2985" s="27" t="str">
        <f aca="false">IF(B2985="","",IFERROR(1000-SUMPRODUCT(MAX(ISNUMBER(SEARCH(Rules!$A$5:$A$204,B2985))*(Rules!$A$5:$A$204&lt;&gt;"")*(1000-ROW(Rules!$A$5:$A$204)))),""))</f>
        <v/>
      </c>
    </row>
    <row r="2986" customFormat="false" ht="15" hidden="false" customHeight="false" outlineLevel="0" collapsed="false">
      <c r="A2986" s="23"/>
      <c r="B2986" s="24"/>
      <c r="C2986" s="25"/>
      <c r="D2986" s="24"/>
      <c r="E2986" s="21" t="str">
        <f aca="false">IF(OR(B2986="",N(N2986)=0,N2986=1000),IF(B2986="","","Check"),INDEX(Rules!$B:$B,N2986))</f>
        <v/>
      </c>
      <c r="F2986" s="21" t="str">
        <f aca="false">IF(OR(B2986="",N(N2986)=0,N2986=1000),"",INDEX(Rules!$C:$C,N2986))</f>
        <v/>
      </c>
      <c r="G2986" s="24"/>
      <c r="H2986" s="24"/>
      <c r="I2986" s="20" t="str">
        <f aca="false">IF(B2986="","",IF(G2986&lt;&gt;"",G2986,E2986))</f>
        <v/>
      </c>
      <c r="J2986" s="21" t="str">
        <f aca="false">IF(B2986="","",IF(H2986&lt;&gt;"",H2986,F2986))</f>
        <v/>
      </c>
      <c r="K2986" s="26" t="str">
        <f aca="false">IF(A2986="","",DATE(YEAR(A2986),MONTH(A2986),1))</f>
        <v/>
      </c>
      <c r="L2986" s="21" t="str">
        <f aca="false">IF(J2986="",IF(B2986="","",IF(N(C2986)&gt;=0,"Income","Expense")),IFERROR(INDEX(Lists!$B$2:$B$30,MATCH(J2986,Lists!$A$2:$A$30,0)),""))</f>
        <v/>
      </c>
      <c r="M2986" s="24"/>
      <c r="N2986" s="27" t="str">
        <f aca="false">IF(B2986="","",IFERROR(1000-SUMPRODUCT(MAX(ISNUMBER(SEARCH(Rules!$A$5:$A$204,B2986))*(Rules!$A$5:$A$204&lt;&gt;"")*(1000-ROW(Rules!$A$5:$A$204)))),""))</f>
        <v/>
      </c>
    </row>
    <row r="2987" customFormat="false" ht="15" hidden="false" customHeight="false" outlineLevel="0" collapsed="false">
      <c r="A2987" s="23"/>
      <c r="B2987" s="24"/>
      <c r="C2987" s="25"/>
      <c r="D2987" s="24"/>
      <c r="E2987" s="21" t="str">
        <f aca="false">IF(OR(B2987="",N(N2987)=0,N2987=1000),IF(B2987="","","Check"),INDEX(Rules!$B:$B,N2987))</f>
        <v/>
      </c>
      <c r="F2987" s="21" t="str">
        <f aca="false">IF(OR(B2987="",N(N2987)=0,N2987=1000),"",INDEX(Rules!$C:$C,N2987))</f>
        <v/>
      </c>
      <c r="G2987" s="24"/>
      <c r="H2987" s="24"/>
      <c r="I2987" s="20" t="str">
        <f aca="false">IF(B2987="","",IF(G2987&lt;&gt;"",G2987,E2987))</f>
        <v/>
      </c>
      <c r="J2987" s="21" t="str">
        <f aca="false">IF(B2987="","",IF(H2987&lt;&gt;"",H2987,F2987))</f>
        <v/>
      </c>
      <c r="K2987" s="26" t="str">
        <f aca="false">IF(A2987="","",DATE(YEAR(A2987),MONTH(A2987),1))</f>
        <v/>
      </c>
      <c r="L2987" s="21" t="str">
        <f aca="false">IF(J2987="",IF(B2987="","",IF(N(C2987)&gt;=0,"Income","Expense")),IFERROR(INDEX(Lists!$B$2:$B$30,MATCH(J2987,Lists!$A$2:$A$30,0)),""))</f>
        <v/>
      </c>
      <c r="M2987" s="24"/>
      <c r="N2987" s="27" t="str">
        <f aca="false">IF(B2987="","",IFERROR(1000-SUMPRODUCT(MAX(ISNUMBER(SEARCH(Rules!$A$5:$A$204,B2987))*(Rules!$A$5:$A$204&lt;&gt;"")*(1000-ROW(Rules!$A$5:$A$204)))),""))</f>
        <v/>
      </c>
    </row>
    <row r="2988" customFormat="false" ht="15" hidden="false" customHeight="false" outlineLevel="0" collapsed="false">
      <c r="A2988" s="23"/>
      <c r="B2988" s="24"/>
      <c r="C2988" s="25"/>
      <c r="D2988" s="24"/>
      <c r="E2988" s="21" t="str">
        <f aca="false">IF(OR(B2988="",N(N2988)=0,N2988=1000),IF(B2988="","","Check"),INDEX(Rules!$B:$B,N2988))</f>
        <v/>
      </c>
      <c r="F2988" s="21" t="str">
        <f aca="false">IF(OR(B2988="",N(N2988)=0,N2988=1000),"",INDEX(Rules!$C:$C,N2988))</f>
        <v/>
      </c>
      <c r="G2988" s="24"/>
      <c r="H2988" s="24"/>
      <c r="I2988" s="20" t="str">
        <f aca="false">IF(B2988="","",IF(G2988&lt;&gt;"",G2988,E2988))</f>
        <v/>
      </c>
      <c r="J2988" s="21" t="str">
        <f aca="false">IF(B2988="","",IF(H2988&lt;&gt;"",H2988,F2988))</f>
        <v/>
      </c>
      <c r="K2988" s="26" t="str">
        <f aca="false">IF(A2988="","",DATE(YEAR(A2988),MONTH(A2988),1))</f>
        <v/>
      </c>
      <c r="L2988" s="21" t="str">
        <f aca="false">IF(J2988="",IF(B2988="","",IF(N(C2988)&gt;=0,"Income","Expense")),IFERROR(INDEX(Lists!$B$2:$B$30,MATCH(J2988,Lists!$A$2:$A$30,0)),""))</f>
        <v/>
      </c>
      <c r="M2988" s="24"/>
      <c r="N2988" s="27" t="str">
        <f aca="false">IF(B2988="","",IFERROR(1000-SUMPRODUCT(MAX(ISNUMBER(SEARCH(Rules!$A$5:$A$204,B2988))*(Rules!$A$5:$A$204&lt;&gt;"")*(1000-ROW(Rules!$A$5:$A$204)))),""))</f>
        <v/>
      </c>
    </row>
    <row r="2989" customFormat="false" ht="15" hidden="false" customHeight="false" outlineLevel="0" collapsed="false">
      <c r="A2989" s="23"/>
      <c r="B2989" s="24"/>
      <c r="C2989" s="25"/>
      <c r="D2989" s="24"/>
      <c r="E2989" s="21" t="str">
        <f aca="false">IF(OR(B2989="",N(N2989)=0,N2989=1000),IF(B2989="","","Check"),INDEX(Rules!$B:$B,N2989))</f>
        <v/>
      </c>
      <c r="F2989" s="21" t="str">
        <f aca="false">IF(OR(B2989="",N(N2989)=0,N2989=1000),"",INDEX(Rules!$C:$C,N2989))</f>
        <v/>
      </c>
      <c r="G2989" s="24"/>
      <c r="H2989" s="24"/>
      <c r="I2989" s="20" t="str">
        <f aca="false">IF(B2989="","",IF(G2989&lt;&gt;"",G2989,E2989))</f>
        <v/>
      </c>
      <c r="J2989" s="21" t="str">
        <f aca="false">IF(B2989="","",IF(H2989&lt;&gt;"",H2989,F2989))</f>
        <v/>
      </c>
      <c r="K2989" s="26" t="str">
        <f aca="false">IF(A2989="","",DATE(YEAR(A2989),MONTH(A2989),1))</f>
        <v/>
      </c>
      <c r="L2989" s="21" t="str">
        <f aca="false">IF(J2989="",IF(B2989="","",IF(N(C2989)&gt;=0,"Income","Expense")),IFERROR(INDEX(Lists!$B$2:$B$30,MATCH(J2989,Lists!$A$2:$A$30,0)),""))</f>
        <v/>
      </c>
      <c r="M2989" s="24"/>
      <c r="N2989" s="27" t="str">
        <f aca="false">IF(B2989="","",IFERROR(1000-SUMPRODUCT(MAX(ISNUMBER(SEARCH(Rules!$A$5:$A$204,B2989))*(Rules!$A$5:$A$204&lt;&gt;"")*(1000-ROW(Rules!$A$5:$A$204)))),""))</f>
        <v/>
      </c>
    </row>
    <row r="2990" customFormat="false" ht="15" hidden="false" customHeight="false" outlineLevel="0" collapsed="false">
      <c r="A2990" s="23"/>
      <c r="B2990" s="24"/>
      <c r="C2990" s="25"/>
      <c r="D2990" s="24"/>
      <c r="E2990" s="21" t="str">
        <f aca="false">IF(OR(B2990="",N(N2990)=0,N2990=1000),IF(B2990="","","Check"),INDEX(Rules!$B:$B,N2990))</f>
        <v/>
      </c>
      <c r="F2990" s="21" t="str">
        <f aca="false">IF(OR(B2990="",N(N2990)=0,N2990=1000),"",INDEX(Rules!$C:$C,N2990))</f>
        <v/>
      </c>
      <c r="G2990" s="24"/>
      <c r="H2990" s="24"/>
      <c r="I2990" s="20" t="str">
        <f aca="false">IF(B2990="","",IF(G2990&lt;&gt;"",G2990,E2990))</f>
        <v/>
      </c>
      <c r="J2990" s="21" t="str">
        <f aca="false">IF(B2990="","",IF(H2990&lt;&gt;"",H2990,F2990))</f>
        <v/>
      </c>
      <c r="K2990" s="26" t="str">
        <f aca="false">IF(A2990="","",DATE(YEAR(A2990),MONTH(A2990),1))</f>
        <v/>
      </c>
      <c r="L2990" s="21" t="str">
        <f aca="false">IF(J2990="",IF(B2990="","",IF(N(C2990)&gt;=0,"Income","Expense")),IFERROR(INDEX(Lists!$B$2:$B$30,MATCH(J2990,Lists!$A$2:$A$30,0)),""))</f>
        <v/>
      </c>
      <c r="M2990" s="24"/>
      <c r="N2990" s="27" t="str">
        <f aca="false">IF(B2990="","",IFERROR(1000-SUMPRODUCT(MAX(ISNUMBER(SEARCH(Rules!$A$5:$A$204,B2990))*(Rules!$A$5:$A$204&lt;&gt;"")*(1000-ROW(Rules!$A$5:$A$204)))),""))</f>
        <v/>
      </c>
    </row>
    <row r="2991" customFormat="false" ht="15" hidden="false" customHeight="false" outlineLevel="0" collapsed="false">
      <c r="A2991" s="23"/>
      <c r="B2991" s="24"/>
      <c r="C2991" s="25"/>
      <c r="D2991" s="24"/>
      <c r="E2991" s="21" t="str">
        <f aca="false">IF(OR(B2991="",N(N2991)=0,N2991=1000),IF(B2991="","","Check"),INDEX(Rules!$B:$B,N2991))</f>
        <v/>
      </c>
      <c r="F2991" s="21" t="str">
        <f aca="false">IF(OR(B2991="",N(N2991)=0,N2991=1000),"",INDEX(Rules!$C:$C,N2991))</f>
        <v/>
      </c>
      <c r="G2991" s="24"/>
      <c r="H2991" s="24"/>
      <c r="I2991" s="20" t="str">
        <f aca="false">IF(B2991="","",IF(G2991&lt;&gt;"",G2991,E2991))</f>
        <v/>
      </c>
      <c r="J2991" s="21" t="str">
        <f aca="false">IF(B2991="","",IF(H2991&lt;&gt;"",H2991,F2991))</f>
        <v/>
      </c>
      <c r="K2991" s="26" t="str">
        <f aca="false">IF(A2991="","",DATE(YEAR(A2991),MONTH(A2991),1))</f>
        <v/>
      </c>
      <c r="L2991" s="21" t="str">
        <f aca="false">IF(J2991="",IF(B2991="","",IF(N(C2991)&gt;=0,"Income","Expense")),IFERROR(INDEX(Lists!$B$2:$B$30,MATCH(J2991,Lists!$A$2:$A$30,0)),""))</f>
        <v/>
      </c>
      <c r="M2991" s="24"/>
      <c r="N2991" s="27" t="str">
        <f aca="false">IF(B2991="","",IFERROR(1000-SUMPRODUCT(MAX(ISNUMBER(SEARCH(Rules!$A$5:$A$204,B2991))*(Rules!$A$5:$A$204&lt;&gt;"")*(1000-ROW(Rules!$A$5:$A$204)))),""))</f>
        <v/>
      </c>
    </row>
    <row r="2992" customFormat="false" ht="15" hidden="false" customHeight="false" outlineLevel="0" collapsed="false">
      <c r="A2992" s="23"/>
      <c r="B2992" s="24"/>
      <c r="C2992" s="25"/>
      <c r="D2992" s="24"/>
      <c r="E2992" s="21" t="str">
        <f aca="false">IF(OR(B2992="",N(N2992)=0,N2992=1000),IF(B2992="","","Check"),INDEX(Rules!$B:$B,N2992))</f>
        <v/>
      </c>
      <c r="F2992" s="21" t="str">
        <f aca="false">IF(OR(B2992="",N(N2992)=0,N2992=1000),"",INDEX(Rules!$C:$C,N2992))</f>
        <v/>
      </c>
      <c r="G2992" s="24"/>
      <c r="H2992" s="24"/>
      <c r="I2992" s="20" t="str">
        <f aca="false">IF(B2992="","",IF(G2992&lt;&gt;"",G2992,E2992))</f>
        <v/>
      </c>
      <c r="J2992" s="21" t="str">
        <f aca="false">IF(B2992="","",IF(H2992&lt;&gt;"",H2992,F2992))</f>
        <v/>
      </c>
      <c r="K2992" s="26" t="str">
        <f aca="false">IF(A2992="","",DATE(YEAR(A2992),MONTH(A2992),1))</f>
        <v/>
      </c>
      <c r="L2992" s="21" t="str">
        <f aca="false">IF(J2992="",IF(B2992="","",IF(N(C2992)&gt;=0,"Income","Expense")),IFERROR(INDEX(Lists!$B$2:$B$30,MATCH(J2992,Lists!$A$2:$A$30,0)),""))</f>
        <v/>
      </c>
      <c r="M2992" s="24"/>
      <c r="N2992" s="27" t="str">
        <f aca="false">IF(B2992="","",IFERROR(1000-SUMPRODUCT(MAX(ISNUMBER(SEARCH(Rules!$A$5:$A$204,B2992))*(Rules!$A$5:$A$204&lt;&gt;"")*(1000-ROW(Rules!$A$5:$A$204)))),""))</f>
        <v/>
      </c>
    </row>
    <row r="2993" customFormat="false" ht="15" hidden="false" customHeight="false" outlineLevel="0" collapsed="false">
      <c r="A2993" s="23"/>
      <c r="B2993" s="24"/>
      <c r="C2993" s="25"/>
      <c r="D2993" s="24"/>
      <c r="E2993" s="21" t="str">
        <f aca="false">IF(OR(B2993="",N(N2993)=0,N2993=1000),IF(B2993="","","Check"),INDEX(Rules!$B:$B,N2993))</f>
        <v/>
      </c>
      <c r="F2993" s="21" t="str">
        <f aca="false">IF(OR(B2993="",N(N2993)=0,N2993=1000),"",INDEX(Rules!$C:$C,N2993))</f>
        <v/>
      </c>
      <c r="G2993" s="24"/>
      <c r="H2993" s="24"/>
      <c r="I2993" s="20" t="str">
        <f aca="false">IF(B2993="","",IF(G2993&lt;&gt;"",G2993,E2993))</f>
        <v/>
      </c>
      <c r="J2993" s="21" t="str">
        <f aca="false">IF(B2993="","",IF(H2993&lt;&gt;"",H2993,F2993))</f>
        <v/>
      </c>
      <c r="K2993" s="26" t="str">
        <f aca="false">IF(A2993="","",DATE(YEAR(A2993),MONTH(A2993),1))</f>
        <v/>
      </c>
      <c r="L2993" s="21" t="str">
        <f aca="false">IF(J2993="",IF(B2993="","",IF(N(C2993)&gt;=0,"Income","Expense")),IFERROR(INDEX(Lists!$B$2:$B$30,MATCH(J2993,Lists!$A$2:$A$30,0)),""))</f>
        <v/>
      </c>
      <c r="M2993" s="24"/>
      <c r="N2993" s="27" t="str">
        <f aca="false">IF(B2993="","",IFERROR(1000-SUMPRODUCT(MAX(ISNUMBER(SEARCH(Rules!$A$5:$A$204,B2993))*(Rules!$A$5:$A$204&lt;&gt;"")*(1000-ROW(Rules!$A$5:$A$204)))),""))</f>
        <v/>
      </c>
    </row>
    <row r="2994" customFormat="false" ht="15" hidden="false" customHeight="false" outlineLevel="0" collapsed="false">
      <c r="A2994" s="23"/>
      <c r="B2994" s="24"/>
      <c r="C2994" s="25"/>
      <c r="D2994" s="24"/>
      <c r="E2994" s="21" t="str">
        <f aca="false">IF(OR(B2994="",N(N2994)=0,N2994=1000),IF(B2994="","","Check"),INDEX(Rules!$B:$B,N2994))</f>
        <v/>
      </c>
      <c r="F2994" s="21" t="str">
        <f aca="false">IF(OR(B2994="",N(N2994)=0,N2994=1000),"",INDEX(Rules!$C:$C,N2994))</f>
        <v/>
      </c>
      <c r="G2994" s="24"/>
      <c r="H2994" s="24"/>
      <c r="I2994" s="20" t="str">
        <f aca="false">IF(B2994="","",IF(G2994&lt;&gt;"",G2994,E2994))</f>
        <v/>
      </c>
      <c r="J2994" s="21" t="str">
        <f aca="false">IF(B2994="","",IF(H2994&lt;&gt;"",H2994,F2994))</f>
        <v/>
      </c>
      <c r="K2994" s="26" t="str">
        <f aca="false">IF(A2994="","",DATE(YEAR(A2994),MONTH(A2994),1))</f>
        <v/>
      </c>
      <c r="L2994" s="21" t="str">
        <f aca="false">IF(J2994="",IF(B2994="","",IF(N(C2994)&gt;=0,"Income","Expense")),IFERROR(INDEX(Lists!$B$2:$B$30,MATCH(J2994,Lists!$A$2:$A$30,0)),""))</f>
        <v/>
      </c>
      <c r="M2994" s="24"/>
      <c r="N2994" s="27" t="str">
        <f aca="false">IF(B2994="","",IFERROR(1000-SUMPRODUCT(MAX(ISNUMBER(SEARCH(Rules!$A$5:$A$204,B2994))*(Rules!$A$5:$A$204&lt;&gt;"")*(1000-ROW(Rules!$A$5:$A$204)))),""))</f>
        <v/>
      </c>
    </row>
    <row r="2995" customFormat="false" ht="15" hidden="false" customHeight="false" outlineLevel="0" collapsed="false">
      <c r="A2995" s="23"/>
      <c r="B2995" s="24"/>
      <c r="C2995" s="25"/>
      <c r="D2995" s="24"/>
      <c r="E2995" s="21" t="str">
        <f aca="false">IF(OR(B2995="",N(N2995)=0,N2995=1000),IF(B2995="","","Check"),INDEX(Rules!$B:$B,N2995))</f>
        <v/>
      </c>
      <c r="F2995" s="21" t="str">
        <f aca="false">IF(OR(B2995="",N(N2995)=0,N2995=1000),"",INDEX(Rules!$C:$C,N2995))</f>
        <v/>
      </c>
      <c r="G2995" s="24"/>
      <c r="H2995" s="24"/>
      <c r="I2995" s="20" t="str">
        <f aca="false">IF(B2995="","",IF(G2995&lt;&gt;"",G2995,E2995))</f>
        <v/>
      </c>
      <c r="J2995" s="21" t="str">
        <f aca="false">IF(B2995="","",IF(H2995&lt;&gt;"",H2995,F2995))</f>
        <v/>
      </c>
      <c r="K2995" s="26" t="str">
        <f aca="false">IF(A2995="","",DATE(YEAR(A2995),MONTH(A2995),1))</f>
        <v/>
      </c>
      <c r="L2995" s="21" t="str">
        <f aca="false">IF(J2995="",IF(B2995="","",IF(N(C2995)&gt;=0,"Income","Expense")),IFERROR(INDEX(Lists!$B$2:$B$30,MATCH(J2995,Lists!$A$2:$A$30,0)),""))</f>
        <v/>
      </c>
      <c r="M2995" s="24"/>
      <c r="N2995" s="27" t="str">
        <f aca="false">IF(B2995="","",IFERROR(1000-SUMPRODUCT(MAX(ISNUMBER(SEARCH(Rules!$A$5:$A$204,B2995))*(Rules!$A$5:$A$204&lt;&gt;"")*(1000-ROW(Rules!$A$5:$A$204)))),""))</f>
        <v/>
      </c>
    </row>
    <row r="2996" customFormat="false" ht="15" hidden="false" customHeight="false" outlineLevel="0" collapsed="false">
      <c r="A2996" s="23"/>
      <c r="B2996" s="24"/>
      <c r="C2996" s="25"/>
      <c r="D2996" s="24"/>
      <c r="E2996" s="21" t="str">
        <f aca="false">IF(OR(B2996="",N(N2996)=0,N2996=1000),IF(B2996="","","Check"),INDEX(Rules!$B:$B,N2996))</f>
        <v/>
      </c>
      <c r="F2996" s="21" t="str">
        <f aca="false">IF(OR(B2996="",N(N2996)=0,N2996=1000),"",INDEX(Rules!$C:$C,N2996))</f>
        <v/>
      </c>
      <c r="G2996" s="24"/>
      <c r="H2996" s="24"/>
      <c r="I2996" s="20" t="str">
        <f aca="false">IF(B2996="","",IF(G2996&lt;&gt;"",G2996,E2996))</f>
        <v/>
      </c>
      <c r="J2996" s="21" t="str">
        <f aca="false">IF(B2996="","",IF(H2996&lt;&gt;"",H2996,F2996))</f>
        <v/>
      </c>
      <c r="K2996" s="26" t="str">
        <f aca="false">IF(A2996="","",DATE(YEAR(A2996),MONTH(A2996),1))</f>
        <v/>
      </c>
      <c r="L2996" s="21" t="str">
        <f aca="false">IF(J2996="",IF(B2996="","",IF(N(C2996)&gt;=0,"Income","Expense")),IFERROR(INDEX(Lists!$B$2:$B$30,MATCH(J2996,Lists!$A$2:$A$30,0)),""))</f>
        <v/>
      </c>
      <c r="M2996" s="24"/>
      <c r="N2996" s="27" t="str">
        <f aca="false">IF(B2996="","",IFERROR(1000-SUMPRODUCT(MAX(ISNUMBER(SEARCH(Rules!$A$5:$A$204,B2996))*(Rules!$A$5:$A$204&lt;&gt;"")*(1000-ROW(Rules!$A$5:$A$204)))),""))</f>
        <v/>
      </c>
    </row>
    <row r="2997" customFormat="false" ht="15" hidden="false" customHeight="false" outlineLevel="0" collapsed="false">
      <c r="A2997" s="23"/>
      <c r="B2997" s="24"/>
      <c r="C2997" s="25"/>
      <c r="D2997" s="24"/>
      <c r="E2997" s="21" t="str">
        <f aca="false">IF(OR(B2997="",N(N2997)=0,N2997=1000),IF(B2997="","","Check"),INDEX(Rules!$B:$B,N2997))</f>
        <v/>
      </c>
      <c r="F2997" s="21" t="str">
        <f aca="false">IF(OR(B2997="",N(N2997)=0,N2997=1000),"",INDEX(Rules!$C:$C,N2997))</f>
        <v/>
      </c>
      <c r="G2997" s="24"/>
      <c r="H2997" s="24"/>
      <c r="I2997" s="20" t="str">
        <f aca="false">IF(B2997="","",IF(G2997&lt;&gt;"",G2997,E2997))</f>
        <v/>
      </c>
      <c r="J2997" s="21" t="str">
        <f aca="false">IF(B2997="","",IF(H2997&lt;&gt;"",H2997,F2997))</f>
        <v/>
      </c>
      <c r="K2997" s="26" t="str">
        <f aca="false">IF(A2997="","",DATE(YEAR(A2997),MONTH(A2997),1))</f>
        <v/>
      </c>
      <c r="L2997" s="21" t="str">
        <f aca="false">IF(J2997="",IF(B2997="","",IF(N(C2997)&gt;=0,"Income","Expense")),IFERROR(INDEX(Lists!$B$2:$B$30,MATCH(J2997,Lists!$A$2:$A$30,0)),""))</f>
        <v/>
      </c>
      <c r="M2997" s="24"/>
      <c r="N2997" s="27" t="str">
        <f aca="false">IF(B2997="","",IFERROR(1000-SUMPRODUCT(MAX(ISNUMBER(SEARCH(Rules!$A$5:$A$204,B2997))*(Rules!$A$5:$A$204&lt;&gt;"")*(1000-ROW(Rules!$A$5:$A$204)))),""))</f>
        <v/>
      </c>
    </row>
    <row r="2998" customFormat="false" ht="15" hidden="false" customHeight="false" outlineLevel="0" collapsed="false">
      <c r="A2998" s="23"/>
      <c r="B2998" s="24"/>
      <c r="C2998" s="25"/>
      <c r="D2998" s="24"/>
      <c r="E2998" s="21" t="str">
        <f aca="false">IF(OR(B2998="",N(N2998)=0,N2998=1000),IF(B2998="","","Check"),INDEX(Rules!$B:$B,N2998))</f>
        <v/>
      </c>
      <c r="F2998" s="21" t="str">
        <f aca="false">IF(OR(B2998="",N(N2998)=0,N2998=1000),"",INDEX(Rules!$C:$C,N2998))</f>
        <v/>
      </c>
      <c r="G2998" s="24"/>
      <c r="H2998" s="24"/>
      <c r="I2998" s="20" t="str">
        <f aca="false">IF(B2998="","",IF(G2998&lt;&gt;"",G2998,E2998))</f>
        <v/>
      </c>
      <c r="J2998" s="21" t="str">
        <f aca="false">IF(B2998="","",IF(H2998&lt;&gt;"",H2998,F2998))</f>
        <v/>
      </c>
      <c r="K2998" s="26" t="str">
        <f aca="false">IF(A2998="","",DATE(YEAR(A2998),MONTH(A2998),1))</f>
        <v/>
      </c>
      <c r="L2998" s="21" t="str">
        <f aca="false">IF(J2998="",IF(B2998="","",IF(N(C2998)&gt;=0,"Income","Expense")),IFERROR(INDEX(Lists!$B$2:$B$30,MATCH(J2998,Lists!$A$2:$A$30,0)),""))</f>
        <v/>
      </c>
      <c r="M2998" s="24"/>
      <c r="N2998" s="27" t="str">
        <f aca="false">IF(B2998="","",IFERROR(1000-SUMPRODUCT(MAX(ISNUMBER(SEARCH(Rules!$A$5:$A$204,B2998))*(Rules!$A$5:$A$204&lt;&gt;"")*(1000-ROW(Rules!$A$5:$A$204)))),""))</f>
        <v/>
      </c>
    </row>
    <row r="2999" customFormat="false" ht="15" hidden="false" customHeight="false" outlineLevel="0" collapsed="false">
      <c r="A2999" s="23"/>
      <c r="B2999" s="24"/>
      <c r="C2999" s="25"/>
      <c r="D2999" s="24"/>
      <c r="E2999" s="21" t="str">
        <f aca="false">IF(OR(B2999="",N(N2999)=0,N2999=1000),IF(B2999="","","Check"),INDEX(Rules!$B:$B,N2999))</f>
        <v/>
      </c>
      <c r="F2999" s="21" t="str">
        <f aca="false">IF(OR(B2999="",N(N2999)=0,N2999=1000),"",INDEX(Rules!$C:$C,N2999))</f>
        <v/>
      </c>
      <c r="G2999" s="24"/>
      <c r="H2999" s="24"/>
      <c r="I2999" s="20" t="str">
        <f aca="false">IF(B2999="","",IF(G2999&lt;&gt;"",G2999,E2999))</f>
        <v/>
      </c>
      <c r="J2999" s="21" t="str">
        <f aca="false">IF(B2999="","",IF(H2999&lt;&gt;"",H2999,F2999))</f>
        <v/>
      </c>
      <c r="K2999" s="26" t="str">
        <f aca="false">IF(A2999="","",DATE(YEAR(A2999),MONTH(A2999),1))</f>
        <v/>
      </c>
      <c r="L2999" s="21" t="str">
        <f aca="false">IF(J2999="",IF(B2999="","",IF(N(C2999)&gt;=0,"Income","Expense")),IFERROR(INDEX(Lists!$B$2:$B$30,MATCH(J2999,Lists!$A$2:$A$30,0)),""))</f>
        <v/>
      </c>
      <c r="M2999" s="24"/>
      <c r="N2999" s="27" t="str">
        <f aca="false">IF(B2999="","",IFERROR(1000-SUMPRODUCT(MAX(ISNUMBER(SEARCH(Rules!$A$5:$A$204,B2999))*(Rules!$A$5:$A$204&lt;&gt;"")*(1000-ROW(Rules!$A$5:$A$204)))),""))</f>
        <v/>
      </c>
    </row>
    <row r="3000" customFormat="false" ht="15" hidden="false" customHeight="false" outlineLevel="0" collapsed="false">
      <c r="A3000" s="23"/>
      <c r="B3000" s="24"/>
      <c r="C3000" s="25"/>
      <c r="D3000" s="24"/>
      <c r="E3000" s="21" t="str">
        <f aca="false">IF(OR(B3000="",N(N3000)=0,N3000=1000),IF(B3000="","","Check"),INDEX(Rules!$B:$B,N3000))</f>
        <v/>
      </c>
      <c r="F3000" s="21" t="str">
        <f aca="false">IF(OR(B3000="",N(N3000)=0,N3000=1000),"",INDEX(Rules!$C:$C,N3000))</f>
        <v/>
      </c>
      <c r="G3000" s="24"/>
      <c r="H3000" s="24"/>
      <c r="I3000" s="20" t="str">
        <f aca="false">IF(B3000="","",IF(G3000&lt;&gt;"",G3000,E3000))</f>
        <v/>
      </c>
      <c r="J3000" s="21" t="str">
        <f aca="false">IF(B3000="","",IF(H3000&lt;&gt;"",H3000,F3000))</f>
        <v/>
      </c>
      <c r="K3000" s="26" t="str">
        <f aca="false">IF(A3000="","",DATE(YEAR(A3000),MONTH(A3000),1))</f>
        <v/>
      </c>
      <c r="L3000" s="21" t="str">
        <f aca="false">IF(J3000="",IF(B3000="","",IF(N(C3000)&gt;=0,"Income","Expense")),IFERROR(INDEX(Lists!$B$2:$B$30,MATCH(J3000,Lists!$A$2:$A$30,0)),""))</f>
        <v/>
      </c>
      <c r="M3000" s="24"/>
      <c r="N3000" s="27" t="str">
        <f aca="false">IF(B3000="","",IFERROR(1000-SUMPRODUCT(MAX(ISNUMBER(SEARCH(Rules!$A$5:$A$204,B3000))*(Rules!$A$5:$A$204&lt;&gt;"")*(1000-ROW(Rules!$A$5:$A$204)))),""))</f>
        <v/>
      </c>
    </row>
    <row r="3001" customFormat="false" ht="15" hidden="false" customHeight="false" outlineLevel="0" collapsed="false">
      <c r="A3001" s="23"/>
      <c r="B3001" s="24"/>
      <c r="C3001" s="25"/>
      <c r="D3001" s="24"/>
      <c r="E3001" s="21" t="str">
        <f aca="false">IF(OR(B3001="",N(N3001)=0,N3001=1000),IF(B3001="","","Check"),INDEX(Rules!$B:$B,N3001))</f>
        <v/>
      </c>
      <c r="F3001" s="21" t="str">
        <f aca="false">IF(OR(B3001="",N(N3001)=0,N3001=1000),"",INDEX(Rules!$C:$C,N3001))</f>
        <v/>
      </c>
      <c r="G3001" s="24"/>
      <c r="H3001" s="24"/>
      <c r="I3001" s="20" t="str">
        <f aca="false">IF(B3001="","",IF(G3001&lt;&gt;"",G3001,E3001))</f>
        <v/>
      </c>
      <c r="J3001" s="21" t="str">
        <f aca="false">IF(B3001="","",IF(H3001&lt;&gt;"",H3001,F3001))</f>
        <v/>
      </c>
      <c r="K3001" s="26" t="str">
        <f aca="false">IF(A3001="","",DATE(YEAR(A3001),MONTH(A3001),1))</f>
        <v/>
      </c>
      <c r="L3001" s="21" t="str">
        <f aca="false">IF(J3001="",IF(B3001="","",IF(N(C3001)&gt;=0,"Income","Expense")),IFERROR(INDEX(Lists!$B$2:$B$30,MATCH(J3001,Lists!$A$2:$A$30,0)),""))</f>
        <v/>
      </c>
      <c r="M3001" s="24"/>
      <c r="N3001" s="27" t="str">
        <f aca="false">IF(B3001="","",IFERROR(1000-SUMPRODUCT(MAX(ISNUMBER(SEARCH(Rules!$A$5:$A$204,B3001))*(Rules!$A$5:$A$204&lt;&gt;"")*(1000-ROW(Rules!$A$5:$A$204)))),""))</f>
        <v/>
      </c>
    </row>
    <row r="3002" customFormat="false" ht="15" hidden="false" customHeight="false" outlineLevel="0" collapsed="false">
      <c r="A3002" s="23"/>
      <c r="B3002" s="24"/>
      <c r="C3002" s="25"/>
      <c r="D3002" s="24"/>
      <c r="E3002" s="21" t="str">
        <f aca="false">IF(OR(B3002="",N(N3002)=0,N3002=1000),IF(B3002="","","Check"),INDEX(Rules!$B:$B,N3002))</f>
        <v/>
      </c>
      <c r="F3002" s="21" t="str">
        <f aca="false">IF(OR(B3002="",N(N3002)=0,N3002=1000),"",INDEX(Rules!$C:$C,N3002))</f>
        <v/>
      </c>
      <c r="G3002" s="24"/>
      <c r="H3002" s="24"/>
      <c r="I3002" s="20" t="str">
        <f aca="false">IF(B3002="","",IF(G3002&lt;&gt;"",G3002,E3002))</f>
        <v/>
      </c>
      <c r="J3002" s="21" t="str">
        <f aca="false">IF(B3002="","",IF(H3002&lt;&gt;"",H3002,F3002))</f>
        <v/>
      </c>
      <c r="K3002" s="26" t="str">
        <f aca="false">IF(A3002="","",DATE(YEAR(A3002),MONTH(A3002),1))</f>
        <v/>
      </c>
      <c r="L3002" s="21" t="str">
        <f aca="false">IF(J3002="",IF(B3002="","",IF(N(C3002)&gt;=0,"Income","Expense")),IFERROR(INDEX(Lists!$B$2:$B$30,MATCH(J3002,Lists!$A$2:$A$30,0)),""))</f>
        <v/>
      </c>
      <c r="M3002" s="24"/>
      <c r="N3002" s="27" t="str">
        <f aca="false">IF(B3002="","",IFERROR(1000-SUMPRODUCT(MAX(ISNUMBER(SEARCH(Rules!$A$5:$A$204,B3002))*(Rules!$A$5:$A$204&lt;&gt;"")*(1000-ROW(Rules!$A$5:$A$204)))),""))</f>
        <v/>
      </c>
    </row>
    <row r="3003" customFormat="false" ht="15" hidden="false" customHeight="false" outlineLevel="0" collapsed="false">
      <c r="A3003" s="23"/>
      <c r="B3003" s="24"/>
      <c r="C3003" s="25"/>
      <c r="D3003" s="24"/>
      <c r="E3003" s="21" t="str">
        <f aca="false">IF(OR(B3003="",N(N3003)=0,N3003=1000),IF(B3003="","","Check"),INDEX(Rules!$B:$B,N3003))</f>
        <v/>
      </c>
      <c r="F3003" s="21" t="str">
        <f aca="false">IF(OR(B3003="",N(N3003)=0,N3003=1000),"",INDEX(Rules!$C:$C,N3003))</f>
        <v/>
      </c>
      <c r="G3003" s="24"/>
      <c r="H3003" s="24"/>
      <c r="I3003" s="20" t="str">
        <f aca="false">IF(B3003="","",IF(G3003&lt;&gt;"",G3003,E3003))</f>
        <v/>
      </c>
      <c r="J3003" s="21" t="str">
        <f aca="false">IF(B3003="","",IF(H3003&lt;&gt;"",H3003,F3003))</f>
        <v/>
      </c>
      <c r="K3003" s="26" t="str">
        <f aca="false">IF(A3003="","",DATE(YEAR(A3003),MONTH(A3003),1))</f>
        <v/>
      </c>
      <c r="L3003" s="21" t="str">
        <f aca="false">IF(J3003="",IF(B3003="","",IF(N(C3003)&gt;=0,"Income","Expense")),IFERROR(INDEX(Lists!$B$2:$B$30,MATCH(J3003,Lists!$A$2:$A$30,0)),""))</f>
        <v/>
      </c>
      <c r="M3003" s="24"/>
      <c r="N3003" s="27" t="str">
        <f aca="false">IF(B3003="","",IFERROR(1000-SUMPRODUCT(MAX(ISNUMBER(SEARCH(Rules!$A$5:$A$204,B3003))*(Rules!$A$5:$A$204&lt;&gt;"")*(1000-ROW(Rules!$A$5:$A$204)))),""))</f>
        <v/>
      </c>
    </row>
    <row r="3004" customFormat="false" ht="15" hidden="false" customHeight="false" outlineLevel="0" collapsed="false">
      <c r="A3004" s="23"/>
      <c r="B3004" s="24"/>
      <c r="C3004" s="25"/>
      <c r="D3004" s="24"/>
      <c r="E3004" s="21" t="str">
        <f aca="false">IF(OR(B3004="",N(N3004)=0,N3004=1000),IF(B3004="","","Check"),INDEX(Rules!$B:$B,N3004))</f>
        <v/>
      </c>
      <c r="F3004" s="21" t="str">
        <f aca="false">IF(OR(B3004="",N(N3004)=0,N3004=1000),"",INDEX(Rules!$C:$C,N3004))</f>
        <v/>
      </c>
      <c r="G3004" s="24"/>
      <c r="H3004" s="24"/>
      <c r="I3004" s="20" t="str">
        <f aca="false">IF(B3004="","",IF(G3004&lt;&gt;"",G3004,E3004))</f>
        <v/>
      </c>
      <c r="J3004" s="21" t="str">
        <f aca="false">IF(B3004="","",IF(H3004&lt;&gt;"",H3004,F3004))</f>
        <v/>
      </c>
      <c r="K3004" s="26" t="str">
        <f aca="false">IF(A3004="","",DATE(YEAR(A3004),MONTH(A3004),1))</f>
        <v/>
      </c>
      <c r="L3004" s="21" t="str">
        <f aca="false">IF(J3004="",IF(B3004="","",IF(N(C3004)&gt;=0,"Income","Expense")),IFERROR(INDEX(Lists!$B$2:$B$30,MATCH(J3004,Lists!$A$2:$A$30,0)),""))</f>
        <v/>
      </c>
      <c r="M3004" s="24"/>
      <c r="N3004" s="27" t="str">
        <f aca="false">IF(B3004="","",IFERROR(1000-SUMPRODUCT(MAX(ISNUMBER(SEARCH(Rules!$A$5:$A$204,B3004))*(Rules!$A$5:$A$204&lt;&gt;"")*(1000-ROW(Rules!$A$5:$A$204)))),""))</f>
        <v/>
      </c>
    </row>
  </sheetData>
  <autoFilter ref="A4:M3004"/>
  <mergeCells count="2">
    <mergeCell ref="A1:N1"/>
    <mergeCell ref="A2:N2"/>
  </mergeCells>
  <conditionalFormatting sqref="I5:I3004">
    <cfRule type="cellIs" priority="2" operator="equal" aboveAverage="0" equalAverage="0" bottom="0" percent="0" rank="0" text="" dxfId="0">
      <formula>"Check"</formula>
    </cfRule>
    <cfRule type="cellIs" priority="3" operator="equal" aboveAverage="0" equalAverage="0" bottom="0" percent="0" rank="0" text="" dxfId="7">
      <formula>"Exclude"</formula>
    </cfRule>
  </conditionalFormatting>
  <dataValidations count="3">
    <dataValidation allowBlank="true" errorStyle="stop" operator="between" showDropDown="false" showErrorMessage="false" showInputMessage="false" sqref="D5:D3004" type="list">
      <formula1>"Bank,Credit card,Eventbrite,Gymdesk,Cash,Other"</formula1>
      <formula2>0</formula2>
    </dataValidation>
    <dataValidation allowBlank="true" errorStyle="stop" operator="between" showDropDown="false" showErrorMessage="false" showInputMessage="false" sqref="G5:G3004" type="list">
      <formula1>"BBG,CCCL,Shared,Exclude,Check"</formula1>
      <formula2>0</formula2>
    </dataValidation>
    <dataValidation allowBlank="true" errorStyle="stop" operator="between" showDropDown="false" showErrorMessage="false" showInputMessage="false" sqref="H5:H3004" type="list">
      <formula1>Lists!$A$2:$A$30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109</v>
      </c>
      <c r="B1" s="1"/>
      <c r="C1" s="1"/>
      <c r="D1" s="1"/>
    </row>
    <row r="2" customFormat="false" ht="31.5" hidden="false" customHeight="true" outlineLevel="0" collapsed="false">
      <c r="A2" s="2" t="s">
        <v>110</v>
      </c>
      <c r="B2" s="2"/>
      <c r="C2" s="2"/>
      <c r="D2" s="2"/>
    </row>
    <row r="4" customFormat="false" ht="30" hidden="false" customHeight="true" outlineLevel="0" collapsed="false">
      <c r="A4" s="12" t="s">
        <v>111</v>
      </c>
      <c r="B4" s="12" t="s">
        <v>106</v>
      </c>
      <c r="C4" s="12" t="s">
        <v>62</v>
      </c>
      <c r="D4" s="12" t="s">
        <v>112</v>
      </c>
    </row>
    <row r="5" customFormat="false" ht="15" hidden="false" customHeight="false" outlineLevel="0" collapsed="false">
      <c r="A5" s="24" t="s">
        <v>113</v>
      </c>
      <c r="B5" s="24" t="s">
        <v>29</v>
      </c>
      <c r="C5" s="24" t="s">
        <v>70</v>
      </c>
      <c r="D5" s="24" t="s">
        <v>114</v>
      </c>
    </row>
    <row r="6" customFormat="false" ht="15" hidden="false" customHeight="false" outlineLevel="0" collapsed="false">
      <c r="A6" s="24" t="s">
        <v>115</v>
      </c>
      <c r="B6" s="24" t="s">
        <v>27</v>
      </c>
      <c r="C6" s="24" t="s">
        <v>65</v>
      </c>
      <c r="D6" s="24" t="s">
        <v>116</v>
      </c>
    </row>
    <row r="7" customFormat="false" ht="15" hidden="false" customHeight="false" outlineLevel="0" collapsed="false">
      <c r="A7" s="24" t="s">
        <v>117</v>
      </c>
      <c r="B7" s="24" t="s">
        <v>29</v>
      </c>
      <c r="C7" s="24" t="s">
        <v>86</v>
      </c>
      <c r="D7" s="24" t="s">
        <v>118</v>
      </c>
    </row>
    <row r="8" customFormat="false" ht="15" hidden="false" customHeight="false" outlineLevel="0" collapsed="false">
      <c r="A8" s="24" t="s">
        <v>119</v>
      </c>
      <c r="B8" s="24" t="s">
        <v>35</v>
      </c>
      <c r="C8" s="24" t="s">
        <v>83</v>
      </c>
      <c r="D8" s="24" t="s">
        <v>120</v>
      </c>
    </row>
    <row r="9" customFormat="false" ht="15" hidden="false" customHeight="false" outlineLevel="0" collapsed="false">
      <c r="A9" s="24" t="s">
        <v>121</v>
      </c>
      <c r="B9" s="24" t="s">
        <v>35</v>
      </c>
      <c r="C9" s="24" t="s">
        <v>83</v>
      </c>
      <c r="D9" s="24" t="s">
        <v>122</v>
      </c>
    </row>
    <row r="10" customFormat="false" ht="15" hidden="false" customHeight="false" outlineLevel="0" collapsed="false">
      <c r="A10" s="24" t="s">
        <v>123</v>
      </c>
      <c r="B10" s="24" t="s">
        <v>31</v>
      </c>
      <c r="C10" s="24" t="s">
        <v>82</v>
      </c>
      <c r="D10" s="24"/>
    </row>
    <row r="11" customFormat="false" ht="15" hidden="false" customHeight="false" outlineLevel="0" collapsed="false">
      <c r="A11" s="24" t="s">
        <v>124</v>
      </c>
      <c r="B11" s="24" t="s">
        <v>31</v>
      </c>
      <c r="C11" s="24" t="s">
        <v>82</v>
      </c>
      <c r="D11" s="24" t="s">
        <v>125</v>
      </c>
    </row>
    <row r="12" customFormat="false" ht="15" hidden="false" customHeight="false" outlineLevel="0" collapsed="false">
      <c r="A12" s="24" t="s">
        <v>126</v>
      </c>
      <c r="B12" s="24" t="s">
        <v>31</v>
      </c>
      <c r="C12" s="24" t="s">
        <v>82</v>
      </c>
      <c r="D12" s="24" t="s">
        <v>127</v>
      </c>
    </row>
    <row r="13" customFormat="false" ht="15" hidden="false" customHeight="false" outlineLevel="0" collapsed="false">
      <c r="A13" s="24" t="s">
        <v>128</v>
      </c>
      <c r="B13" s="24" t="s">
        <v>31</v>
      </c>
      <c r="C13" s="24" t="s">
        <v>82</v>
      </c>
      <c r="D13" s="24" t="s">
        <v>127</v>
      </c>
    </row>
    <row r="14" customFormat="false" ht="15" hidden="false" customHeight="false" outlineLevel="0" collapsed="false">
      <c r="A14" s="24" t="s">
        <v>129</v>
      </c>
      <c r="B14" s="24" t="s">
        <v>27</v>
      </c>
      <c r="C14" s="24" t="s">
        <v>78</v>
      </c>
      <c r="D14" s="24" t="s">
        <v>130</v>
      </c>
    </row>
    <row r="15" customFormat="false" ht="15" hidden="false" customHeight="false" outlineLevel="0" collapsed="false">
      <c r="A15" s="24" t="s">
        <v>131</v>
      </c>
      <c r="B15" s="24" t="s">
        <v>27</v>
      </c>
      <c r="C15" s="24" t="s">
        <v>78</v>
      </c>
      <c r="D15" s="24" t="s">
        <v>132</v>
      </c>
    </row>
    <row r="16" customFormat="false" ht="15" hidden="false" customHeight="false" outlineLevel="0" collapsed="false">
      <c r="A16" s="24" t="s">
        <v>133</v>
      </c>
      <c r="B16" s="24" t="s">
        <v>31</v>
      </c>
      <c r="C16" s="24" t="s">
        <v>79</v>
      </c>
      <c r="D16" s="24"/>
    </row>
    <row r="17" customFormat="false" ht="15" hidden="false" customHeight="false" outlineLevel="0" collapsed="false">
      <c r="A17" s="24" t="s">
        <v>134</v>
      </c>
      <c r="B17" s="24" t="s">
        <v>31</v>
      </c>
      <c r="C17" s="24" t="s">
        <v>79</v>
      </c>
      <c r="D17" s="24"/>
    </row>
    <row r="18" customFormat="false" ht="15" hidden="false" customHeight="false" outlineLevel="0" collapsed="false">
      <c r="A18" s="24" t="s">
        <v>135</v>
      </c>
      <c r="B18" s="24" t="s">
        <v>35</v>
      </c>
      <c r="C18" s="24" t="s">
        <v>80</v>
      </c>
      <c r="D18" s="24" t="s">
        <v>136</v>
      </c>
    </row>
    <row r="19" customFormat="false" ht="15" hidden="false" customHeight="false" outlineLevel="0" collapsed="false">
      <c r="A19" s="24" t="s">
        <v>137</v>
      </c>
      <c r="B19" s="24" t="s">
        <v>31</v>
      </c>
      <c r="C19" s="24" t="s">
        <v>91</v>
      </c>
      <c r="D19" s="24"/>
    </row>
    <row r="20" customFormat="false" ht="15" hidden="false" customHeight="false" outlineLevel="0" collapsed="false">
      <c r="A20" s="24" t="s">
        <v>138</v>
      </c>
      <c r="B20" s="24" t="s">
        <v>31</v>
      </c>
      <c r="C20" s="24" t="s">
        <v>91</v>
      </c>
      <c r="D20" s="24"/>
    </row>
    <row r="21" customFormat="false" ht="23.85" hidden="false" customHeight="false" outlineLevel="0" collapsed="false">
      <c r="A21" s="24" t="s">
        <v>139</v>
      </c>
      <c r="B21" s="24" t="s">
        <v>35</v>
      </c>
      <c r="C21" s="24" t="s">
        <v>75</v>
      </c>
      <c r="D21" s="24" t="s">
        <v>140</v>
      </c>
    </row>
    <row r="22" customFormat="false" ht="15" hidden="false" customHeight="false" outlineLevel="0" collapsed="false">
      <c r="A22" s="24" t="s">
        <v>141</v>
      </c>
      <c r="B22" s="24" t="s">
        <v>35</v>
      </c>
      <c r="C22" s="24" t="s">
        <v>75</v>
      </c>
      <c r="D22" s="24" t="s">
        <v>142</v>
      </c>
    </row>
    <row r="23" customFormat="false" ht="15" hidden="false" customHeight="false" outlineLevel="0" collapsed="false">
      <c r="A23" s="24" t="s">
        <v>143</v>
      </c>
      <c r="B23" s="24" t="s">
        <v>33</v>
      </c>
      <c r="C23" s="24" t="s">
        <v>144</v>
      </c>
      <c r="D23" s="24" t="s">
        <v>145</v>
      </c>
    </row>
    <row r="24" customFormat="false" ht="15" hidden="false" customHeight="false" outlineLevel="0" collapsed="false">
      <c r="A24" s="24" t="s">
        <v>146</v>
      </c>
      <c r="B24" s="24" t="s">
        <v>33</v>
      </c>
      <c r="C24" s="24" t="s">
        <v>144</v>
      </c>
      <c r="D24" s="24"/>
    </row>
    <row r="25" customFormat="false" ht="15" hidden="false" customHeight="false" outlineLevel="0" collapsed="false">
      <c r="A25" s="24" t="s">
        <v>147</v>
      </c>
      <c r="B25" s="24" t="s">
        <v>35</v>
      </c>
      <c r="C25" s="24" t="s">
        <v>89</v>
      </c>
      <c r="D25" s="24" t="s">
        <v>148</v>
      </c>
    </row>
    <row r="26" customFormat="false" ht="15" hidden="false" customHeight="false" outlineLevel="0" collapsed="false">
      <c r="A26" s="24" t="s">
        <v>149</v>
      </c>
      <c r="B26" s="24" t="s">
        <v>35</v>
      </c>
      <c r="C26" s="24" t="s">
        <v>89</v>
      </c>
      <c r="D26" s="24"/>
    </row>
    <row r="27" customFormat="false" ht="15" hidden="false" customHeight="false" outlineLevel="0" collapsed="false">
      <c r="A27" s="24" t="s">
        <v>150</v>
      </c>
      <c r="B27" s="24" t="s">
        <v>27</v>
      </c>
      <c r="C27" s="24" t="s">
        <v>89</v>
      </c>
      <c r="D27" s="24"/>
    </row>
    <row r="28" customFormat="false" ht="15" hidden="false" customHeight="false" outlineLevel="0" collapsed="false">
      <c r="A28" s="24" t="s">
        <v>151</v>
      </c>
      <c r="B28" s="24" t="s">
        <v>31</v>
      </c>
      <c r="C28" s="24" t="s">
        <v>89</v>
      </c>
      <c r="D28" s="24" t="s">
        <v>152</v>
      </c>
    </row>
    <row r="29" customFormat="false" ht="15" hidden="false" customHeight="false" outlineLevel="0" collapsed="false">
      <c r="A29" s="24" t="s">
        <v>153</v>
      </c>
      <c r="B29" s="24" t="s">
        <v>31</v>
      </c>
      <c r="C29" s="24" t="s">
        <v>90</v>
      </c>
      <c r="D29" s="24" t="s">
        <v>154</v>
      </c>
    </row>
    <row r="30" customFormat="false" ht="15" hidden="false" customHeight="false" outlineLevel="0" collapsed="false">
      <c r="A30" s="24" t="s">
        <v>155</v>
      </c>
      <c r="B30" s="24" t="s">
        <v>31</v>
      </c>
      <c r="C30" s="24" t="s">
        <v>90</v>
      </c>
      <c r="D30" s="24" t="s">
        <v>154</v>
      </c>
    </row>
    <row r="31" customFormat="false" ht="15" hidden="false" customHeight="false" outlineLevel="0" collapsed="false">
      <c r="A31" s="24" t="s">
        <v>156</v>
      </c>
      <c r="B31" s="24" t="s">
        <v>31</v>
      </c>
      <c r="C31" s="24" t="s">
        <v>90</v>
      </c>
      <c r="D31" s="24" t="s">
        <v>154</v>
      </c>
    </row>
    <row r="32" customFormat="false" ht="15" hidden="false" customHeight="false" outlineLevel="0" collapsed="false">
      <c r="A32" s="24"/>
      <c r="B32" s="24"/>
      <c r="C32" s="24"/>
      <c r="D32" s="24"/>
    </row>
    <row r="33" customFormat="false" ht="15" hidden="false" customHeight="false" outlineLevel="0" collapsed="false">
      <c r="A33" s="24"/>
      <c r="B33" s="24"/>
      <c r="C33" s="24"/>
      <c r="D33" s="24"/>
    </row>
    <row r="34" customFormat="false" ht="15" hidden="false" customHeight="false" outlineLevel="0" collapsed="false">
      <c r="A34" s="24"/>
      <c r="B34" s="24"/>
      <c r="C34" s="24"/>
      <c r="D34" s="24"/>
    </row>
    <row r="35" customFormat="false" ht="15" hidden="false" customHeight="false" outlineLevel="0" collapsed="false">
      <c r="A35" s="24"/>
      <c r="B35" s="24"/>
      <c r="C35" s="24"/>
      <c r="D35" s="24"/>
    </row>
    <row r="36" customFormat="false" ht="15" hidden="false" customHeight="false" outlineLevel="0" collapsed="false">
      <c r="A36" s="24"/>
      <c r="B36" s="24"/>
      <c r="C36" s="24"/>
      <c r="D36" s="24"/>
    </row>
    <row r="37" customFormat="false" ht="15" hidden="false" customHeight="false" outlineLevel="0" collapsed="false">
      <c r="A37" s="24"/>
      <c r="B37" s="24"/>
      <c r="C37" s="24"/>
      <c r="D37" s="24"/>
    </row>
    <row r="38" customFormat="false" ht="15" hidden="false" customHeight="false" outlineLevel="0" collapsed="false">
      <c r="A38" s="24"/>
      <c r="B38" s="24"/>
      <c r="C38" s="24"/>
      <c r="D38" s="24"/>
    </row>
    <row r="39" customFormat="false" ht="15" hidden="false" customHeight="false" outlineLevel="0" collapsed="false">
      <c r="A39" s="24"/>
      <c r="B39" s="24"/>
      <c r="C39" s="24"/>
      <c r="D39" s="24"/>
    </row>
    <row r="40" customFormat="false" ht="15" hidden="false" customHeight="false" outlineLevel="0" collapsed="false">
      <c r="A40" s="24"/>
      <c r="B40" s="24"/>
      <c r="C40" s="24"/>
      <c r="D40" s="24"/>
    </row>
    <row r="41" customFormat="false" ht="15" hidden="false" customHeight="false" outlineLevel="0" collapsed="false">
      <c r="A41" s="24"/>
      <c r="B41" s="24"/>
      <c r="C41" s="24"/>
      <c r="D41" s="24"/>
    </row>
    <row r="42" customFormat="false" ht="15" hidden="false" customHeight="false" outlineLevel="0" collapsed="false">
      <c r="A42" s="24"/>
      <c r="B42" s="24"/>
      <c r="C42" s="24"/>
      <c r="D42" s="24"/>
    </row>
    <row r="43" customFormat="false" ht="15" hidden="false" customHeight="false" outlineLevel="0" collapsed="false">
      <c r="A43" s="24"/>
      <c r="B43" s="24"/>
      <c r="C43" s="24"/>
      <c r="D43" s="24"/>
    </row>
    <row r="44" customFormat="false" ht="15" hidden="false" customHeight="false" outlineLevel="0" collapsed="false">
      <c r="A44" s="24"/>
      <c r="B44" s="24"/>
      <c r="C44" s="24"/>
      <c r="D44" s="24"/>
    </row>
    <row r="45" customFormat="false" ht="15" hidden="false" customHeight="false" outlineLevel="0" collapsed="false">
      <c r="A45" s="24"/>
      <c r="B45" s="24"/>
      <c r="C45" s="24"/>
      <c r="D45" s="24"/>
    </row>
    <row r="46" customFormat="false" ht="15" hidden="false" customHeight="false" outlineLevel="0" collapsed="false">
      <c r="A46" s="24"/>
      <c r="B46" s="24"/>
      <c r="C46" s="24"/>
      <c r="D46" s="24"/>
    </row>
    <row r="47" customFormat="false" ht="15" hidden="false" customHeight="false" outlineLevel="0" collapsed="false">
      <c r="A47" s="24"/>
      <c r="B47" s="24"/>
      <c r="C47" s="24"/>
      <c r="D47" s="24"/>
    </row>
    <row r="48" customFormat="false" ht="15" hidden="false" customHeight="false" outlineLevel="0" collapsed="false">
      <c r="A48" s="24"/>
      <c r="B48" s="24"/>
      <c r="C48" s="24"/>
      <c r="D48" s="24"/>
    </row>
    <row r="49" customFormat="false" ht="15" hidden="false" customHeight="false" outlineLevel="0" collapsed="false">
      <c r="A49" s="24"/>
      <c r="B49" s="24"/>
      <c r="C49" s="24"/>
      <c r="D49" s="24"/>
    </row>
    <row r="50" customFormat="false" ht="15" hidden="false" customHeight="false" outlineLevel="0" collapsed="false">
      <c r="A50" s="24"/>
      <c r="B50" s="24"/>
      <c r="C50" s="24"/>
      <c r="D50" s="24"/>
    </row>
    <row r="51" customFormat="false" ht="15" hidden="false" customHeight="false" outlineLevel="0" collapsed="false">
      <c r="A51" s="24"/>
      <c r="B51" s="24"/>
      <c r="C51" s="24"/>
      <c r="D51" s="24"/>
    </row>
    <row r="52" customFormat="false" ht="15" hidden="false" customHeight="false" outlineLevel="0" collapsed="false">
      <c r="A52" s="24"/>
      <c r="B52" s="24"/>
      <c r="C52" s="24"/>
      <c r="D52" s="24"/>
    </row>
    <row r="53" customFormat="false" ht="15" hidden="false" customHeight="false" outlineLevel="0" collapsed="false">
      <c r="A53" s="24"/>
      <c r="B53" s="24"/>
      <c r="C53" s="24"/>
      <c r="D53" s="24"/>
    </row>
    <row r="54" customFormat="false" ht="15" hidden="false" customHeight="false" outlineLevel="0" collapsed="false">
      <c r="A54" s="24"/>
      <c r="B54" s="24"/>
      <c r="C54" s="24"/>
      <c r="D54" s="24"/>
    </row>
    <row r="55" customFormat="false" ht="15" hidden="false" customHeight="false" outlineLevel="0" collapsed="false">
      <c r="A55" s="24"/>
      <c r="B55" s="24"/>
      <c r="C55" s="24"/>
      <c r="D55" s="24"/>
    </row>
    <row r="56" customFormat="false" ht="15" hidden="false" customHeight="false" outlineLevel="0" collapsed="false">
      <c r="A56" s="24"/>
      <c r="B56" s="24"/>
      <c r="C56" s="24"/>
      <c r="D56" s="24"/>
    </row>
    <row r="57" customFormat="false" ht="15" hidden="false" customHeight="false" outlineLevel="0" collapsed="false">
      <c r="A57" s="24"/>
      <c r="B57" s="24"/>
      <c r="C57" s="24"/>
      <c r="D57" s="24"/>
    </row>
    <row r="58" customFormat="false" ht="15" hidden="false" customHeight="false" outlineLevel="0" collapsed="false">
      <c r="A58" s="24"/>
      <c r="B58" s="24"/>
      <c r="C58" s="24"/>
      <c r="D58" s="24"/>
    </row>
    <row r="59" customFormat="false" ht="15" hidden="false" customHeight="false" outlineLevel="0" collapsed="false">
      <c r="A59" s="24"/>
      <c r="B59" s="24"/>
      <c r="C59" s="24"/>
      <c r="D59" s="24"/>
    </row>
    <row r="60" customFormat="false" ht="15" hidden="false" customHeight="false" outlineLevel="0" collapsed="false">
      <c r="A60" s="24"/>
      <c r="B60" s="24"/>
      <c r="C60" s="24"/>
      <c r="D60" s="24"/>
    </row>
    <row r="61" customFormat="false" ht="15" hidden="false" customHeight="false" outlineLevel="0" collapsed="false">
      <c r="A61" s="24"/>
      <c r="B61" s="24"/>
      <c r="C61" s="24"/>
      <c r="D61" s="24"/>
    </row>
    <row r="62" customFormat="false" ht="15" hidden="false" customHeight="false" outlineLevel="0" collapsed="false">
      <c r="A62" s="24"/>
      <c r="B62" s="24"/>
      <c r="C62" s="24"/>
      <c r="D62" s="24"/>
    </row>
    <row r="63" customFormat="false" ht="15" hidden="false" customHeight="false" outlineLevel="0" collapsed="false">
      <c r="A63" s="24"/>
      <c r="B63" s="24"/>
      <c r="C63" s="24"/>
      <c r="D63" s="24"/>
    </row>
    <row r="64" customFormat="false" ht="15" hidden="false" customHeight="false" outlineLevel="0" collapsed="false">
      <c r="A64" s="24"/>
      <c r="B64" s="24"/>
      <c r="C64" s="24"/>
      <c r="D64" s="24"/>
    </row>
    <row r="65" customFormat="false" ht="15" hidden="false" customHeight="false" outlineLevel="0" collapsed="false">
      <c r="A65" s="24"/>
      <c r="B65" s="24"/>
      <c r="C65" s="24"/>
      <c r="D65" s="24"/>
    </row>
    <row r="66" customFormat="false" ht="15" hidden="false" customHeight="false" outlineLevel="0" collapsed="false">
      <c r="A66" s="24"/>
      <c r="B66" s="24"/>
      <c r="C66" s="24"/>
      <c r="D66" s="24"/>
    </row>
    <row r="67" customFormat="false" ht="15" hidden="false" customHeight="false" outlineLevel="0" collapsed="false">
      <c r="A67" s="24"/>
      <c r="B67" s="24"/>
      <c r="C67" s="24"/>
      <c r="D67" s="24"/>
    </row>
    <row r="68" customFormat="false" ht="15" hidden="false" customHeight="false" outlineLevel="0" collapsed="false">
      <c r="A68" s="24"/>
      <c r="B68" s="24"/>
      <c r="C68" s="24"/>
      <c r="D68" s="24"/>
    </row>
    <row r="69" customFormat="false" ht="15" hidden="false" customHeight="false" outlineLevel="0" collapsed="false">
      <c r="A69" s="24"/>
      <c r="B69" s="24"/>
      <c r="C69" s="24"/>
      <c r="D69" s="24"/>
    </row>
    <row r="70" customFormat="false" ht="15" hidden="false" customHeight="false" outlineLevel="0" collapsed="false">
      <c r="A70" s="24"/>
      <c r="B70" s="24"/>
      <c r="C70" s="24"/>
      <c r="D70" s="24"/>
    </row>
    <row r="71" customFormat="false" ht="15" hidden="false" customHeight="false" outlineLevel="0" collapsed="false">
      <c r="A71" s="24"/>
      <c r="B71" s="24"/>
      <c r="C71" s="24"/>
      <c r="D71" s="24"/>
    </row>
    <row r="72" customFormat="false" ht="15" hidden="false" customHeight="false" outlineLevel="0" collapsed="false">
      <c r="A72" s="24"/>
      <c r="B72" s="24"/>
      <c r="C72" s="24"/>
      <c r="D72" s="24"/>
    </row>
    <row r="73" customFormat="false" ht="15" hidden="false" customHeight="false" outlineLevel="0" collapsed="false">
      <c r="A73" s="24"/>
      <c r="B73" s="24"/>
      <c r="C73" s="24"/>
      <c r="D73" s="24"/>
    </row>
    <row r="74" customFormat="false" ht="15" hidden="false" customHeight="false" outlineLevel="0" collapsed="false">
      <c r="A74" s="24"/>
      <c r="B74" s="24"/>
      <c r="C74" s="24"/>
      <c r="D74" s="24"/>
    </row>
    <row r="75" customFormat="false" ht="15" hidden="false" customHeight="false" outlineLevel="0" collapsed="false">
      <c r="A75" s="24"/>
      <c r="B75" s="24"/>
      <c r="C75" s="24"/>
      <c r="D75" s="24"/>
    </row>
    <row r="76" customFormat="false" ht="15" hidden="false" customHeight="false" outlineLevel="0" collapsed="false">
      <c r="A76" s="24"/>
      <c r="B76" s="24"/>
      <c r="C76" s="24"/>
      <c r="D76" s="24"/>
    </row>
    <row r="77" customFormat="false" ht="15" hidden="false" customHeight="false" outlineLevel="0" collapsed="false">
      <c r="A77" s="24"/>
      <c r="B77" s="24"/>
      <c r="C77" s="24"/>
      <c r="D77" s="24"/>
    </row>
    <row r="78" customFormat="false" ht="15" hidden="false" customHeight="false" outlineLevel="0" collapsed="false">
      <c r="A78" s="24"/>
      <c r="B78" s="24"/>
      <c r="C78" s="24"/>
      <c r="D78" s="24"/>
    </row>
    <row r="79" customFormat="false" ht="15" hidden="false" customHeight="false" outlineLevel="0" collapsed="false">
      <c r="A79" s="24"/>
      <c r="B79" s="24"/>
      <c r="C79" s="24"/>
      <c r="D79" s="24"/>
    </row>
    <row r="80" customFormat="false" ht="15" hidden="false" customHeight="false" outlineLevel="0" collapsed="false">
      <c r="A80" s="24"/>
      <c r="B80" s="24"/>
      <c r="C80" s="24"/>
      <c r="D80" s="24"/>
    </row>
    <row r="81" customFormat="false" ht="15" hidden="false" customHeight="false" outlineLevel="0" collapsed="false">
      <c r="A81" s="24"/>
      <c r="B81" s="24"/>
      <c r="C81" s="24"/>
      <c r="D81" s="24"/>
    </row>
    <row r="82" customFormat="false" ht="15" hidden="false" customHeight="false" outlineLevel="0" collapsed="false">
      <c r="A82" s="24"/>
      <c r="B82" s="24"/>
      <c r="C82" s="24"/>
      <c r="D82" s="24"/>
    </row>
    <row r="83" customFormat="false" ht="15" hidden="false" customHeight="false" outlineLevel="0" collapsed="false">
      <c r="A83" s="24"/>
      <c r="B83" s="24"/>
      <c r="C83" s="24"/>
      <c r="D83" s="24"/>
    </row>
    <row r="84" customFormat="false" ht="15" hidden="false" customHeight="false" outlineLevel="0" collapsed="false">
      <c r="A84" s="24"/>
      <c r="B84" s="24"/>
      <c r="C84" s="24"/>
      <c r="D84" s="24"/>
    </row>
    <row r="85" customFormat="false" ht="15" hidden="false" customHeight="false" outlineLevel="0" collapsed="false">
      <c r="A85" s="24"/>
      <c r="B85" s="24"/>
      <c r="C85" s="24"/>
      <c r="D85" s="24"/>
    </row>
    <row r="86" customFormat="false" ht="15" hidden="false" customHeight="false" outlineLevel="0" collapsed="false">
      <c r="A86" s="24"/>
      <c r="B86" s="24"/>
      <c r="C86" s="24"/>
      <c r="D86" s="24"/>
    </row>
    <row r="87" customFormat="false" ht="15" hidden="false" customHeight="false" outlineLevel="0" collapsed="false">
      <c r="A87" s="24"/>
      <c r="B87" s="24"/>
      <c r="C87" s="24"/>
      <c r="D87" s="24"/>
    </row>
    <row r="88" customFormat="false" ht="15" hidden="false" customHeight="false" outlineLevel="0" collapsed="false">
      <c r="A88" s="24"/>
      <c r="B88" s="24"/>
      <c r="C88" s="24"/>
      <c r="D88" s="24"/>
    </row>
    <row r="89" customFormat="false" ht="15" hidden="false" customHeight="false" outlineLevel="0" collapsed="false">
      <c r="A89" s="24"/>
      <c r="B89" s="24"/>
      <c r="C89" s="24"/>
      <c r="D89" s="24"/>
    </row>
    <row r="90" customFormat="false" ht="15" hidden="false" customHeight="false" outlineLevel="0" collapsed="false">
      <c r="A90" s="24"/>
      <c r="B90" s="24"/>
      <c r="C90" s="24"/>
      <c r="D90" s="24"/>
    </row>
    <row r="91" customFormat="false" ht="15" hidden="false" customHeight="false" outlineLevel="0" collapsed="false">
      <c r="A91" s="24"/>
      <c r="B91" s="24"/>
      <c r="C91" s="24"/>
      <c r="D91" s="24"/>
    </row>
    <row r="92" customFormat="false" ht="15" hidden="false" customHeight="false" outlineLevel="0" collapsed="false">
      <c r="A92" s="24"/>
      <c r="B92" s="24"/>
      <c r="C92" s="24"/>
      <c r="D92" s="24"/>
    </row>
    <row r="93" customFormat="false" ht="15" hidden="false" customHeight="false" outlineLevel="0" collapsed="false">
      <c r="A93" s="24"/>
      <c r="B93" s="24"/>
      <c r="C93" s="24"/>
      <c r="D93" s="24"/>
    </row>
    <row r="94" customFormat="false" ht="15" hidden="false" customHeight="false" outlineLevel="0" collapsed="false">
      <c r="A94" s="24"/>
      <c r="B94" s="24"/>
      <c r="C94" s="24"/>
      <c r="D94" s="24"/>
    </row>
    <row r="95" customFormat="false" ht="15" hidden="false" customHeight="false" outlineLevel="0" collapsed="false">
      <c r="A95" s="24"/>
      <c r="B95" s="24"/>
      <c r="C95" s="24"/>
      <c r="D95" s="24"/>
    </row>
    <row r="96" customFormat="false" ht="15" hidden="false" customHeight="false" outlineLevel="0" collapsed="false">
      <c r="A96" s="24"/>
      <c r="B96" s="24"/>
      <c r="C96" s="24"/>
      <c r="D96" s="24"/>
    </row>
    <row r="97" customFormat="false" ht="15" hidden="false" customHeight="false" outlineLevel="0" collapsed="false">
      <c r="A97" s="24"/>
      <c r="B97" s="24"/>
      <c r="C97" s="24"/>
      <c r="D97" s="24"/>
    </row>
    <row r="98" customFormat="false" ht="15" hidden="false" customHeight="false" outlineLevel="0" collapsed="false">
      <c r="A98" s="24"/>
      <c r="B98" s="24"/>
      <c r="C98" s="24"/>
      <c r="D98" s="24"/>
    </row>
    <row r="99" customFormat="false" ht="15" hidden="false" customHeight="false" outlineLevel="0" collapsed="false">
      <c r="A99" s="24"/>
      <c r="B99" s="24"/>
      <c r="C99" s="24"/>
      <c r="D99" s="24"/>
    </row>
    <row r="100" customFormat="false" ht="15" hidden="false" customHeight="false" outlineLevel="0" collapsed="false">
      <c r="A100" s="24"/>
      <c r="B100" s="24"/>
      <c r="C100" s="24"/>
      <c r="D100" s="24"/>
    </row>
    <row r="101" customFormat="false" ht="15" hidden="false" customHeight="false" outlineLevel="0" collapsed="false">
      <c r="A101" s="24"/>
      <c r="B101" s="24"/>
      <c r="C101" s="24"/>
      <c r="D101" s="24"/>
    </row>
    <row r="102" customFormat="false" ht="15" hidden="false" customHeight="false" outlineLevel="0" collapsed="false">
      <c r="A102" s="24"/>
      <c r="B102" s="24"/>
      <c r="C102" s="24"/>
      <c r="D102" s="24"/>
    </row>
    <row r="103" customFormat="false" ht="15" hidden="false" customHeight="false" outlineLevel="0" collapsed="false">
      <c r="A103" s="24"/>
      <c r="B103" s="24"/>
      <c r="C103" s="24"/>
      <c r="D103" s="24"/>
    </row>
    <row r="104" customFormat="false" ht="15" hidden="false" customHeight="false" outlineLevel="0" collapsed="false">
      <c r="A104" s="24"/>
      <c r="B104" s="24"/>
      <c r="C104" s="24"/>
      <c r="D104" s="24"/>
    </row>
    <row r="105" customFormat="false" ht="15" hidden="false" customHeight="false" outlineLevel="0" collapsed="false">
      <c r="A105" s="24"/>
      <c r="B105" s="24"/>
      <c r="C105" s="24"/>
      <c r="D105" s="24"/>
    </row>
    <row r="106" customFormat="false" ht="15" hidden="false" customHeight="false" outlineLevel="0" collapsed="false">
      <c r="A106" s="24"/>
      <c r="B106" s="24"/>
      <c r="C106" s="24"/>
      <c r="D106" s="24"/>
    </row>
    <row r="107" customFormat="false" ht="15" hidden="false" customHeight="false" outlineLevel="0" collapsed="false">
      <c r="A107" s="24"/>
      <c r="B107" s="24"/>
      <c r="C107" s="24"/>
      <c r="D107" s="24"/>
    </row>
    <row r="108" customFormat="false" ht="15" hidden="false" customHeight="false" outlineLevel="0" collapsed="false">
      <c r="A108" s="24"/>
      <c r="B108" s="24"/>
      <c r="C108" s="24"/>
      <c r="D108" s="24"/>
    </row>
    <row r="109" customFormat="false" ht="15" hidden="false" customHeight="false" outlineLevel="0" collapsed="false">
      <c r="A109" s="24"/>
      <c r="B109" s="24"/>
      <c r="C109" s="24"/>
      <c r="D109" s="24"/>
    </row>
    <row r="110" customFormat="false" ht="15" hidden="false" customHeight="false" outlineLevel="0" collapsed="false">
      <c r="A110" s="24"/>
      <c r="B110" s="24"/>
      <c r="C110" s="24"/>
      <c r="D110" s="24"/>
    </row>
    <row r="111" customFormat="false" ht="15" hidden="false" customHeight="false" outlineLevel="0" collapsed="false">
      <c r="A111" s="24"/>
      <c r="B111" s="24"/>
      <c r="C111" s="24"/>
      <c r="D111" s="24"/>
    </row>
    <row r="112" customFormat="false" ht="15" hidden="false" customHeight="false" outlineLevel="0" collapsed="false">
      <c r="A112" s="24"/>
      <c r="B112" s="24"/>
      <c r="C112" s="24"/>
      <c r="D112" s="24"/>
    </row>
    <row r="113" customFormat="false" ht="15" hidden="false" customHeight="false" outlineLevel="0" collapsed="false">
      <c r="A113" s="24"/>
      <c r="B113" s="24"/>
      <c r="C113" s="24"/>
      <c r="D113" s="24"/>
    </row>
    <row r="114" customFormat="false" ht="15" hidden="false" customHeight="false" outlineLevel="0" collapsed="false">
      <c r="A114" s="24"/>
      <c r="B114" s="24"/>
      <c r="C114" s="24"/>
      <c r="D114" s="24"/>
    </row>
    <row r="115" customFormat="false" ht="15" hidden="false" customHeight="false" outlineLevel="0" collapsed="false">
      <c r="A115" s="24"/>
      <c r="B115" s="24"/>
      <c r="C115" s="24"/>
      <c r="D115" s="24"/>
    </row>
    <row r="116" customFormat="false" ht="15" hidden="false" customHeight="false" outlineLevel="0" collapsed="false">
      <c r="A116" s="24"/>
      <c r="B116" s="24"/>
      <c r="C116" s="24"/>
      <c r="D116" s="24"/>
    </row>
    <row r="117" customFormat="false" ht="15" hidden="false" customHeight="false" outlineLevel="0" collapsed="false">
      <c r="A117" s="24"/>
      <c r="B117" s="24"/>
      <c r="C117" s="24"/>
      <c r="D117" s="24"/>
    </row>
    <row r="118" customFormat="false" ht="15" hidden="false" customHeight="false" outlineLevel="0" collapsed="false">
      <c r="A118" s="24"/>
      <c r="B118" s="24"/>
      <c r="C118" s="24"/>
      <c r="D118" s="24"/>
    </row>
    <row r="119" customFormat="false" ht="15" hidden="false" customHeight="false" outlineLevel="0" collapsed="false">
      <c r="A119" s="24"/>
      <c r="B119" s="24"/>
      <c r="C119" s="24"/>
      <c r="D119" s="24"/>
    </row>
    <row r="120" customFormat="false" ht="15" hidden="false" customHeight="false" outlineLevel="0" collapsed="false">
      <c r="A120" s="24"/>
      <c r="B120" s="24"/>
      <c r="C120" s="24"/>
      <c r="D120" s="24"/>
    </row>
    <row r="121" customFormat="false" ht="15" hidden="false" customHeight="false" outlineLevel="0" collapsed="false">
      <c r="A121" s="24"/>
      <c r="B121" s="24"/>
      <c r="C121" s="24"/>
      <c r="D121" s="24"/>
    </row>
    <row r="122" customFormat="false" ht="15" hidden="false" customHeight="false" outlineLevel="0" collapsed="false">
      <c r="A122" s="24"/>
      <c r="B122" s="24"/>
      <c r="C122" s="24"/>
      <c r="D122" s="24"/>
    </row>
    <row r="123" customFormat="false" ht="15" hidden="false" customHeight="false" outlineLevel="0" collapsed="false">
      <c r="A123" s="24"/>
      <c r="B123" s="24"/>
      <c r="C123" s="24"/>
      <c r="D123" s="24"/>
    </row>
    <row r="124" customFormat="false" ht="15" hidden="false" customHeight="false" outlineLevel="0" collapsed="false">
      <c r="A124" s="24"/>
      <c r="B124" s="24"/>
      <c r="C124" s="24"/>
      <c r="D124" s="24"/>
    </row>
    <row r="125" customFormat="false" ht="15" hidden="false" customHeight="false" outlineLevel="0" collapsed="false">
      <c r="A125" s="24"/>
      <c r="B125" s="24"/>
      <c r="C125" s="24"/>
      <c r="D125" s="24"/>
    </row>
    <row r="126" customFormat="false" ht="15" hidden="false" customHeight="false" outlineLevel="0" collapsed="false">
      <c r="A126" s="24"/>
      <c r="B126" s="24"/>
      <c r="C126" s="24"/>
      <c r="D126" s="24"/>
    </row>
    <row r="127" customFormat="false" ht="15" hidden="false" customHeight="false" outlineLevel="0" collapsed="false">
      <c r="A127" s="24"/>
      <c r="B127" s="24"/>
      <c r="C127" s="24"/>
      <c r="D127" s="24"/>
    </row>
    <row r="128" customFormat="false" ht="15" hidden="false" customHeight="false" outlineLevel="0" collapsed="false">
      <c r="A128" s="24"/>
      <c r="B128" s="24"/>
      <c r="C128" s="24"/>
      <c r="D128" s="24"/>
    </row>
    <row r="129" customFormat="false" ht="15" hidden="false" customHeight="false" outlineLevel="0" collapsed="false">
      <c r="A129" s="24"/>
      <c r="B129" s="24"/>
      <c r="C129" s="24"/>
      <c r="D129" s="24"/>
    </row>
    <row r="130" customFormat="false" ht="15" hidden="false" customHeight="false" outlineLevel="0" collapsed="false">
      <c r="A130" s="24"/>
      <c r="B130" s="24"/>
      <c r="C130" s="24"/>
      <c r="D130" s="24"/>
    </row>
    <row r="131" customFormat="false" ht="15" hidden="false" customHeight="false" outlineLevel="0" collapsed="false">
      <c r="A131" s="24"/>
      <c r="B131" s="24"/>
      <c r="C131" s="24"/>
      <c r="D131" s="24"/>
    </row>
    <row r="132" customFormat="false" ht="15" hidden="false" customHeight="false" outlineLevel="0" collapsed="false">
      <c r="A132" s="24"/>
      <c r="B132" s="24"/>
      <c r="C132" s="24"/>
      <c r="D132" s="24"/>
    </row>
    <row r="133" customFormat="false" ht="15" hidden="false" customHeight="false" outlineLevel="0" collapsed="false">
      <c r="A133" s="24"/>
      <c r="B133" s="24"/>
      <c r="C133" s="24"/>
      <c r="D133" s="24"/>
    </row>
    <row r="134" customFormat="false" ht="15" hidden="false" customHeight="false" outlineLevel="0" collapsed="false">
      <c r="A134" s="24"/>
      <c r="B134" s="24"/>
      <c r="C134" s="24"/>
      <c r="D134" s="24"/>
    </row>
    <row r="135" customFormat="false" ht="15" hidden="false" customHeight="false" outlineLevel="0" collapsed="false">
      <c r="A135" s="24"/>
      <c r="B135" s="24"/>
      <c r="C135" s="24"/>
      <c r="D135" s="24"/>
    </row>
    <row r="136" customFormat="false" ht="15" hidden="false" customHeight="false" outlineLevel="0" collapsed="false">
      <c r="A136" s="24"/>
      <c r="B136" s="24"/>
      <c r="C136" s="24"/>
      <c r="D136" s="24"/>
    </row>
    <row r="137" customFormat="false" ht="15" hidden="false" customHeight="false" outlineLevel="0" collapsed="false">
      <c r="A137" s="24"/>
      <c r="B137" s="24"/>
      <c r="C137" s="24"/>
      <c r="D137" s="24"/>
    </row>
    <row r="138" customFormat="false" ht="15" hidden="false" customHeight="false" outlineLevel="0" collapsed="false">
      <c r="A138" s="24"/>
      <c r="B138" s="24"/>
      <c r="C138" s="24"/>
      <c r="D138" s="24"/>
    </row>
    <row r="139" customFormat="false" ht="15" hidden="false" customHeight="false" outlineLevel="0" collapsed="false">
      <c r="A139" s="24"/>
      <c r="B139" s="24"/>
      <c r="C139" s="24"/>
      <c r="D139" s="24"/>
    </row>
    <row r="140" customFormat="false" ht="15" hidden="false" customHeight="false" outlineLevel="0" collapsed="false">
      <c r="A140" s="24"/>
      <c r="B140" s="24"/>
      <c r="C140" s="24"/>
      <c r="D140" s="24"/>
    </row>
    <row r="141" customFormat="false" ht="15" hidden="false" customHeight="false" outlineLevel="0" collapsed="false">
      <c r="A141" s="24"/>
      <c r="B141" s="24"/>
      <c r="C141" s="24"/>
      <c r="D141" s="24"/>
    </row>
    <row r="142" customFormat="false" ht="15" hidden="false" customHeight="false" outlineLevel="0" collapsed="false">
      <c r="A142" s="24"/>
      <c r="B142" s="24"/>
      <c r="C142" s="24"/>
      <c r="D142" s="24"/>
    </row>
    <row r="143" customFormat="false" ht="15" hidden="false" customHeight="false" outlineLevel="0" collapsed="false">
      <c r="A143" s="24"/>
      <c r="B143" s="24"/>
      <c r="C143" s="24"/>
      <c r="D143" s="24"/>
    </row>
    <row r="144" customFormat="false" ht="15" hidden="false" customHeight="false" outlineLevel="0" collapsed="false">
      <c r="A144" s="24"/>
      <c r="B144" s="24"/>
      <c r="C144" s="24"/>
      <c r="D144" s="24"/>
    </row>
    <row r="145" customFormat="false" ht="15" hidden="false" customHeight="false" outlineLevel="0" collapsed="false">
      <c r="A145" s="24"/>
      <c r="B145" s="24"/>
      <c r="C145" s="24"/>
      <c r="D145" s="24"/>
    </row>
    <row r="146" customFormat="false" ht="15" hidden="false" customHeight="false" outlineLevel="0" collapsed="false">
      <c r="A146" s="24"/>
      <c r="B146" s="24"/>
      <c r="C146" s="24"/>
      <c r="D146" s="24"/>
    </row>
    <row r="147" customFormat="false" ht="15" hidden="false" customHeight="false" outlineLevel="0" collapsed="false">
      <c r="A147" s="24"/>
      <c r="B147" s="24"/>
      <c r="C147" s="24"/>
      <c r="D147" s="24"/>
    </row>
    <row r="148" customFormat="false" ht="15" hidden="false" customHeight="false" outlineLevel="0" collapsed="false">
      <c r="A148" s="24"/>
      <c r="B148" s="24"/>
      <c r="C148" s="24"/>
      <c r="D148" s="24"/>
    </row>
    <row r="149" customFormat="false" ht="15" hidden="false" customHeight="false" outlineLevel="0" collapsed="false">
      <c r="A149" s="24"/>
      <c r="B149" s="24"/>
      <c r="C149" s="24"/>
      <c r="D149" s="24"/>
    </row>
    <row r="150" customFormat="false" ht="15" hidden="false" customHeight="false" outlineLevel="0" collapsed="false">
      <c r="A150" s="24"/>
      <c r="B150" s="24"/>
      <c r="C150" s="24"/>
      <c r="D150" s="24"/>
    </row>
    <row r="151" customFormat="false" ht="15" hidden="false" customHeight="false" outlineLevel="0" collapsed="false">
      <c r="A151" s="24"/>
      <c r="B151" s="24"/>
      <c r="C151" s="24"/>
      <c r="D151" s="24"/>
    </row>
    <row r="152" customFormat="false" ht="15" hidden="false" customHeight="false" outlineLevel="0" collapsed="false">
      <c r="A152" s="24"/>
      <c r="B152" s="24"/>
      <c r="C152" s="24"/>
      <c r="D152" s="24"/>
    </row>
    <row r="153" customFormat="false" ht="15" hidden="false" customHeight="false" outlineLevel="0" collapsed="false">
      <c r="A153" s="24"/>
      <c r="B153" s="24"/>
      <c r="C153" s="24"/>
      <c r="D153" s="24"/>
    </row>
    <row r="154" customFormat="false" ht="15" hidden="false" customHeight="false" outlineLevel="0" collapsed="false">
      <c r="A154" s="24"/>
      <c r="B154" s="24"/>
      <c r="C154" s="24"/>
      <c r="D154" s="24"/>
    </row>
    <row r="155" customFormat="false" ht="15" hidden="false" customHeight="false" outlineLevel="0" collapsed="false">
      <c r="A155" s="24"/>
      <c r="B155" s="24"/>
      <c r="C155" s="24"/>
      <c r="D155" s="24"/>
    </row>
    <row r="156" customFormat="false" ht="15" hidden="false" customHeight="false" outlineLevel="0" collapsed="false">
      <c r="A156" s="24"/>
      <c r="B156" s="24"/>
      <c r="C156" s="24"/>
      <c r="D156" s="24"/>
    </row>
    <row r="157" customFormat="false" ht="15" hidden="false" customHeight="false" outlineLevel="0" collapsed="false">
      <c r="A157" s="24"/>
      <c r="B157" s="24"/>
      <c r="C157" s="24"/>
      <c r="D157" s="24"/>
    </row>
    <row r="158" customFormat="false" ht="15" hidden="false" customHeight="false" outlineLevel="0" collapsed="false">
      <c r="A158" s="24"/>
      <c r="B158" s="24"/>
      <c r="C158" s="24"/>
      <c r="D158" s="24"/>
    </row>
    <row r="159" customFormat="false" ht="15" hidden="false" customHeight="false" outlineLevel="0" collapsed="false">
      <c r="A159" s="24"/>
      <c r="B159" s="24"/>
      <c r="C159" s="24"/>
      <c r="D159" s="24"/>
    </row>
    <row r="160" customFormat="false" ht="15" hidden="false" customHeight="false" outlineLevel="0" collapsed="false">
      <c r="A160" s="24"/>
      <c r="B160" s="24"/>
      <c r="C160" s="24"/>
      <c r="D160" s="24"/>
    </row>
    <row r="161" customFormat="false" ht="15" hidden="false" customHeight="false" outlineLevel="0" collapsed="false">
      <c r="A161" s="24"/>
      <c r="B161" s="24"/>
      <c r="C161" s="24"/>
      <c r="D161" s="24"/>
    </row>
    <row r="162" customFormat="false" ht="15" hidden="false" customHeight="false" outlineLevel="0" collapsed="false">
      <c r="A162" s="24"/>
      <c r="B162" s="24"/>
      <c r="C162" s="24"/>
      <c r="D162" s="24"/>
    </row>
    <row r="163" customFormat="false" ht="15" hidden="false" customHeight="false" outlineLevel="0" collapsed="false">
      <c r="A163" s="24"/>
      <c r="B163" s="24"/>
      <c r="C163" s="24"/>
      <c r="D163" s="24"/>
    </row>
    <row r="164" customFormat="false" ht="15" hidden="false" customHeight="false" outlineLevel="0" collapsed="false">
      <c r="A164" s="24"/>
      <c r="B164" s="24"/>
      <c r="C164" s="24"/>
      <c r="D164" s="24"/>
    </row>
    <row r="165" customFormat="false" ht="15" hidden="false" customHeight="false" outlineLevel="0" collapsed="false">
      <c r="A165" s="24"/>
      <c r="B165" s="24"/>
      <c r="C165" s="24"/>
      <c r="D165" s="24"/>
    </row>
    <row r="166" customFormat="false" ht="15" hidden="false" customHeight="false" outlineLevel="0" collapsed="false">
      <c r="A166" s="24"/>
      <c r="B166" s="24"/>
      <c r="C166" s="24"/>
      <c r="D166" s="24"/>
    </row>
    <row r="167" customFormat="false" ht="15" hidden="false" customHeight="false" outlineLevel="0" collapsed="false">
      <c r="A167" s="24"/>
      <c r="B167" s="24"/>
      <c r="C167" s="24"/>
      <c r="D167" s="24"/>
    </row>
    <row r="168" customFormat="false" ht="15" hidden="false" customHeight="false" outlineLevel="0" collapsed="false">
      <c r="A168" s="24"/>
      <c r="B168" s="24"/>
      <c r="C168" s="24"/>
      <c r="D168" s="24"/>
    </row>
    <row r="169" customFormat="false" ht="15" hidden="false" customHeight="false" outlineLevel="0" collapsed="false">
      <c r="A169" s="24"/>
      <c r="B169" s="24"/>
      <c r="C169" s="24"/>
      <c r="D169" s="24"/>
    </row>
    <row r="170" customFormat="false" ht="15" hidden="false" customHeight="false" outlineLevel="0" collapsed="false">
      <c r="A170" s="24"/>
      <c r="B170" s="24"/>
      <c r="C170" s="24"/>
      <c r="D170" s="24"/>
    </row>
    <row r="171" customFormat="false" ht="15" hidden="false" customHeight="false" outlineLevel="0" collapsed="false">
      <c r="A171" s="24"/>
      <c r="B171" s="24"/>
      <c r="C171" s="24"/>
      <c r="D171" s="24"/>
    </row>
    <row r="172" customFormat="false" ht="15" hidden="false" customHeight="false" outlineLevel="0" collapsed="false">
      <c r="A172" s="24"/>
      <c r="B172" s="24"/>
      <c r="C172" s="24"/>
      <c r="D172" s="24"/>
    </row>
    <row r="173" customFormat="false" ht="15" hidden="false" customHeight="false" outlineLevel="0" collapsed="false">
      <c r="A173" s="24"/>
      <c r="B173" s="24"/>
      <c r="C173" s="24"/>
      <c r="D173" s="24"/>
    </row>
    <row r="174" customFormat="false" ht="15" hidden="false" customHeight="false" outlineLevel="0" collapsed="false">
      <c r="A174" s="24"/>
      <c r="B174" s="24"/>
      <c r="C174" s="24"/>
      <c r="D174" s="24"/>
    </row>
    <row r="175" customFormat="false" ht="15" hidden="false" customHeight="false" outlineLevel="0" collapsed="false">
      <c r="A175" s="24"/>
      <c r="B175" s="24"/>
      <c r="C175" s="24"/>
      <c r="D175" s="24"/>
    </row>
    <row r="176" customFormat="false" ht="15" hidden="false" customHeight="false" outlineLevel="0" collapsed="false">
      <c r="A176" s="24"/>
      <c r="B176" s="24"/>
      <c r="C176" s="24"/>
      <c r="D176" s="24"/>
    </row>
    <row r="177" customFormat="false" ht="15" hidden="false" customHeight="false" outlineLevel="0" collapsed="false">
      <c r="A177" s="24"/>
      <c r="B177" s="24"/>
      <c r="C177" s="24"/>
      <c r="D177" s="24"/>
    </row>
    <row r="178" customFormat="false" ht="15" hidden="false" customHeight="false" outlineLevel="0" collapsed="false">
      <c r="A178" s="24"/>
      <c r="B178" s="24"/>
      <c r="C178" s="24"/>
      <c r="D178" s="24"/>
    </row>
    <row r="179" customFormat="false" ht="15" hidden="false" customHeight="false" outlineLevel="0" collapsed="false">
      <c r="A179" s="24"/>
      <c r="B179" s="24"/>
      <c r="C179" s="24"/>
      <c r="D179" s="24"/>
    </row>
    <row r="180" customFormat="false" ht="15" hidden="false" customHeight="false" outlineLevel="0" collapsed="false">
      <c r="A180" s="24"/>
      <c r="B180" s="24"/>
      <c r="C180" s="24"/>
      <c r="D180" s="24"/>
    </row>
    <row r="181" customFormat="false" ht="15" hidden="false" customHeight="false" outlineLevel="0" collapsed="false">
      <c r="A181" s="24"/>
      <c r="B181" s="24"/>
      <c r="C181" s="24"/>
      <c r="D181" s="24"/>
    </row>
    <row r="182" customFormat="false" ht="15" hidden="false" customHeight="false" outlineLevel="0" collapsed="false">
      <c r="A182" s="24"/>
      <c r="B182" s="24"/>
      <c r="C182" s="24"/>
      <c r="D182" s="24"/>
    </row>
    <row r="183" customFormat="false" ht="15" hidden="false" customHeight="false" outlineLevel="0" collapsed="false">
      <c r="A183" s="24"/>
      <c r="B183" s="24"/>
      <c r="C183" s="24"/>
      <c r="D183" s="24"/>
    </row>
    <row r="184" customFormat="false" ht="15" hidden="false" customHeight="false" outlineLevel="0" collapsed="false">
      <c r="A184" s="24"/>
      <c r="B184" s="24"/>
      <c r="C184" s="24"/>
      <c r="D184" s="24"/>
    </row>
    <row r="185" customFormat="false" ht="15" hidden="false" customHeight="false" outlineLevel="0" collapsed="false">
      <c r="A185" s="24"/>
      <c r="B185" s="24"/>
      <c r="C185" s="24"/>
      <c r="D185" s="24"/>
    </row>
    <row r="186" customFormat="false" ht="15" hidden="false" customHeight="false" outlineLevel="0" collapsed="false">
      <c r="A186" s="24"/>
      <c r="B186" s="24"/>
      <c r="C186" s="24"/>
      <c r="D186" s="24"/>
    </row>
    <row r="187" customFormat="false" ht="15" hidden="false" customHeight="false" outlineLevel="0" collapsed="false">
      <c r="A187" s="24"/>
      <c r="B187" s="24"/>
      <c r="C187" s="24"/>
      <c r="D187" s="24"/>
    </row>
    <row r="188" customFormat="false" ht="15" hidden="false" customHeight="false" outlineLevel="0" collapsed="false">
      <c r="A188" s="24"/>
      <c r="B188" s="24"/>
      <c r="C188" s="24"/>
      <c r="D188" s="24"/>
    </row>
    <row r="189" customFormat="false" ht="15" hidden="false" customHeight="false" outlineLevel="0" collapsed="false">
      <c r="A189" s="24"/>
      <c r="B189" s="24"/>
      <c r="C189" s="24"/>
      <c r="D189" s="24"/>
    </row>
    <row r="190" customFormat="false" ht="15" hidden="false" customHeight="false" outlineLevel="0" collapsed="false">
      <c r="A190" s="24"/>
      <c r="B190" s="24"/>
      <c r="C190" s="24"/>
      <c r="D190" s="24"/>
    </row>
    <row r="191" customFormat="false" ht="15" hidden="false" customHeight="false" outlineLevel="0" collapsed="false">
      <c r="A191" s="24"/>
      <c r="B191" s="24"/>
      <c r="C191" s="24"/>
      <c r="D191" s="24"/>
    </row>
    <row r="192" customFormat="false" ht="15" hidden="false" customHeight="false" outlineLevel="0" collapsed="false">
      <c r="A192" s="24"/>
      <c r="B192" s="24"/>
      <c r="C192" s="24"/>
      <c r="D192" s="24"/>
    </row>
    <row r="193" customFormat="false" ht="15" hidden="false" customHeight="false" outlineLevel="0" collapsed="false">
      <c r="A193" s="24"/>
      <c r="B193" s="24"/>
      <c r="C193" s="24"/>
      <c r="D193" s="24"/>
    </row>
    <row r="194" customFormat="false" ht="15" hidden="false" customHeight="false" outlineLevel="0" collapsed="false">
      <c r="A194" s="24"/>
      <c r="B194" s="24"/>
      <c r="C194" s="24"/>
      <c r="D194" s="24"/>
    </row>
    <row r="195" customFormat="false" ht="15" hidden="false" customHeight="false" outlineLevel="0" collapsed="false">
      <c r="A195" s="24"/>
      <c r="B195" s="24"/>
      <c r="C195" s="24"/>
      <c r="D195" s="24"/>
    </row>
    <row r="196" customFormat="false" ht="15" hidden="false" customHeight="false" outlineLevel="0" collapsed="false">
      <c r="A196" s="24"/>
      <c r="B196" s="24"/>
      <c r="C196" s="24"/>
      <c r="D196" s="24"/>
    </row>
    <row r="197" customFormat="false" ht="15" hidden="false" customHeight="false" outlineLevel="0" collapsed="false">
      <c r="A197" s="24"/>
      <c r="B197" s="24"/>
      <c r="C197" s="24"/>
      <c r="D197" s="24"/>
    </row>
    <row r="198" customFormat="false" ht="15" hidden="false" customHeight="false" outlineLevel="0" collapsed="false">
      <c r="A198" s="24"/>
      <c r="B198" s="24"/>
      <c r="C198" s="24"/>
      <c r="D198" s="24"/>
    </row>
    <row r="199" customFormat="false" ht="15" hidden="false" customHeight="false" outlineLevel="0" collapsed="false">
      <c r="A199" s="24"/>
      <c r="B199" s="24"/>
      <c r="C199" s="24"/>
      <c r="D199" s="24"/>
    </row>
    <row r="200" customFormat="false" ht="15" hidden="false" customHeight="false" outlineLevel="0" collapsed="false">
      <c r="A200" s="24"/>
      <c r="B200" s="24"/>
      <c r="C200" s="24"/>
      <c r="D200" s="24"/>
    </row>
    <row r="201" customFormat="false" ht="15" hidden="false" customHeight="false" outlineLevel="0" collapsed="false">
      <c r="A201" s="24"/>
      <c r="B201" s="24"/>
      <c r="C201" s="24"/>
      <c r="D201" s="24"/>
    </row>
    <row r="202" customFormat="false" ht="15" hidden="false" customHeight="false" outlineLevel="0" collapsed="false">
      <c r="A202" s="24"/>
      <c r="B202" s="24"/>
      <c r="C202" s="24"/>
      <c r="D202" s="24"/>
    </row>
    <row r="203" customFormat="false" ht="15" hidden="false" customHeight="false" outlineLevel="0" collapsed="false">
      <c r="A203" s="24"/>
      <c r="B203" s="24"/>
      <c r="C203" s="24"/>
      <c r="D203" s="24"/>
    </row>
    <row r="204" customFormat="false" ht="15" hidden="false" customHeight="false" outlineLevel="0" collapsed="false">
      <c r="A204" s="24"/>
      <c r="B204" s="24"/>
      <c r="C204" s="24"/>
      <c r="D204" s="24"/>
    </row>
  </sheetData>
  <mergeCells count="2">
    <mergeCell ref="A1:D1"/>
    <mergeCell ref="A2:D2"/>
  </mergeCells>
  <dataValidations count="2">
    <dataValidation allowBlank="true" errorStyle="stop" operator="between" showDropDown="false" showErrorMessage="false" showInputMessage="false" sqref="B5:B204" type="list">
      <formula1>"BBG,CCCL,Shared,Exclude,Check"</formula1>
      <formula2>0</formula2>
    </dataValidation>
    <dataValidation allowBlank="true" errorStyle="stop" operator="between" showDropDown="false" showErrorMessage="false" showInputMessage="false" sqref="C5:C204" type="list">
      <formula1>Lists!$A$2:$A$30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62</v>
      </c>
      <c r="B1" s="7" t="s">
        <v>63</v>
      </c>
      <c r="D1" s="7" t="s">
        <v>106</v>
      </c>
    </row>
    <row r="2" customFormat="false" ht="15" hidden="false" customHeight="false" outlineLevel="0" collapsed="false">
      <c r="A2" s="0" t="s">
        <v>65</v>
      </c>
      <c r="B2" s="0" t="s">
        <v>66</v>
      </c>
      <c r="D2" s="0" t="s">
        <v>27</v>
      </c>
    </row>
    <row r="3" customFormat="false" ht="15" hidden="false" customHeight="false" outlineLevel="0" collapsed="false">
      <c r="A3" s="0" t="s">
        <v>67</v>
      </c>
      <c r="B3" s="0" t="s">
        <v>66</v>
      </c>
      <c r="D3" s="0" t="s">
        <v>29</v>
      </c>
    </row>
    <row r="4" customFormat="false" ht="15" hidden="false" customHeight="false" outlineLevel="0" collapsed="false">
      <c r="A4" s="0" t="s">
        <v>68</v>
      </c>
      <c r="B4" s="0" t="s">
        <v>66</v>
      </c>
      <c r="D4" s="0" t="s">
        <v>31</v>
      </c>
    </row>
    <row r="5" customFormat="false" ht="15" hidden="false" customHeight="false" outlineLevel="0" collapsed="false">
      <c r="A5" s="0" t="s">
        <v>69</v>
      </c>
      <c r="B5" s="0" t="s">
        <v>66</v>
      </c>
      <c r="D5" s="0" t="s">
        <v>33</v>
      </c>
    </row>
    <row r="6" customFormat="false" ht="15" hidden="false" customHeight="false" outlineLevel="0" collapsed="false">
      <c r="A6" s="0" t="s">
        <v>70</v>
      </c>
      <c r="B6" s="0" t="s">
        <v>66</v>
      </c>
      <c r="D6" s="0" t="s">
        <v>35</v>
      </c>
    </row>
    <row r="7" customFormat="false" ht="15" hidden="false" customHeight="false" outlineLevel="0" collapsed="false">
      <c r="A7" s="0" t="s">
        <v>71</v>
      </c>
      <c r="B7" s="0" t="s">
        <v>66</v>
      </c>
    </row>
    <row r="8" customFormat="false" ht="15" hidden="false" customHeight="false" outlineLevel="0" collapsed="false">
      <c r="A8" s="0" t="s">
        <v>72</v>
      </c>
      <c r="B8" s="0" t="s">
        <v>66</v>
      </c>
    </row>
    <row r="9" customFormat="false" ht="15" hidden="false" customHeight="false" outlineLevel="0" collapsed="false">
      <c r="A9" s="0" t="s">
        <v>73</v>
      </c>
      <c r="B9" s="0" t="s">
        <v>66</v>
      </c>
    </row>
    <row r="10" customFormat="false" ht="15" hidden="false" customHeight="false" outlineLevel="0" collapsed="false">
      <c r="A10" s="0" t="s">
        <v>74</v>
      </c>
      <c r="B10" s="0" t="s">
        <v>66</v>
      </c>
    </row>
    <row r="11" customFormat="false" ht="15" hidden="false" customHeight="false" outlineLevel="0" collapsed="false">
      <c r="A11" s="0" t="s">
        <v>75</v>
      </c>
      <c r="B11" s="0" t="s">
        <v>66</v>
      </c>
    </row>
    <row r="12" customFormat="false" ht="15" hidden="false" customHeight="false" outlineLevel="0" collapsed="false">
      <c r="A12" s="0" t="s">
        <v>76</v>
      </c>
      <c r="B12" s="0" t="s">
        <v>77</v>
      </c>
    </row>
    <row r="13" customFormat="false" ht="15" hidden="false" customHeight="false" outlineLevel="0" collapsed="false">
      <c r="A13" s="0" t="s">
        <v>78</v>
      </c>
      <c r="B13" s="0" t="s">
        <v>77</v>
      </c>
    </row>
    <row r="14" customFormat="false" ht="15" hidden="false" customHeight="false" outlineLevel="0" collapsed="false">
      <c r="A14" s="0" t="s">
        <v>79</v>
      </c>
      <c r="B14" s="0" t="s">
        <v>77</v>
      </c>
    </row>
    <row r="15" customFormat="false" ht="15" hidden="false" customHeight="false" outlineLevel="0" collapsed="false">
      <c r="A15" s="0" t="s">
        <v>80</v>
      </c>
      <c r="B15" s="0" t="s">
        <v>77</v>
      </c>
    </row>
    <row r="16" customFormat="false" ht="15" hidden="false" customHeight="false" outlineLevel="0" collapsed="false">
      <c r="A16" s="0" t="s">
        <v>81</v>
      </c>
      <c r="B16" s="0" t="s">
        <v>77</v>
      </c>
    </row>
    <row r="17" customFormat="false" ht="15" hidden="false" customHeight="false" outlineLevel="0" collapsed="false">
      <c r="A17" s="0" t="s">
        <v>82</v>
      </c>
      <c r="B17" s="0" t="s">
        <v>77</v>
      </c>
    </row>
    <row r="18" customFormat="false" ht="15" hidden="false" customHeight="false" outlineLevel="0" collapsed="false">
      <c r="A18" s="0" t="s">
        <v>83</v>
      </c>
      <c r="B18" s="0" t="s">
        <v>77</v>
      </c>
    </row>
    <row r="19" customFormat="false" ht="15" hidden="false" customHeight="false" outlineLevel="0" collapsed="false">
      <c r="A19" s="0" t="s">
        <v>84</v>
      </c>
      <c r="B19" s="0" t="s">
        <v>77</v>
      </c>
    </row>
    <row r="20" customFormat="false" ht="15" hidden="false" customHeight="false" outlineLevel="0" collapsed="false">
      <c r="A20" s="0" t="s">
        <v>85</v>
      </c>
      <c r="B20" s="0" t="s">
        <v>77</v>
      </c>
    </row>
    <row r="21" customFormat="false" ht="15" hidden="false" customHeight="false" outlineLevel="0" collapsed="false">
      <c r="A21" s="0" t="s">
        <v>86</v>
      </c>
      <c r="B21" s="0" t="s">
        <v>77</v>
      </c>
    </row>
    <row r="22" customFormat="false" ht="15" hidden="false" customHeight="false" outlineLevel="0" collapsed="false">
      <c r="A22" s="0" t="s">
        <v>87</v>
      </c>
      <c r="B22" s="0" t="s">
        <v>77</v>
      </c>
    </row>
    <row r="23" customFormat="false" ht="15" hidden="false" customHeight="false" outlineLevel="0" collapsed="false">
      <c r="A23" s="0" t="s">
        <v>88</v>
      </c>
      <c r="B23" s="0" t="s">
        <v>77</v>
      </c>
    </row>
    <row r="24" customFormat="false" ht="15" hidden="false" customHeight="false" outlineLevel="0" collapsed="false">
      <c r="A24" s="0" t="s">
        <v>89</v>
      </c>
      <c r="B24" s="0" t="s">
        <v>77</v>
      </c>
    </row>
    <row r="25" customFormat="false" ht="15" hidden="false" customHeight="false" outlineLevel="0" collapsed="false">
      <c r="A25" s="0" t="s">
        <v>90</v>
      </c>
      <c r="B25" s="0" t="s">
        <v>77</v>
      </c>
    </row>
    <row r="26" customFormat="false" ht="15" hidden="false" customHeight="false" outlineLevel="0" collapsed="false">
      <c r="A26" s="0" t="s">
        <v>91</v>
      </c>
      <c r="B26" s="0" t="s">
        <v>77</v>
      </c>
    </row>
    <row r="27" customFormat="false" ht="15" hidden="false" customHeight="false" outlineLevel="0" collapsed="false">
      <c r="A27" s="0" t="s">
        <v>92</v>
      </c>
      <c r="B27" s="0" t="s">
        <v>77</v>
      </c>
    </row>
    <row r="28" customFormat="false" ht="15" hidden="false" customHeight="false" outlineLevel="0" collapsed="false">
      <c r="A28" s="0" t="s">
        <v>144</v>
      </c>
      <c r="B28" s="0" t="s">
        <v>157</v>
      </c>
    </row>
    <row r="29" customFormat="false" ht="15" hidden="false" customHeight="false" outlineLevel="0" collapsed="false">
      <c r="A29" s="0" t="s">
        <v>158</v>
      </c>
      <c r="B29" s="0" t="s">
        <v>157</v>
      </c>
    </row>
    <row r="30" customFormat="false" ht="15" hidden="false" customHeight="false" outlineLevel="0" collapsed="false">
      <c r="A30" s="0" t="s">
        <v>159</v>
      </c>
      <c r="B30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2026-10-18T04:19:32Z</dcterms:created>
  <dc:creator>openpyxl</dc:creator>
  <dc:description/>
  <dc:language>en-US</dc:language>
  <cp:lastModifiedBy/>
  <dcterms:modified xsi:type="dcterms:W3CDTF">2026-10-18T04:19:33Z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